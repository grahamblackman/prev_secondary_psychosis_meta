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grahamblackman/Dropbox/Organic_psychosis_prevalence_meta_analysis/analysis_r/scripts/"/>
    </mc:Choice>
  </mc:AlternateContent>
  <xr:revisionPtr revIDLastSave="0" documentId="13_ncr:1_{F6B90BF0-59AC-5843-BDFE-AA11F4FDA394}" xr6:coauthVersionLast="47" xr6:coauthVersionMax="47" xr10:uidLastSave="{00000000-0000-0000-0000-000000000000}"/>
  <bookViews>
    <workbookView xWindow="0" yWindow="500" windowWidth="40200" windowHeight="20800" activeTab="2" xr2:uid="{00000000-000D-0000-FFFF-FFFF00000000}"/>
  </bookViews>
  <sheets>
    <sheet name="Sheet1" sheetId="1" r:id="rId1"/>
    <sheet name="data" sheetId="3" r:id="rId2"/>
    <sheet name="ke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MwYRAac93jeR3Z9yIAKiJVC+pMbn1NPUfp0lEs3HHgA="/>
    </ext>
  </extLst>
</workbook>
</file>

<file path=xl/calcChain.xml><?xml version="1.0" encoding="utf-8"?>
<calcChain xmlns="http://schemas.openxmlformats.org/spreadsheetml/2006/main">
  <c r="BE4" i="1" l="1"/>
  <c r="BF4" i="1"/>
  <c r="BE5" i="1"/>
  <c r="BF5" i="1"/>
  <c r="BE6" i="1"/>
  <c r="BF6" i="1"/>
  <c r="BE7" i="1"/>
  <c r="BF7" i="1"/>
  <c r="BE8" i="1"/>
  <c r="BF8" i="1"/>
  <c r="BE9" i="1"/>
  <c r="BF9" i="1"/>
  <c r="BE10" i="1"/>
  <c r="BF10" i="1"/>
  <c r="BE11" i="1"/>
  <c r="BF11" i="1"/>
  <c r="BE12" i="1"/>
  <c r="BF12" i="1"/>
  <c r="BE13" i="1"/>
  <c r="BF13" i="1"/>
  <c r="BE14" i="1"/>
  <c r="BF14" i="1"/>
  <c r="BE15" i="1"/>
  <c r="BF15" i="1"/>
  <c r="BE16" i="1"/>
  <c r="BF16" i="1"/>
  <c r="BE17" i="1"/>
  <c r="BF17" i="1"/>
  <c r="BE18" i="1"/>
  <c r="BF18" i="1"/>
  <c r="BE19" i="1"/>
  <c r="BF19" i="1"/>
  <c r="BE20" i="1"/>
  <c r="BF20" i="1"/>
  <c r="BE21" i="1"/>
  <c r="BF21" i="1"/>
  <c r="BE22" i="1"/>
  <c r="BF22" i="1"/>
  <c r="BE23" i="1"/>
  <c r="BF23" i="1"/>
  <c r="BE24" i="1"/>
  <c r="BF24" i="1"/>
  <c r="BE25" i="1"/>
  <c r="BF25" i="1"/>
  <c r="BE26" i="1"/>
  <c r="BF26" i="1"/>
  <c r="BE27" i="1"/>
  <c r="BF27" i="1"/>
  <c r="BE28" i="1"/>
  <c r="BF28" i="1"/>
  <c r="BE29" i="1"/>
  <c r="BF29" i="1"/>
  <c r="BE30" i="1"/>
  <c r="BF30" i="1"/>
  <c r="BE31" i="1"/>
  <c r="BF31" i="1"/>
  <c r="BE32" i="1"/>
  <c r="BF32" i="1"/>
  <c r="BE33" i="1"/>
  <c r="BF33" i="1"/>
  <c r="BE34" i="1"/>
  <c r="BF34" i="1"/>
  <c r="BE35" i="1"/>
  <c r="BF35" i="1"/>
  <c r="BE36" i="1"/>
  <c r="BF36" i="1"/>
  <c r="BF3" i="1"/>
  <c r="AC6" i="3"/>
  <c r="BE3" i="1"/>
  <c r="AC3" i="3"/>
  <c r="AD3" i="3"/>
  <c r="AC4" i="3"/>
  <c r="AD4" i="3"/>
  <c r="AC5" i="3"/>
  <c r="AD5" i="3"/>
  <c r="AD6" i="3"/>
  <c r="AC7" i="3"/>
  <c r="AD7" i="3"/>
  <c r="AC8" i="3"/>
  <c r="AD8" i="3"/>
  <c r="AC9" i="3"/>
  <c r="AD9" i="3"/>
  <c r="AC10" i="3"/>
  <c r="AD10" i="3"/>
  <c r="AC11" i="3"/>
  <c r="AD11" i="3"/>
  <c r="AC12" i="3"/>
  <c r="AD12" i="3"/>
  <c r="AC13" i="3"/>
  <c r="AD13" i="3"/>
  <c r="AC14" i="3"/>
  <c r="AD14" i="3"/>
  <c r="AC15" i="3"/>
  <c r="AD15" i="3"/>
  <c r="AC16" i="3"/>
  <c r="AD16" i="3"/>
  <c r="AC17" i="3"/>
  <c r="AD17" i="3"/>
  <c r="AC18" i="3"/>
  <c r="AD18" i="3"/>
  <c r="AC19" i="3"/>
  <c r="AD19" i="3"/>
  <c r="AC20" i="3"/>
  <c r="AD20" i="3"/>
  <c r="AC21" i="3"/>
  <c r="AD21" i="3"/>
  <c r="AC22" i="3"/>
  <c r="AD22" i="3"/>
  <c r="AC23" i="3"/>
  <c r="AD23" i="3"/>
  <c r="AC24" i="3"/>
  <c r="AD24" i="3"/>
  <c r="AC25" i="3"/>
  <c r="AD25" i="3"/>
  <c r="AC26" i="3"/>
  <c r="AD26" i="3"/>
  <c r="AC27" i="3"/>
  <c r="AD27" i="3"/>
  <c r="AC28" i="3"/>
  <c r="AD28" i="3"/>
  <c r="AC29" i="3"/>
  <c r="AD29" i="3"/>
  <c r="AC30" i="3"/>
  <c r="AD30" i="3"/>
  <c r="AC31" i="3"/>
  <c r="AD31" i="3"/>
  <c r="AC32" i="3"/>
  <c r="AD32" i="3"/>
  <c r="AC33" i="3"/>
  <c r="AD33" i="3"/>
  <c r="AC34" i="3"/>
  <c r="AD34" i="3"/>
  <c r="AC35" i="3"/>
  <c r="AD35" i="3"/>
  <c r="AD2" i="3"/>
  <c r="AC2" i="3"/>
  <c r="BG4" i="1"/>
  <c r="BG3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H4" i="1"/>
  <c r="BH3" i="1"/>
  <c r="BH5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FT30" i="1" s="1"/>
  <c r="BH31" i="1"/>
  <c r="BH32" i="1"/>
  <c r="BH33" i="1"/>
  <c r="BH34" i="1"/>
  <c r="FT34" i="1" s="1"/>
  <c r="BH35" i="1"/>
  <c r="BH36" i="1"/>
  <c r="BH6" i="1"/>
  <c r="FT6" i="1" s="1"/>
  <c r="BH7" i="1"/>
  <c r="BH8" i="1"/>
  <c r="BH9" i="1"/>
  <c r="BH10" i="1"/>
  <c r="BH11" i="1"/>
  <c r="BH12" i="1"/>
  <c r="BH13" i="1"/>
  <c r="BH14" i="1"/>
  <c r="FT5" i="1"/>
  <c r="BM3" i="3"/>
  <c r="BM4" i="3"/>
  <c r="BM5" i="3"/>
  <c r="BM6" i="3"/>
  <c r="BM7" i="3"/>
  <c r="BM8" i="3"/>
  <c r="BM9" i="3"/>
  <c r="BM10" i="3"/>
  <c r="BM11" i="3"/>
  <c r="BM12" i="3"/>
  <c r="BM13" i="3"/>
  <c r="BM14" i="3"/>
  <c r="BM15" i="3"/>
  <c r="BM16" i="3"/>
  <c r="BM17" i="3"/>
  <c r="BM18" i="3"/>
  <c r="BM19" i="3"/>
  <c r="BM20" i="3"/>
  <c r="BM21" i="3"/>
  <c r="BM22" i="3"/>
  <c r="BM23" i="3"/>
  <c r="BM24" i="3"/>
  <c r="BM25" i="3"/>
  <c r="BM26" i="3"/>
  <c r="BM27" i="3"/>
  <c r="BM28" i="3"/>
  <c r="BM29" i="3"/>
  <c r="BM30" i="3"/>
  <c r="BM31" i="3"/>
  <c r="BM32" i="3"/>
  <c r="BM33" i="3"/>
  <c r="BM34" i="3"/>
  <c r="BM35" i="3"/>
  <c r="BM2" i="3"/>
  <c r="BL3" i="3"/>
  <c r="BL4" i="3"/>
  <c r="BL5" i="3"/>
  <c r="BL6" i="3"/>
  <c r="BL7" i="3"/>
  <c r="BL8" i="3"/>
  <c r="BL9" i="3"/>
  <c r="BL10" i="3"/>
  <c r="BL11" i="3"/>
  <c r="BL12" i="3"/>
  <c r="BL13" i="3"/>
  <c r="BL14" i="3"/>
  <c r="BL15" i="3"/>
  <c r="BL16" i="3"/>
  <c r="BL17" i="3"/>
  <c r="BL18" i="3"/>
  <c r="BL20" i="3"/>
  <c r="BL21" i="3"/>
  <c r="BL22" i="3"/>
  <c r="BL23" i="3"/>
  <c r="BL24" i="3"/>
  <c r="BL25" i="3"/>
  <c r="BL26" i="3"/>
  <c r="BL27" i="3"/>
  <c r="BL28" i="3"/>
  <c r="BL29" i="3"/>
  <c r="BL30" i="3"/>
  <c r="BL31" i="3"/>
  <c r="BL32" i="3"/>
  <c r="BL33" i="3"/>
  <c r="BL34" i="3"/>
  <c r="BL35" i="3"/>
  <c r="BL2" i="3"/>
  <c r="BK3" i="3"/>
  <c r="BK4" i="3"/>
  <c r="BK5" i="3"/>
  <c r="BK6" i="3"/>
  <c r="BK7" i="3"/>
  <c r="BK8" i="3"/>
  <c r="BK9" i="3"/>
  <c r="BK10" i="3"/>
  <c r="BK11" i="3"/>
  <c r="BK12" i="3"/>
  <c r="BK13" i="3"/>
  <c r="BK14" i="3"/>
  <c r="BK15" i="3"/>
  <c r="BK16" i="3"/>
  <c r="BK17" i="3"/>
  <c r="BK18" i="3"/>
  <c r="BK19" i="3"/>
  <c r="BK20" i="3"/>
  <c r="BK21" i="3"/>
  <c r="BK22" i="3"/>
  <c r="BK23" i="3"/>
  <c r="BK24" i="3"/>
  <c r="BK25" i="3"/>
  <c r="BK26" i="3"/>
  <c r="BK27" i="3"/>
  <c r="BK28" i="3"/>
  <c r="BK29" i="3"/>
  <c r="BK30" i="3"/>
  <c r="BK31" i="3"/>
  <c r="BK32" i="3"/>
  <c r="BK33" i="3"/>
  <c r="BK34" i="3"/>
  <c r="BK35" i="3"/>
  <c r="BK2" i="3"/>
  <c r="BJ3" i="3"/>
  <c r="BJ4" i="3"/>
  <c r="BJ5" i="3"/>
  <c r="BJ6" i="3"/>
  <c r="BJ7" i="3"/>
  <c r="BJ8" i="3"/>
  <c r="BJ9" i="3"/>
  <c r="BJ10" i="3"/>
  <c r="BJ11" i="3"/>
  <c r="BJ13" i="3"/>
  <c r="BJ14" i="3"/>
  <c r="BJ15" i="3"/>
  <c r="BJ16" i="3"/>
  <c r="BJ17" i="3"/>
  <c r="BJ18" i="3"/>
  <c r="BJ20" i="3"/>
  <c r="BJ21" i="3"/>
  <c r="BJ22" i="3"/>
  <c r="BJ23" i="3"/>
  <c r="BJ24" i="3"/>
  <c r="BJ25" i="3"/>
  <c r="BJ26" i="3"/>
  <c r="BJ27" i="3"/>
  <c r="BJ28" i="3"/>
  <c r="BJ29" i="3"/>
  <c r="BJ30" i="3"/>
  <c r="BJ31" i="3"/>
  <c r="BJ32" i="3"/>
  <c r="BJ33" i="3"/>
  <c r="BJ34" i="3"/>
  <c r="BJ35" i="3"/>
  <c r="BJ2" i="3"/>
  <c r="BH3" i="3"/>
  <c r="BI3" i="3"/>
  <c r="BH4" i="3"/>
  <c r="BI4" i="3"/>
  <c r="BH5" i="3"/>
  <c r="BI5" i="3"/>
  <c r="BH6" i="3"/>
  <c r="BI6" i="3"/>
  <c r="BH7" i="3"/>
  <c r="BI7" i="3"/>
  <c r="BH8" i="3"/>
  <c r="BI8" i="3"/>
  <c r="BH9" i="3"/>
  <c r="BI9" i="3"/>
  <c r="BH10" i="3"/>
  <c r="BI10" i="3"/>
  <c r="BH11" i="3"/>
  <c r="BI11" i="3"/>
  <c r="BH12" i="3"/>
  <c r="BI12" i="3"/>
  <c r="BH13" i="3"/>
  <c r="BI13" i="3"/>
  <c r="BH14" i="3"/>
  <c r="BI14" i="3"/>
  <c r="BH15" i="3"/>
  <c r="BI15" i="3"/>
  <c r="BH16" i="3"/>
  <c r="BI16" i="3"/>
  <c r="BH17" i="3"/>
  <c r="BI17" i="3"/>
  <c r="BH18" i="3"/>
  <c r="BI18" i="3"/>
  <c r="BH19" i="3"/>
  <c r="BI19" i="3"/>
  <c r="BH20" i="3"/>
  <c r="BI20" i="3"/>
  <c r="BH21" i="3"/>
  <c r="BI21" i="3"/>
  <c r="BH22" i="3"/>
  <c r="BI22" i="3"/>
  <c r="BH23" i="3"/>
  <c r="BI23" i="3"/>
  <c r="BH24" i="3"/>
  <c r="BI24" i="3"/>
  <c r="BH25" i="3"/>
  <c r="BI25" i="3"/>
  <c r="BH26" i="3"/>
  <c r="BI26" i="3"/>
  <c r="BH27" i="3"/>
  <c r="BI27" i="3"/>
  <c r="BH28" i="3"/>
  <c r="BI28" i="3"/>
  <c r="BH29" i="3"/>
  <c r="BI29" i="3"/>
  <c r="BH30" i="3"/>
  <c r="BI30" i="3"/>
  <c r="BH31" i="3"/>
  <c r="BI31" i="3"/>
  <c r="BH32" i="3"/>
  <c r="BI32" i="3"/>
  <c r="BH33" i="3"/>
  <c r="BI33" i="3"/>
  <c r="BH34" i="3"/>
  <c r="BI34" i="3"/>
  <c r="BH35" i="3"/>
  <c r="BI35" i="3"/>
  <c r="BI2" i="3"/>
  <c r="BH2" i="3"/>
  <c r="BC3" i="3"/>
  <c r="BD3" i="3"/>
  <c r="BE3" i="3"/>
  <c r="BF3" i="3"/>
  <c r="BG3" i="3"/>
  <c r="BC4" i="3"/>
  <c r="BD4" i="3"/>
  <c r="BE4" i="3"/>
  <c r="BF4" i="3"/>
  <c r="BG4" i="3"/>
  <c r="BC5" i="3"/>
  <c r="BD5" i="3"/>
  <c r="BE5" i="3"/>
  <c r="BF5" i="3"/>
  <c r="BG5" i="3"/>
  <c r="BC6" i="3"/>
  <c r="BD6" i="3"/>
  <c r="BE6" i="3"/>
  <c r="BF6" i="3"/>
  <c r="BG6" i="3"/>
  <c r="BC7" i="3"/>
  <c r="BD7" i="3"/>
  <c r="BE7" i="3"/>
  <c r="BF7" i="3"/>
  <c r="BG7" i="3"/>
  <c r="BC8" i="3"/>
  <c r="BD8" i="3"/>
  <c r="BE8" i="3"/>
  <c r="BF8" i="3"/>
  <c r="BG8" i="3"/>
  <c r="BC9" i="3"/>
  <c r="BD9" i="3"/>
  <c r="BE9" i="3"/>
  <c r="BF9" i="3"/>
  <c r="BG9" i="3"/>
  <c r="BC10" i="3"/>
  <c r="BD10" i="3"/>
  <c r="BE10" i="3"/>
  <c r="BF10" i="3"/>
  <c r="BG10" i="3"/>
  <c r="BC11" i="3"/>
  <c r="BD11" i="3"/>
  <c r="BE11" i="3"/>
  <c r="BF11" i="3"/>
  <c r="BG11" i="3"/>
  <c r="BC12" i="3"/>
  <c r="BD12" i="3"/>
  <c r="BE12" i="3"/>
  <c r="BF12" i="3"/>
  <c r="BG12" i="3"/>
  <c r="BC13" i="3"/>
  <c r="BD13" i="3"/>
  <c r="BE13" i="3"/>
  <c r="BF13" i="3"/>
  <c r="BG13" i="3"/>
  <c r="BC14" i="3"/>
  <c r="BD14" i="3"/>
  <c r="BE14" i="3"/>
  <c r="BF14" i="3"/>
  <c r="BG14" i="3"/>
  <c r="BC15" i="3"/>
  <c r="BD15" i="3"/>
  <c r="BE15" i="3"/>
  <c r="BF15" i="3"/>
  <c r="BG15" i="3"/>
  <c r="BC16" i="3"/>
  <c r="BD16" i="3"/>
  <c r="BE16" i="3"/>
  <c r="BF16" i="3"/>
  <c r="BG16" i="3"/>
  <c r="BC17" i="3"/>
  <c r="BD17" i="3"/>
  <c r="BE17" i="3"/>
  <c r="BF17" i="3"/>
  <c r="BG17" i="3"/>
  <c r="BC18" i="3"/>
  <c r="BD18" i="3"/>
  <c r="BE18" i="3"/>
  <c r="BF18" i="3"/>
  <c r="BG18" i="3"/>
  <c r="BC19" i="3"/>
  <c r="BD19" i="3"/>
  <c r="BE19" i="3"/>
  <c r="BF19" i="3"/>
  <c r="BG19" i="3"/>
  <c r="BC20" i="3"/>
  <c r="BD20" i="3"/>
  <c r="BE20" i="3"/>
  <c r="BF20" i="3"/>
  <c r="BG20" i="3"/>
  <c r="BC21" i="3"/>
  <c r="BD21" i="3"/>
  <c r="BE21" i="3"/>
  <c r="BF21" i="3"/>
  <c r="BG21" i="3"/>
  <c r="BC22" i="3"/>
  <c r="BD22" i="3"/>
  <c r="BE22" i="3"/>
  <c r="BF22" i="3"/>
  <c r="BG22" i="3"/>
  <c r="BC23" i="3"/>
  <c r="BD23" i="3"/>
  <c r="BE23" i="3"/>
  <c r="BF23" i="3"/>
  <c r="BG23" i="3"/>
  <c r="BC24" i="3"/>
  <c r="BD24" i="3"/>
  <c r="BE24" i="3"/>
  <c r="BF24" i="3"/>
  <c r="BG24" i="3"/>
  <c r="BC25" i="3"/>
  <c r="BD25" i="3"/>
  <c r="BE25" i="3"/>
  <c r="BF25" i="3"/>
  <c r="BG25" i="3"/>
  <c r="BC26" i="3"/>
  <c r="BD26" i="3"/>
  <c r="BE26" i="3"/>
  <c r="BF26" i="3"/>
  <c r="BG26" i="3"/>
  <c r="BC27" i="3"/>
  <c r="BD27" i="3"/>
  <c r="BE27" i="3"/>
  <c r="BF27" i="3"/>
  <c r="BG27" i="3"/>
  <c r="BC28" i="3"/>
  <c r="BD28" i="3"/>
  <c r="BE28" i="3"/>
  <c r="BF28" i="3"/>
  <c r="BG28" i="3"/>
  <c r="BC29" i="3"/>
  <c r="BD29" i="3"/>
  <c r="BE29" i="3"/>
  <c r="BF29" i="3"/>
  <c r="BG29" i="3"/>
  <c r="BC30" i="3"/>
  <c r="BD30" i="3"/>
  <c r="BE30" i="3"/>
  <c r="BF30" i="3"/>
  <c r="BG30" i="3"/>
  <c r="BC31" i="3"/>
  <c r="BD31" i="3"/>
  <c r="BE31" i="3"/>
  <c r="BF31" i="3"/>
  <c r="BG31" i="3"/>
  <c r="BC32" i="3"/>
  <c r="BD32" i="3"/>
  <c r="BE32" i="3"/>
  <c r="BF32" i="3"/>
  <c r="BG32" i="3"/>
  <c r="BC33" i="3"/>
  <c r="BD33" i="3"/>
  <c r="BE33" i="3"/>
  <c r="BF33" i="3"/>
  <c r="BG33" i="3"/>
  <c r="BC34" i="3"/>
  <c r="BD34" i="3"/>
  <c r="BE34" i="3"/>
  <c r="BF34" i="3"/>
  <c r="BG34" i="3"/>
  <c r="BC35" i="3"/>
  <c r="BD35" i="3"/>
  <c r="BE35" i="3"/>
  <c r="BF35" i="3"/>
  <c r="BG35" i="3"/>
  <c r="BG2" i="3"/>
  <c r="BF2" i="3"/>
  <c r="BE2" i="3"/>
  <c r="BD2" i="3"/>
  <c r="BC2" i="3"/>
  <c r="AZ3" i="3"/>
  <c r="BA3" i="3"/>
  <c r="BB3" i="3"/>
  <c r="AZ4" i="3"/>
  <c r="BA4" i="3"/>
  <c r="BB4" i="3"/>
  <c r="AZ5" i="3"/>
  <c r="BA5" i="3"/>
  <c r="BB5" i="3"/>
  <c r="AZ6" i="3"/>
  <c r="BA6" i="3"/>
  <c r="BB6" i="3"/>
  <c r="AZ7" i="3"/>
  <c r="BA7" i="3"/>
  <c r="BB7" i="3"/>
  <c r="AZ8" i="3"/>
  <c r="BA8" i="3"/>
  <c r="BB8" i="3"/>
  <c r="AZ9" i="3"/>
  <c r="BA9" i="3"/>
  <c r="BB9" i="3"/>
  <c r="AZ10" i="3"/>
  <c r="BA10" i="3"/>
  <c r="BB10" i="3"/>
  <c r="AZ11" i="3"/>
  <c r="BA11" i="3"/>
  <c r="BB11" i="3"/>
  <c r="AZ12" i="3"/>
  <c r="BA12" i="3"/>
  <c r="BB12" i="3"/>
  <c r="AZ13" i="3"/>
  <c r="BA13" i="3"/>
  <c r="BB13" i="3"/>
  <c r="AZ14" i="3"/>
  <c r="BA14" i="3"/>
  <c r="BB14" i="3"/>
  <c r="AZ15" i="3"/>
  <c r="BA15" i="3"/>
  <c r="BB15" i="3"/>
  <c r="AZ16" i="3"/>
  <c r="BA16" i="3"/>
  <c r="BB16" i="3"/>
  <c r="AZ17" i="3"/>
  <c r="BA17" i="3"/>
  <c r="BB17" i="3"/>
  <c r="AZ18" i="3"/>
  <c r="BA18" i="3"/>
  <c r="BB18" i="3"/>
  <c r="AZ19" i="3"/>
  <c r="BA19" i="3"/>
  <c r="BB19" i="3"/>
  <c r="AZ20" i="3"/>
  <c r="BA20" i="3"/>
  <c r="BB20" i="3"/>
  <c r="AZ21" i="3"/>
  <c r="BA21" i="3"/>
  <c r="BB21" i="3"/>
  <c r="AZ22" i="3"/>
  <c r="BA22" i="3"/>
  <c r="BB22" i="3"/>
  <c r="AZ23" i="3"/>
  <c r="BA23" i="3"/>
  <c r="BB23" i="3"/>
  <c r="AZ24" i="3"/>
  <c r="BA24" i="3"/>
  <c r="BB24" i="3"/>
  <c r="AZ25" i="3"/>
  <c r="BA25" i="3"/>
  <c r="BB25" i="3"/>
  <c r="AZ26" i="3"/>
  <c r="BA26" i="3"/>
  <c r="BB26" i="3"/>
  <c r="AZ27" i="3"/>
  <c r="BA27" i="3"/>
  <c r="BB27" i="3"/>
  <c r="AZ28" i="3"/>
  <c r="BA28" i="3"/>
  <c r="BB28" i="3"/>
  <c r="AZ29" i="3"/>
  <c r="BA29" i="3"/>
  <c r="BB29" i="3"/>
  <c r="AZ30" i="3"/>
  <c r="BA30" i="3"/>
  <c r="BB30" i="3"/>
  <c r="AZ31" i="3"/>
  <c r="BA31" i="3"/>
  <c r="BB31" i="3"/>
  <c r="AZ32" i="3"/>
  <c r="BA32" i="3"/>
  <c r="BB32" i="3"/>
  <c r="AZ33" i="3"/>
  <c r="BA33" i="3"/>
  <c r="BB33" i="3"/>
  <c r="AZ34" i="3"/>
  <c r="BA34" i="3"/>
  <c r="BB34" i="3"/>
  <c r="AZ35" i="3"/>
  <c r="BA35" i="3"/>
  <c r="BB35" i="3"/>
  <c r="BB2" i="3"/>
  <c r="BA2" i="3"/>
  <c r="AZ2" i="3"/>
  <c r="AV3" i="3"/>
  <c r="AW3" i="3"/>
  <c r="AX3" i="3"/>
  <c r="AY3" i="3"/>
  <c r="AV4" i="3"/>
  <c r="AW4" i="3"/>
  <c r="AX4" i="3"/>
  <c r="AY4" i="3"/>
  <c r="AV5" i="3"/>
  <c r="AW5" i="3"/>
  <c r="AX5" i="3"/>
  <c r="AY5" i="3"/>
  <c r="AV6" i="3"/>
  <c r="AW6" i="3"/>
  <c r="AX6" i="3"/>
  <c r="AY6" i="3"/>
  <c r="AV7" i="3"/>
  <c r="AW7" i="3"/>
  <c r="AX7" i="3"/>
  <c r="AY7" i="3"/>
  <c r="AV8" i="3"/>
  <c r="AW8" i="3"/>
  <c r="AX8" i="3"/>
  <c r="AY8" i="3"/>
  <c r="AV9" i="3"/>
  <c r="AW9" i="3"/>
  <c r="AX9" i="3"/>
  <c r="AY9" i="3"/>
  <c r="AV10" i="3"/>
  <c r="AW10" i="3"/>
  <c r="AX10" i="3"/>
  <c r="AY10" i="3"/>
  <c r="AV11" i="3"/>
  <c r="AW11" i="3"/>
  <c r="AX11" i="3"/>
  <c r="AY11" i="3"/>
  <c r="AV12" i="3"/>
  <c r="AW12" i="3"/>
  <c r="AX12" i="3"/>
  <c r="AY12" i="3"/>
  <c r="AV13" i="3"/>
  <c r="AW13" i="3"/>
  <c r="AX13" i="3"/>
  <c r="AY13" i="3"/>
  <c r="AV14" i="3"/>
  <c r="AW14" i="3"/>
  <c r="AX14" i="3"/>
  <c r="AY14" i="3"/>
  <c r="AV15" i="3"/>
  <c r="AW15" i="3"/>
  <c r="AX15" i="3"/>
  <c r="AY15" i="3"/>
  <c r="AV16" i="3"/>
  <c r="AW16" i="3"/>
  <c r="AX16" i="3"/>
  <c r="AY16" i="3"/>
  <c r="AV17" i="3"/>
  <c r="AW17" i="3"/>
  <c r="AX17" i="3"/>
  <c r="AY17" i="3"/>
  <c r="AV18" i="3"/>
  <c r="AW18" i="3"/>
  <c r="AX18" i="3"/>
  <c r="AY18" i="3"/>
  <c r="AV19" i="3"/>
  <c r="AW19" i="3"/>
  <c r="AX19" i="3"/>
  <c r="AY19" i="3"/>
  <c r="AV20" i="3"/>
  <c r="AW20" i="3"/>
  <c r="AX20" i="3"/>
  <c r="AY20" i="3"/>
  <c r="AV21" i="3"/>
  <c r="AW21" i="3"/>
  <c r="AX21" i="3"/>
  <c r="AY21" i="3"/>
  <c r="AV22" i="3"/>
  <c r="AW22" i="3"/>
  <c r="AX22" i="3"/>
  <c r="AY22" i="3"/>
  <c r="AV23" i="3"/>
  <c r="AW23" i="3"/>
  <c r="AX23" i="3"/>
  <c r="AY23" i="3"/>
  <c r="AV24" i="3"/>
  <c r="AW24" i="3"/>
  <c r="AX24" i="3"/>
  <c r="AY24" i="3"/>
  <c r="AV25" i="3"/>
  <c r="AW25" i="3"/>
  <c r="AX25" i="3"/>
  <c r="AY25" i="3"/>
  <c r="AV26" i="3"/>
  <c r="AW26" i="3"/>
  <c r="AX26" i="3"/>
  <c r="AY26" i="3"/>
  <c r="AV27" i="3"/>
  <c r="AW27" i="3"/>
  <c r="AX27" i="3"/>
  <c r="AY27" i="3"/>
  <c r="AV28" i="3"/>
  <c r="AW28" i="3"/>
  <c r="AX28" i="3"/>
  <c r="AY28" i="3"/>
  <c r="AV29" i="3"/>
  <c r="AW29" i="3"/>
  <c r="AX29" i="3"/>
  <c r="AY29" i="3"/>
  <c r="AV30" i="3"/>
  <c r="AW30" i="3"/>
  <c r="AX30" i="3"/>
  <c r="AY30" i="3"/>
  <c r="AV31" i="3"/>
  <c r="AW31" i="3"/>
  <c r="AX31" i="3"/>
  <c r="AY31" i="3"/>
  <c r="AV32" i="3"/>
  <c r="AW32" i="3"/>
  <c r="AX32" i="3"/>
  <c r="AY32" i="3"/>
  <c r="AV33" i="3"/>
  <c r="AW33" i="3"/>
  <c r="AX33" i="3"/>
  <c r="AY33" i="3"/>
  <c r="AV34" i="3"/>
  <c r="AW34" i="3"/>
  <c r="AX34" i="3"/>
  <c r="AY34" i="3"/>
  <c r="AV35" i="3"/>
  <c r="AW35" i="3"/>
  <c r="AX35" i="3"/>
  <c r="AY35" i="3"/>
  <c r="AY2" i="3"/>
  <c r="AX2" i="3"/>
  <c r="AW2" i="3"/>
  <c r="AV2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U2" i="3"/>
  <c r="AT2" i="3"/>
  <c r="AS2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2" i="3"/>
  <c r="T2" i="3"/>
  <c r="S2" i="3"/>
  <c r="P35" i="3"/>
  <c r="U3" i="3"/>
  <c r="V3" i="3"/>
  <c r="U4" i="3"/>
  <c r="V4" i="3"/>
  <c r="U5" i="3"/>
  <c r="V5" i="3"/>
  <c r="U6" i="3"/>
  <c r="V6" i="3"/>
  <c r="U7" i="3"/>
  <c r="V7" i="3"/>
  <c r="U8" i="3"/>
  <c r="V8" i="3"/>
  <c r="U9" i="3"/>
  <c r="V9" i="3"/>
  <c r="U10" i="3"/>
  <c r="V10" i="3"/>
  <c r="U11" i="3"/>
  <c r="V11" i="3"/>
  <c r="U12" i="3"/>
  <c r="V12" i="3"/>
  <c r="U13" i="3"/>
  <c r="V13" i="3"/>
  <c r="U14" i="3"/>
  <c r="V14" i="3"/>
  <c r="U15" i="3"/>
  <c r="V15" i="3"/>
  <c r="U16" i="3"/>
  <c r="V16" i="3"/>
  <c r="U17" i="3"/>
  <c r="V17" i="3"/>
  <c r="U18" i="3"/>
  <c r="V18" i="3"/>
  <c r="U19" i="3"/>
  <c r="V19" i="3"/>
  <c r="U20" i="3"/>
  <c r="V20" i="3"/>
  <c r="U21" i="3"/>
  <c r="V21" i="3"/>
  <c r="U22" i="3"/>
  <c r="V22" i="3"/>
  <c r="U23" i="3"/>
  <c r="V23" i="3"/>
  <c r="U24" i="3"/>
  <c r="V24" i="3"/>
  <c r="U25" i="3"/>
  <c r="V25" i="3"/>
  <c r="U26" i="3"/>
  <c r="V26" i="3"/>
  <c r="U27" i="3"/>
  <c r="V27" i="3"/>
  <c r="U28" i="3"/>
  <c r="V28" i="3"/>
  <c r="U29" i="3"/>
  <c r="V29" i="3"/>
  <c r="U30" i="3"/>
  <c r="V30" i="3"/>
  <c r="U31" i="3"/>
  <c r="V31" i="3"/>
  <c r="U32" i="3"/>
  <c r="V32" i="3"/>
  <c r="U33" i="3"/>
  <c r="V33" i="3"/>
  <c r="U34" i="3"/>
  <c r="V34" i="3"/>
  <c r="U35" i="3"/>
  <c r="V35" i="3"/>
  <c r="V2" i="3"/>
  <c r="U2" i="3"/>
  <c r="W3" i="3"/>
  <c r="X3" i="3"/>
  <c r="Y3" i="3"/>
  <c r="W4" i="3"/>
  <c r="X4" i="3"/>
  <c r="Y4" i="3"/>
  <c r="W5" i="3"/>
  <c r="X5" i="3"/>
  <c r="Y5" i="3"/>
  <c r="W6" i="3"/>
  <c r="X6" i="3"/>
  <c r="Y6" i="3"/>
  <c r="W7" i="3"/>
  <c r="X7" i="3"/>
  <c r="Y7" i="3"/>
  <c r="W8" i="3"/>
  <c r="X8" i="3"/>
  <c r="Y8" i="3"/>
  <c r="W9" i="3"/>
  <c r="X9" i="3"/>
  <c r="Y9" i="3"/>
  <c r="W10" i="3"/>
  <c r="X10" i="3"/>
  <c r="Y10" i="3"/>
  <c r="W11" i="3"/>
  <c r="X11" i="3"/>
  <c r="Y11" i="3"/>
  <c r="W12" i="3"/>
  <c r="X12" i="3"/>
  <c r="Y12" i="3"/>
  <c r="W13" i="3"/>
  <c r="X13" i="3"/>
  <c r="Y13" i="3"/>
  <c r="W14" i="3"/>
  <c r="X14" i="3"/>
  <c r="Y14" i="3"/>
  <c r="W15" i="3"/>
  <c r="X15" i="3"/>
  <c r="Y15" i="3"/>
  <c r="W16" i="3"/>
  <c r="X16" i="3"/>
  <c r="Y16" i="3"/>
  <c r="W17" i="3"/>
  <c r="X17" i="3"/>
  <c r="Y17" i="3"/>
  <c r="W18" i="3"/>
  <c r="X18" i="3"/>
  <c r="Y18" i="3"/>
  <c r="W19" i="3"/>
  <c r="X19" i="3"/>
  <c r="Y19" i="3"/>
  <c r="W20" i="3"/>
  <c r="X20" i="3"/>
  <c r="Y20" i="3"/>
  <c r="W21" i="3"/>
  <c r="X21" i="3"/>
  <c r="Y21" i="3"/>
  <c r="W22" i="3"/>
  <c r="X22" i="3"/>
  <c r="Y22" i="3"/>
  <c r="W23" i="3"/>
  <c r="X23" i="3"/>
  <c r="Y23" i="3"/>
  <c r="W24" i="3"/>
  <c r="X24" i="3"/>
  <c r="Y24" i="3"/>
  <c r="W25" i="3"/>
  <c r="X25" i="3"/>
  <c r="Y25" i="3"/>
  <c r="W26" i="3"/>
  <c r="X26" i="3"/>
  <c r="Y26" i="3"/>
  <c r="W27" i="3"/>
  <c r="X27" i="3"/>
  <c r="Y27" i="3"/>
  <c r="W28" i="3"/>
  <c r="X28" i="3"/>
  <c r="Y28" i="3"/>
  <c r="W29" i="3"/>
  <c r="X29" i="3"/>
  <c r="Y29" i="3"/>
  <c r="W30" i="3"/>
  <c r="X30" i="3"/>
  <c r="Y30" i="3"/>
  <c r="W31" i="3"/>
  <c r="X31" i="3"/>
  <c r="Y31" i="3"/>
  <c r="W32" i="3"/>
  <c r="X32" i="3"/>
  <c r="Y32" i="3"/>
  <c r="W33" i="3"/>
  <c r="X33" i="3"/>
  <c r="Y33" i="3"/>
  <c r="W34" i="3"/>
  <c r="X34" i="3"/>
  <c r="Y34" i="3"/>
  <c r="W35" i="3"/>
  <c r="X35" i="3"/>
  <c r="Y35" i="3"/>
  <c r="Y2" i="3"/>
  <c r="X2" i="3"/>
  <c r="W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2" i="3"/>
  <c r="A28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A29" i="3"/>
  <c r="B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A30" i="3"/>
  <c r="B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T30" i="3"/>
  <c r="A31" i="3"/>
  <c r="B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A32" i="3"/>
  <c r="B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A33" i="3"/>
  <c r="B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A34" i="3"/>
  <c r="B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A35" i="3"/>
  <c r="B35" i="3"/>
  <c r="D35" i="3"/>
  <c r="E35" i="3"/>
  <c r="F35" i="3"/>
  <c r="G35" i="3"/>
  <c r="H35" i="3"/>
  <c r="I35" i="3"/>
  <c r="J35" i="3"/>
  <c r="K35" i="3"/>
  <c r="L35" i="3"/>
  <c r="M35" i="3"/>
  <c r="N35" i="3"/>
  <c r="O35" i="3"/>
  <c r="Q35" i="3"/>
  <c r="R35" i="3"/>
  <c r="S35" i="3"/>
  <c r="T35" i="3"/>
  <c r="HI36" i="1"/>
  <c r="HH36" i="1"/>
  <c r="HG36" i="1"/>
  <c r="HF36" i="1"/>
  <c r="HE36" i="1"/>
  <c r="HD36" i="1"/>
  <c r="HC36" i="1"/>
  <c r="HB36" i="1"/>
  <c r="HA36" i="1"/>
  <c r="GZ36" i="1"/>
  <c r="GY36" i="1"/>
  <c r="GX36" i="1"/>
  <c r="GW36" i="1"/>
  <c r="GV36" i="1"/>
  <c r="GU36" i="1"/>
  <c r="GT36" i="1"/>
  <c r="GS36" i="1"/>
  <c r="GR36" i="1"/>
  <c r="GQ36" i="1"/>
  <c r="GP36" i="1"/>
  <c r="GO36" i="1"/>
  <c r="GN36" i="1"/>
  <c r="GM36" i="1"/>
  <c r="GL36" i="1"/>
  <c r="GK36" i="1"/>
  <c r="GJ36" i="1"/>
  <c r="GI36" i="1"/>
  <c r="GH36" i="1"/>
  <c r="GG36" i="1"/>
  <c r="GF36" i="1"/>
  <c r="GE36" i="1"/>
  <c r="GD36" i="1"/>
  <c r="GC36" i="1"/>
  <c r="GB36" i="1"/>
  <c r="GA36" i="1"/>
  <c r="FZ36" i="1"/>
  <c r="FY36" i="1"/>
  <c r="FX36" i="1"/>
  <c r="FW36" i="1"/>
  <c r="FV36" i="1"/>
  <c r="FU36" i="1"/>
  <c r="FT36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T36" i="1"/>
  <c r="ES36" i="1"/>
  <c r="HJ36" i="1" s="1"/>
  <c r="HJ35" i="1"/>
  <c r="HI35" i="1"/>
  <c r="HH35" i="1"/>
  <c r="HG35" i="1"/>
  <c r="HF35" i="1"/>
  <c r="HE35" i="1"/>
  <c r="HD35" i="1"/>
  <c r="HC35" i="1"/>
  <c r="HB35" i="1"/>
  <c r="HA35" i="1"/>
  <c r="GZ35" i="1"/>
  <c r="GY35" i="1"/>
  <c r="GX35" i="1"/>
  <c r="GW35" i="1"/>
  <c r="GV35" i="1"/>
  <c r="GU35" i="1"/>
  <c r="GT35" i="1"/>
  <c r="GS35" i="1"/>
  <c r="GR35" i="1"/>
  <c r="GQ35" i="1"/>
  <c r="GP35" i="1"/>
  <c r="GO35" i="1"/>
  <c r="GN35" i="1"/>
  <c r="GM35" i="1"/>
  <c r="GL35" i="1"/>
  <c r="GK35" i="1"/>
  <c r="GJ35" i="1"/>
  <c r="GI35" i="1"/>
  <c r="GH35" i="1"/>
  <c r="GG35" i="1"/>
  <c r="GF35" i="1"/>
  <c r="GE35" i="1"/>
  <c r="GD35" i="1"/>
  <c r="GC35" i="1"/>
  <c r="GB35" i="1"/>
  <c r="GA35" i="1"/>
  <c r="FZ35" i="1"/>
  <c r="FY35" i="1"/>
  <c r="FX35" i="1"/>
  <c r="FW35" i="1"/>
  <c r="FV35" i="1"/>
  <c r="FU35" i="1"/>
  <c r="FT35" i="1"/>
  <c r="FS35" i="1"/>
  <c r="FR35" i="1"/>
  <c r="FQ35" i="1"/>
  <c r="FP35" i="1"/>
  <c r="FO35" i="1"/>
  <c r="FN35" i="1"/>
  <c r="FM35" i="1"/>
  <c r="FL35" i="1"/>
  <c r="FK35" i="1"/>
  <c r="FJ35" i="1"/>
  <c r="FI35" i="1"/>
  <c r="FH35" i="1"/>
  <c r="FG35" i="1"/>
  <c r="FF35" i="1"/>
  <c r="FE35" i="1"/>
  <c r="FD35" i="1"/>
  <c r="FC35" i="1"/>
  <c r="FB35" i="1"/>
  <c r="FA35" i="1"/>
  <c r="EZ35" i="1"/>
  <c r="EY35" i="1"/>
  <c r="EX35" i="1"/>
  <c r="EW35" i="1"/>
  <c r="HJ34" i="1"/>
  <c r="HI34" i="1"/>
  <c r="HH34" i="1"/>
  <c r="HG34" i="1"/>
  <c r="HF34" i="1"/>
  <c r="HE34" i="1"/>
  <c r="HD34" i="1"/>
  <c r="HC34" i="1"/>
  <c r="HB34" i="1"/>
  <c r="HA34" i="1"/>
  <c r="GZ34" i="1"/>
  <c r="GY34" i="1"/>
  <c r="GX34" i="1"/>
  <c r="GW34" i="1"/>
  <c r="GV34" i="1"/>
  <c r="GU34" i="1"/>
  <c r="GT34" i="1"/>
  <c r="GS34" i="1"/>
  <c r="GR34" i="1"/>
  <c r="GQ34" i="1"/>
  <c r="GP34" i="1"/>
  <c r="GO34" i="1"/>
  <c r="GN34" i="1"/>
  <c r="GM34" i="1"/>
  <c r="GL34" i="1"/>
  <c r="GK34" i="1"/>
  <c r="GJ34" i="1"/>
  <c r="GI34" i="1"/>
  <c r="GH34" i="1"/>
  <c r="GG34" i="1"/>
  <c r="GF34" i="1"/>
  <c r="GE34" i="1"/>
  <c r="GD34" i="1"/>
  <c r="GC34" i="1"/>
  <c r="GB34" i="1"/>
  <c r="GA34" i="1"/>
  <c r="FZ34" i="1"/>
  <c r="FY34" i="1"/>
  <c r="FX34" i="1"/>
  <c r="FW34" i="1"/>
  <c r="FV34" i="1"/>
  <c r="FU34" i="1"/>
  <c r="FS34" i="1"/>
  <c r="FR34" i="1"/>
  <c r="FQ34" i="1"/>
  <c r="FP34" i="1"/>
  <c r="FO34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FB34" i="1"/>
  <c r="FA34" i="1"/>
  <c r="EZ34" i="1"/>
  <c r="EY34" i="1"/>
  <c r="EX34" i="1"/>
  <c r="EW34" i="1"/>
  <c r="ET34" i="1"/>
  <c r="ES34" i="1"/>
  <c r="HJ33" i="1"/>
  <c r="HI33" i="1"/>
  <c r="HH33" i="1"/>
  <c r="HG33" i="1"/>
  <c r="HF33" i="1"/>
  <c r="HE33" i="1"/>
  <c r="HD33" i="1"/>
  <c r="HC33" i="1"/>
  <c r="HB33" i="1"/>
  <c r="HA33" i="1"/>
  <c r="GZ33" i="1"/>
  <c r="GY33" i="1"/>
  <c r="GX33" i="1"/>
  <c r="GW33" i="1"/>
  <c r="GV33" i="1"/>
  <c r="GU33" i="1"/>
  <c r="GT33" i="1"/>
  <c r="GS33" i="1"/>
  <c r="GR33" i="1"/>
  <c r="GQ33" i="1"/>
  <c r="GP33" i="1"/>
  <c r="GO33" i="1"/>
  <c r="GN33" i="1"/>
  <c r="GM33" i="1"/>
  <c r="GL33" i="1"/>
  <c r="GK33" i="1"/>
  <c r="GJ33" i="1"/>
  <c r="GI33" i="1"/>
  <c r="GH33" i="1"/>
  <c r="GG33" i="1"/>
  <c r="GF33" i="1"/>
  <c r="GE33" i="1"/>
  <c r="GD33" i="1"/>
  <c r="GC33" i="1"/>
  <c r="GB33" i="1"/>
  <c r="GA33" i="1"/>
  <c r="FZ33" i="1"/>
  <c r="FY33" i="1"/>
  <c r="FX33" i="1"/>
  <c r="FW33" i="1"/>
  <c r="FV33" i="1"/>
  <c r="FU33" i="1"/>
  <c r="FS33" i="1"/>
  <c r="FR33" i="1"/>
  <c r="FQ33" i="1"/>
  <c r="FP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T33" i="1"/>
  <c r="ES33" i="1"/>
  <c r="FT33" i="1"/>
  <c r="HI32" i="1"/>
  <c r="HH32" i="1"/>
  <c r="HG32" i="1"/>
  <c r="HF32" i="1"/>
  <c r="HE32" i="1"/>
  <c r="HD32" i="1"/>
  <c r="HC32" i="1"/>
  <c r="HB32" i="1"/>
  <c r="HA32" i="1"/>
  <c r="GZ32" i="1"/>
  <c r="GY32" i="1"/>
  <c r="GX32" i="1"/>
  <c r="GW32" i="1"/>
  <c r="GV32" i="1"/>
  <c r="GU32" i="1"/>
  <c r="GT32" i="1"/>
  <c r="GS32" i="1"/>
  <c r="GR32" i="1"/>
  <c r="GQ32" i="1"/>
  <c r="GP32" i="1"/>
  <c r="GO32" i="1"/>
  <c r="GN32" i="1"/>
  <c r="GM32" i="1"/>
  <c r="GL32" i="1"/>
  <c r="GK32" i="1"/>
  <c r="GJ32" i="1"/>
  <c r="GI32" i="1"/>
  <c r="GH32" i="1"/>
  <c r="GG32" i="1"/>
  <c r="GF32" i="1"/>
  <c r="GE32" i="1"/>
  <c r="GD32" i="1"/>
  <c r="GC32" i="1"/>
  <c r="GB32" i="1"/>
  <c r="GA32" i="1"/>
  <c r="FZ32" i="1"/>
  <c r="FY32" i="1"/>
  <c r="FX32" i="1"/>
  <c r="FW32" i="1"/>
  <c r="FV32" i="1"/>
  <c r="FU32" i="1"/>
  <c r="FT32" i="1"/>
  <c r="FS32" i="1"/>
  <c r="FR32" i="1"/>
  <c r="FQ32" i="1"/>
  <c r="FP32" i="1"/>
  <c r="FO32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EW32" i="1"/>
  <c r="ET32" i="1"/>
  <c r="ES32" i="1"/>
  <c r="HJ32" i="1" s="1"/>
  <c r="HJ31" i="1"/>
  <c r="HI31" i="1"/>
  <c r="HH31" i="1"/>
  <c r="HG31" i="1"/>
  <c r="HF31" i="1"/>
  <c r="HE31" i="1"/>
  <c r="HD31" i="1"/>
  <c r="HC31" i="1"/>
  <c r="HB31" i="1"/>
  <c r="HA31" i="1"/>
  <c r="GZ31" i="1"/>
  <c r="GY31" i="1"/>
  <c r="GX31" i="1"/>
  <c r="GW31" i="1"/>
  <c r="GV31" i="1"/>
  <c r="GU31" i="1"/>
  <c r="GT31" i="1"/>
  <c r="GS31" i="1"/>
  <c r="GR31" i="1"/>
  <c r="GQ31" i="1"/>
  <c r="GP31" i="1"/>
  <c r="GO31" i="1"/>
  <c r="GN31" i="1"/>
  <c r="GM31" i="1"/>
  <c r="GL31" i="1"/>
  <c r="GK31" i="1"/>
  <c r="GJ31" i="1"/>
  <c r="GI31" i="1"/>
  <c r="GH31" i="1"/>
  <c r="GG31" i="1"/>
  <c r="GF31" i="1"/>
  <c r="GE31" i="1"/>
  <c r="GD31" i="1"/>
  <c r="GC31" i="1"/>
  <c r="GB31" i="1"/>
  <c r="GA31" i="1"/>
  <c r="FZ31" i="1"/>
  <c r="FY31" i="1"/>
  <c r="FX31" i="1"/>
  <c r="FW31" i="1"/>
  <c r="FV31" i="1"/>
  <c r="FU31" i="1"/>
  <c r="FT31" i="1"/>
  <c r="FS31" i="1"/>
  <c r="FR31" i="1"/>
  <c r="FQ31" i="1"/>
  <c r="FP31" i="1"/>
  <c r="FO31" i="1"/>
  <c r="FN31" i="1"/>
  <c r="FM31" i="1"/>
  <c r="FL31" i="1"/>
  <c r="FK31" i="1"/>
  <c r="FJ31" i="1"/>
  <c r="FI31" i="1"/>
  <c r="FH31" i="1"/>
  <c r="FG31" i="1"/>
  <c r="FF31" i="1"/>
  <c r="FE31" i="1"/>
  <c r="FD31" i="1"/>
  <c r="FC31" i="1"/>
  <c r="FB31" i="1"/>
  <c r="FA31" i="1"/>
  <c r="EZ31" i="1"/>
  <c r="EY31" i="1"/>
  <c r="EX31" i="1"/>
  <c r="EW31" i="1"/>
  <c r="HJ30" i="1"/>
  <c r="HI30" i="1"/>
  <c r="HH30" i="1"/>
  <c r="HG30" i="1"/>
  <c r="HF30" i="1"/>
  <c r="HE30" i="1"/>
  <c r="HD30" i="1"/>
  <c r="HC30" i="1"/>
  <c r="HB30" i="1"/>
  <c r="HA30" i="1"/>
  <c r="GZ30" i="1"/>
  <c r="GY30" i="1"/>
  <c r="GX30" i="1"/>
  <c r="GW30" i="1"/>
  <c r="GV30" i="1"/>
  <c r="GU30" i="1"/>
  <c r="GT30" i="1"/>
  <c r="GS30" i="1"/>
  <c r="GR30" i="1"/>
  <c r="GQ30" i="1"/>
  <c r="GP30" i="1"/>
  <c r="GO30" i="1"/>
  <c r="GN30" i="1"/>
  <c r="GM30" i="1"/>
  <c r="GL30" i="1"/>
  <c r="GK30" i="1"/>
  <c r="GJ30" i="1"/>
  <c r="GI30" i="1"/>
  <c r="GH30" i="1"/>
  <c r="GG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T30" i="1"/>
  <c r="ES30" i="1"/>
  <c r="HJ29" i="1"/>
  <c r="HI29" i="1"/>
  <c r="HH29" i="1"/>
  <c r="HG29" i="1"/>
  <c r="HF29" i="1"/>
  <c r="HE29" i="1"/>
  <c r="HD29" i="1"/>
  <c r="HC29" i="1"/>
  <c r="HB29" i="1"/>
  <c r="HA29" i="1"/>
  <c r="GZ29" i="1"/>
  <c r="GY29" i="1"/>
  <c r="GX29" i="1"/>
  <c r="GW29" i="1"/>
  <c r="GV29" i="1"/>
  <c r="GU29" i="1"/>
  <c r="GT29" i="1"/>
  <c r="GS29" i="1"/>
  <c r="GR29" i="1"/>
  <c r="GQ29" i="1"/>
  <c r="GP29" i="1"/>
  <c r="GO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A29" i="1"/>
  <c r="FZ29" i="1"/>
  <c r="FY29" i="1"/>
  <c r="FX29" i="1"/>
  <c r="FW29" i="1"/>
  <c r="FV29" i="1"/>
  <c r="FU29" i="1"/>
  <c r="FT29" i="1"/>
  <c r="FS29" i="1"/>
  <c r="FR29" i="1"/>
  <c r="FQ29" i="1"/>
  <c r="FP29" i="1"/>
  <c r="FO29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T29" i="1"/>
  <c r="ES29" i="1"/>
  <c r="HJ28" i="1"/>
  <c r="HI28" i="1"/>
  <c r="HH28" i="1"/>
  <c r="HG28" i="1"/>
  <c r="HF28" i="1"/>
  <c r="HE28" i="1"/>
  <c r="HD28" i="1"/>
  <c r="HC28" i="1"/>
  <c r="HB28" i="1"/>
  <c r="HA28" i="1"/>
  <c r="GZ28" i="1"/>
  <c r="GY28" i="1"/>
  <c r="GX28" i="1"/>
  <c r="GW28" i="1"/>
  <c r="GV28" i="1"/>
  <c r="GU28" i="1"/>
  <c r="GT28" i="1"/>
  <c r="GS28" i="1"/>
  <c r="GR28" i="1"/>
  <c r="GQ28" i="1"/>
  <c r="GP28" i="1"/>
  <c r="GO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HJ27" i="1"/>
  <c r="HI27" i="1"/>
  <c r="HH27" i="1"/>
  <c r="HG27" i="1"/>
  <c r="HF27" i="1"/>
  <c r="HE27" i="1"/>
  <c r="HD27" i="1"/>
  <c r="HC27" i="1"/>
  <c r="HB27" i="1"/>
  <c r="HA27" i="1"/>
  <c r="GZ27" i="1"/>
  <c r="GY27" i="1"/>
  <c r="GX27" i="1"/>
  <c r="GW27" i="1"/>
  <c r="GV27" i="1"/>
  <c r="GU27" i="1"/>
  <c r="GT27" i="1"/>
  <c r="GS27" i="1"/>
  <c r="GR27" i="1"/>
  <c r="GQ27" i="1"/>
  <c r="GP27" i="1"/>
  <c r="GO27" i="1"/>
  <c r="GN27" i="1"/>
  <c r="GM27" i="1"/>
  <c r="GL27" i="1"/>
  <c r="GK27" i="1"/>
  <c r="GJ27" i="1"/>
  <c r="GI27" i="1"/>
  <c r="GH27" i="1"/>
  <c r="GG27" i="1"/>
  <c r="GF27" i="1"/>
  <c r="GE27" i="1"/>
  <c r="GD27" i="1"/>
  <c r="GC27" i="1"/>
  <c r="GB27" i="1"/>
  <c r="GA27" i="1"/>
  <c r="FZ27" i="1"/>
  <c r="FY27" i="1"/>
  <c r="FX27" i="1"/>
  <c r="FW27" i="1"/>
  <c r="FV27" i="1"/>
  <c r="FU27" i="1"/>
  <c r="FT27" i="1"/>
  <c r="FS27" i="1"/>
  <c r="FR27" i="1"/>
  <c r="FQ27" i="1"/>
  <c r="FP27" i="1"/>
  <c r="FO27" i="1"/>
  <c r="FN27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HJ26" i="1"/>
  <c r="HI26" i="1"/>
  <c r="HH26" i="1"/>
  <c r="HG26" i="1"/>
  <c r="HF26" i="1"/>
  <c r="HE26" i="1"/>
  <c r="HD26" i="1"/>
  <c r="HC26" i="1"/>
  <c r="HB26" i="1"/>
  <c r="HA26" i="1"/>
  <c r="GZ26" i="1"/>
  <c r="GY26" i="1"/>
  <c r="GX26" i="1"/>
  <c r="GW26" i="1"/>
  <c r="GV26" i="1"/>
  <c r="GU26" i="1"/>
  <c r="GT26" i="1"/>
  <c r="GS26" i="1"/>
  <c r="GR26" i="1"/>
  <c r="GQ26" i="1"/>
  <c r="GP26" i="1"/>
  <c r="GO26" i="1"/>
  <c r="GN26" i="1"/>
  <c r="GM26" i="1"/>
  <c r="GL26" i="1"/>
  <c r="GK26" i="1"/>
  <c r="GJ26" i="1"/>
  <c r="GI26" i="1"/>
  <c r="GH26" i="1"/>
  <c r="GG26" i="1"/>
  <c r="GF26" i="1"/>
  <c r="GE26" i="1"/>
  <c r="GD26" i="1"/>
  <c r="GC26" i="1"/>
  <c r="GB26" i="1"/>
  <c r="GA26" i="1"/>
  <c r="FZ26" i="1"/>
  <c r="FY26" i="1"/>
  <c r="FX26" i="1"/>
  <c r="FW26" i="1"/>
  <c r="FV26" i="1"/>
  <c r="FU26" i="1"/>
  <c r="FS26" i="1"/>
  <c r="FR26" i="1"/>
  <c r="FQ26" i="1"/>
  <c r="FP26" i="1"/>
  <c r="FO26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T26" i="1"/>
  <c r="ES26" i="1"/>
  <c r="FT26" i="1"/>
  <c r="HI25" i="1"/>
  <c r="HH25" i="1"/>
  <c r="HG25" i="1"/>
  <c r="HF25" i="1"/>
  <c r="HE25" i="1"/>
  <c r="HD25" i="1"/>
  <c r="HC25" i="1"/>
  <c r="HB25" i="1"/>
  <c r="HA25" i="1"/>
  <c r="GZ25" i="1"/>
  <c r="GY25" i="1"/>
  <c r="GX25" i="1"/>
  <c r="GW25" i="1"/>
  <c r="GV25" i="1"/>
  <c r="GU25" i="1"/>
  <c r="GT25" i="1"/>
  <c r="GS25" i="1"/>
  <c r="GR25" i="1"/>
  <c r="GQ25" i="1"/>
  <c r="GP25" i="1"/>
  <c r="GO25" i="1"/>
  <c r="GN25" i="1"/>
  <c r="GM25" i="1"/>
  <c r="GL25" i="1"/>
  <c r="GK25" i="1"/>
  <c r="GJ25" i="1"/>
  <c r="GI25" i="1"/>
  <c r="GH25" i="1"/>
  <c r="GG25" i="1"/>
  <c r="GF25" i="1"/>
  <c r="GE25" i="1"/>
  <c r="GD25" i="1"/>
  <c r="GC25" i="1"/>
  <c r="GB25" i="1"/>
  <c r="GA25" i="1"/>
  <c r="FZ25" i="1"/>
  <c r="FY25" i="1"/>
  <c r="FX25" i="1"/>
  <c r="FW25" i="1"/>
  <c r="FV25" i="1"/>
  <c r="FU25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T25" i="1"/>
  <c r="ES25" i="1"/>
  <c r="HJ25" i="1" s="1"/>
  <c r="FT25" i="1"/>
  <c r="HJ24" i="1"/>
  <c r="HI24" i="1"/>
  <c r="HH24" i="1"/>
  <c r="HG24" i="1"/>
  <c r="HF24" i="1"/>
  <c r="HE24" i="1"/>
  <c r="HD24" i="1"/>
  <c r="HC24" i="1"/>
  <c r="HB24" i="1"/>
  <c r="HA24" i="1"/>
  <c r="GZ24" i="1"/>
  <c r="GY24" i="1"/>
  <c r="GX24" i="1"/>
  <c r="GW24" i="1"/>
  <c r="GV24" i="1"/>
  <c r="GU24" i="1"/>
  <c r="GT24" i="1"/>
  <c r="GS24" i="1"/>
  <c r="GR24" i="1"/>
  <c r="GQ24" i="1"/>
  <c r="GP24" i="1"/>
  <c r="GO24" i="1"/>
  <c r="GN24" i="1"/>
  <c r="GM24" i="1"/>
  <c r="GL24" i="1"/>
  <c r="GK24" i="1"/>
  <c r="GJ24" i="1"/>
  <c r="GI24" i="1"/>
  <c r="GH24" i="1"/>
  <c r="GG24" i="1"/>
  <c r="GF24" i="1"/>
  <c r="GE24" i="1"/>
  <c r="GD24" i="1"/>
  <c r="GC24" i="1"/>
  <c r="GB24" i="1"/>
  <c r="GA24" i="1"/>
  <c r="FZ24" i="1"/>
  <c r="FY24" i="1"/>
  <c r="FX24" i="1"/>
  <c r="FW24" i="1"/>
  <c r="FV24" i="1"/>
  <c r="FU24" i="1"/>
  <c r="FT24" i="1"/>
  <c r="FS24" i="1"/>
  <c r="FR24" i="1"/>
  <c r="FQ24" i="1"/>
  <c r="FP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T24" i="1"/>
  <c r="ES24" i="1"/>
  <c r="HJ23" i="1"/>
  <c r="HI23" i="1"/>
  <c r="HH23" i="1"/>
  <c r="HG23" i="1"/>
  <c r="HF23" i="1"/>
  <c r="HE23" i="1"/>
  <c r="HD23" i="1"/>
  <c r="HC23" i="1"/>
  <c r="HB23" i="1"/>
  <c r="HA23" i="1"/>
  <c r="GZ23" i="1"/>
  <c r="GY23" i="1"/>
  <c r="GX23" i="1"/>
  <c r="GW23" i="1"/>
  <c r="GV23" i="1"/>
  <c r="GU23" i="1"/>
  <c r="GT23" i="1"/>
  <c r="GS23" i="1"/>
  <c r="GR23" i="1"/>
  <c r="GQ23" i="1"/>
  <c r="GP23" i="1"/>
  <c r="GO23" i="1"/>
  <c r="GN23" i="1"/>
  <c r="GM23" i="1"/>
  <c r="GL23" i="1"/>
  <c r="GK23" i="1"/>
  <c r="GJ23" i="1"/>
  <c r="GI23" i="1"/>
  <c r="GH23" i="1"/>
  <c r="GG23" i="1"/>
  <c r="GF23" i="1"/>
  <c r="GE23" i="1"/>
  <c r="GD23" i="1"/>
  <c r="GC23" i="1"/>
  <c r="GB23" i="1"/>
  <c r="GA23" i="1"/>
  <c r="FZ23" i="1"/>
  <c r="FY23" i="1"/>
  <c r="FX23" i="1"/>
  <c r="FW23" i="1"/>
  <c r="FV23" i="1"/>
  <c r="FU23" i="1"/>
  <c r="FT23" i="1"/>
  <c r="FS23" i="1"/>
  <c r="FR23" i="1"/>
  <c r="FQ23" i="1"/>
  <c r="FP23" i="1"/>
  <c r="FO23" i="1"/>
  <c r="FN23" i="1"/>
  <c r="FM23" i="1"/>
  <c r="FL23" i="1"/>
  <c r="FK23" i="1"/>
  <c r="FJ23" i="1"/>
  <c r="FI23" i="1"/>
  <c r="FH23" i="1"/>
  <c r="FG23" i="1"/>
  <c r="FF23" i="1"/>
  <c r="FE23" i="1"/>
  <c r="FD23" i="1"/>
  <c r="FC23" i="1"/>
  <c r="FB23" i="1"/>
  <c r="FA23" i="1"/>
  <c r="EZ23" i="1"/>
  <c r="EY23" i="1"/>
  <c r="EX23" i="1"/>
  <c r="EW23" i="1"/>
  <c r="ET23" i="1"/>
  <c r="ES23" i="1"/>
  <c r="HJ22" i="1"/>
  <c r="HI22" i="1"/>
  <c r="HH22" i="1"/>
  <c r="HG22" i="1"/>
  <c r="HF22" i="1"/>
  <c r="HE22" i="1"/>
  <c r="HD22" i="1"/>
  <c r="HC22" i="1"/>
  <c r="HB22" i="1"/>
  <c r="HA22" i="1"/>
  <c r="GZ22" i="1"/>
  <c r="GY22" i="1"/>
  <c r="GX22" i="1"/>
  <c r="GW22" i="1"/>
  <c r="GV22" i="1"/>
  <c r="GU22" i="1"/>
  <c r="GT22" i="1"/>
  <c r="GS22" i="1"/>
  <c r="GR22" i="1"/>
  <c r="GQ22" i="1"/>
  <c r="GP22" i="1"/>
  <c r="GO22" i="1"/>
  <c r="GN22" i="1"/>
  <c r="GM22" i="1"/>
  <c r="GL22" i="1"/>
  <c r="GK22" i="1"/>
  <c r="GJ22" i="1"/>
  <c r="GI22" i="1"/>
  <c r="GH22" i="1"/>
  <c r="GG22" i="1"/>
  <c r="GF22" i="1"/>
  <c r="GE22" i="1"/>
  <c r="GD22" i="1"/>
  <c r="GC22" i="1"/>
  <c r="GB22" i="1"/>
  <c r="GA22" i="1"/>
  <c r="FZ22" i="1"/>
  <c r="FY22" i="1"/>
  <c r="FX22" i="1"/>
  <c r="FW22" i="1"/>
  <c r="FV22" i="1"/>
  <c r="FU22" i="1"/>
  <c r="FT22" i="1"/>
  <c r="FS22" i="1"/>
  <c r="FR22" i="1"/>
  <c r="FQ22" i="1"/>
  <c r="FP22" i="1"/>
  <c r="FO22" i="1"/>
  <c r="FN22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ET22" i="1"/>
  <c r="ES22" i="1"/>
  <c r="HJ21" i="1"/>
  <c r="HI21" i="1"/>
  <c r="HH21" i="1"/>
  <c r="HG21" i="1"/>
  <c r="HF21" i="1"/>
  <c r="HE21" i="1"/>
  <c r="HD21" i="1"/>
  <c r="HC21" i="1"/>
  <c r="HB21" i="1"/>
  <c r="HA21" i="1"/>
  <c r="GZ21" i="1"/>
  <c r="GY21" i="1"/>
  <c r="GX21" i="1"/>
  <c r="GW21" i="1"/>
  <c r="GV21" i="1"/>
  <c r="GU21" i="1"/>
  <c r="GT21" i="1"/>
  <c r="GS21" i="1"/>
  <c r="GR21" i="1"/>
  <c r="GQ21" i="1"/>
  <c r="GP21" i="1"/>
  <c r="GO21" i="1"/>
  <c r="GN21" i="1"/>
  <c r="GM21" i="1"/>
  <c r="GL21" i="1"/>
  <c r="GK21" i="1"/>
  <c r="GJ21" i="1"/>
  <c r="GI21" i="1"/>
  <c r="GH21" i="1"/>
  <c r="GG21" i="1"/>
  <c r="GF21" i="1"/>
  <c r="GE21" i="1"/>
  <c r="GD21" i="1"/>
  <c r="GC21" i="1"/>
  <c r="GB21" i="1"/>
  <c r="GA21" i="1"/>
  <c r="FZ21" i="1"/>
  <c r="FY21" i="1"/>
  <c r="FX21" i="1"/>
  <c r="FW21" i="1"/>
  <c r="FV21" i="1"/>
  <c r="FU21" i="1"/>
  <c r="FT21" i="1"/>
  <c r="FS21" i="1"/>
  <c r="FR21" i="1"/>
  <c r="FQ21" i="1"/>
  <c r="FP21" i="1"/>
  <c r="FO21" i="1"/>
  <c r="FN21" i="1"/>
  <c r="FM21" i="1"/>
  <c r="FL21" i="1"/>
  <c r="FK21" i="1"/>
  <c r="FJ21" i="1"/>
  <c r="FI21" i="1"/>
  <c r="FH21" i="1"/>
  <c r="FG21" i="1"/>
  <c r="FF21" i="1"/>
  <c r="FE21" i="1"/>
  <c r="FD21" i="1"/>
  <c r="FC21" i="1"/>
  <c r="FB21" i="1"/>
  <c r="FA21" i="1"/>
  <c r="EZ21" i="1"/>
  <c r="EY21" i="1"/>
  <c r="EX21" i="1"/>
  <c r="EW21" i="1"/>
  <c r="ET21" i="1"/>
  <c r="ES21" i="1"/>
  <c r="HJ20" i="1"/>
  <c r="HI20" i="1"/>
  <c r="HH20" i="1"/>
  <c r="HG20" i="1"/>
  <c r="HF20" i="1"/>
  <c r="HE20" i="1"/>
  <c r="HD20" i="1"/>
  <c r="HC20" i="1"/>
  <c r="HB20" i="1"/>
  <c r="HA20" i="1"/>
  <c r="GZ20" i="1"/>
  <c r="GY20" i="1"/>
  <c r="GX20" i="1"/>
  <c r="GW20" i="1"/>
  <c r="GV20" i="1"/>
  <c r="GU20" i="1"/>
  <c r="GT20" i="1"/>
  <c r="GS20" i="1"/>
  <c r="GR20" i="1"/>
  <c r="GQ20" i="1"/>
  <c r="GP20" i="1"/>
  <c r="GO20" i="1"/>
  <c r="GN20" i="1"/>
  <c r="GM20" i="1"/>
  <c r="GL20" i="1"/>
  <c r="GK20" i="1"/>
  <c r="GJ20" i="1"/>
  <c r="GI20" i="1"/>
  <c r="GH20" i="1"/>
  <c r="GG20" i="1"/>
  <c r="GF20" i="1"/>
  <c r="GE20" i="1"/>
  <c r="GD20" i="1"/>
  <c r="GC20" i="1"/>
  <c r="GB20" i="1"/>
  <c r="GA20" i="1"/>
  <c r="FZ20" i="1"/>
  <c r="FY20" i="1"/>
  <c r="FX20" i="1"/>
  <c r="FW20" i="1"/>
  <c r="FV20" i="1"/>
  <c r="FU20" i="1"/>
  <c r="FT20" i="1"/>
  <c r="FS20" i="1"/>
  <c r="FR20" i="1"/>
  <c r="FQ20" i="1"/>
  <c r="FP20" i="1"/>
  <c r="FO20" i="1"/>
  <c r="FN20" i="1"/>
  <c r="FM20" i="1"/>
  <c r="FL20" i="1"/>
  <c r="FK20" i="1"/>
  <c r="FJ20" i="1"/>
  <c r="FI20" i="1"/>
  <c r="FH20" i="1"/>
  <c r="FG20" i="1"/>
  <c r="FF20" i="1"/>
  <c r="FE20" i="1"/>
  <c r="FD20" i="1"/>
  <c r="FC20" i="1"/>
  <c r="FB20" i="1"/>
  <c r="FA20" i="1"/>
  <c r="EZ20" i="1"/>
  <c r="EY20" i="1"/>
  <c r="EX20" i="1"/>
  <c r="EW20" i="1"/>
  <c r="ET20" i="1"/>
  <c r="ES20" i="1"/>
  <c r="HJ19" i="1"/>
  <c r="HI19" i="1"/>
  <c r="HH19" i="1"/>
  <c r="HG19" i="1"/>
  <c r="HF19" i="1"/>
  <c r="HE19" i="1"/>
  <c r="HD19" i="1"/>
  <c r="HC19" i="1"/>
  <c r="HB19" i="1"/>
  <c r="HA19" i="1"/>
  <c r="GZ19" i="1"/>
  <c r="GY19" i="1"/>
  <c r="GX19" i="1"/>
  <c r="GW19" i="1"/>
  <c r="GV19" i="1"/>
  <c r="GU19" i="1"/>
  <c r="GT19" i="1"/>
  <c r="GS19" i="1"/>
  <c r="GR19" i="1"/>
  <c r="GQ19" i="1"/>
  <c r="GP19" i="1"/>
  <c r="GO19" i="1"/>
  <c r="GN19" i="1"/>
  <c r="GM19" i="1"/>
  <c r="GL19" i="1"/>
  <c r="GK19" i="1"/>
  <c r="GJ19" i="1"/>
  <c r="GI19" i="1"/>
  <c r="GH19" i="1"/>
  <c r="GG19" i="1"/>
  <c r="GF19" i="1"/>
  <c r="GE19" i="1"/>
  <c r="GD19" i="1"/>
  <c r="GC19" i="1"/>
  <c r="GB19" i="1"/>
  <c r="GA19" i="1"/>
  <c r="FZ19" i="1"/>
  <c r="FY19" i="1"/>
  <c r="FX19" i="1"/>
  <c r="FW19" i="1"/>
  <c r="FV19" i="1"/>
  <c r="FU19" i="1"/>
  <c r="FT19" i="1"/>
  <c r="FS19" i="1"/>
  <c r="FR19" i="1"/>
  <c r="FQ19" i="1"/>
  <c r="FP19" i="1"/>
  <c r="FO19" i="1"/>
  <c r="FN19" i="1"/>
  <c r="FM19" i="1"/>
  <c r="FL19" i="1"/>
  <c r="FK19" i="1"/>
  <c r="FJ19" i="1"/>
  <c r="FI19" i="1"/>
  <c r="FH19" i="1"/>
  <c r="FG19" i="1"/>
  <c r="FF19" i="1"/>
  <c r="FE19" i="1"/>
  <c r="FD19" i="1"/>
  <c r="FC19" i="1"/>
  <c r="FB19" i="1"/>
  <c r="FA19" i="1"/>
  <c r="EZ19" i="1"/>
  <c r="EY19" i="1"/>
  <c r="EX19" i="1"/>
  <c r="EW19" i="1"/>
  <c r="ET19" i="1"/>
  <c r="ES19" i="1"/>
  <c r="HJ18" i="1"/>
  <c r="HI18" i="1"/>
  <c r="HH18" i="1"/>
  <c r="HG18" i="1"/>
  <c r="HF18" i="1"/>
  <c r="HE18" i="1"/>
  <c r="HD18" i="1"/>
  <c r="HC18" i="1"/>
  <c r="HB18" i="1"/>
  <c r="HA18" i="1"/>
  <c r="GZ18" i="1"/>
  <c r="GY18" i="1"/>
  <c r="GX18" i="1"/>
  <c r="GW18" i="1"/>
  <c r="GV18" i="1"/>
  <c r="GU18" i="1"/>
  <c r="GT18" i="1"/>
  <c r="GS18" i="1"/>
  <c r="GR18" i="1"/>
  <c r="GQ18" i="1"/>
  <c r="GP18" i="1"/>
  <c r="GO18" i="1"/>
  <c r="GN18" i="1"/>
  <c r="GM18" i="1"/>
  <c r="GL18" i="1"/>
  <c r="GK18" i="1"/>
  <c r="GJ18" i="1"/>
  <c r="GI18" i="1"/>
  <c r="GH18" i="1"/>
  <c r="GG18" i="1"/>
  <c r="GF18" i="1"/>
  <c r="GE18" i="1"/>
  <c r="GD18" i="1"/>
  <c r="GC18" i="1"/>
  <c r="GB18" i="1"/>
  <c r="GA18" i="1"/>
  <c r="FZ18" i="1"/>
  <c r="FY18" i="1"/>
  <c r="FX18" i="1"/>
  <c r="FW18" i="1"/>
  <c r="FV18" i="1"/>
  <c r="FU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T18" i="1"/>
  <c r="ES18" i="1"/>
  <c r="FT18" i="1"/>
  <c r="FS18" i="1"/>
  <c r="HJ17" i="1"/>
  <c r="HI17" i="1"/>
  <c r="HH17" i="1"/>
  <c r="HG17" i="1"/>
  <c r="HF17" i="1"/>
  <c r="HE17" i="1"/>
  <c r="HD17" i="1"/>
  <c r="HC17" i="1"/>
  <c r="HB17" i="1"/>
  <c r="HA17" i="1"/>
  <c r="GZ17" i="1"/>
  <c r="GY17" i="1"/>
  <c r="GX17" i="1"/>
  <c r="GW17" i="1"/>
  <c r="GV17" i="1"/>
  <c r="GU17" i="1"/>
  <c r="GT17" i="1"/>
  <c r="GS17" i="1"/>
  <c r="GR17" i="1"/>
  <c r="GQ17" i="1"/>
  <c r="GP17" i="1"/>
  <c r="GO17" i="1"/>
  <c r="GN17" i="1"/>
  <c r="GM17" i="1"/>
  <c r="GL17" i="1"/>
  <c r="GK17" i="1"/>
  <c r="GJ17" i="1"/>
  <c r="GI17" i="1"/>
  <c r="GH17" i="1"/>
  <c r="GG17" i="1"/>
  <c r="GF17" i="1"/>
  <c r="GE17" i="1"/>
  <c r="GD17" i="1"/>
  <c r="GC17" i="1"/>
  <c r="GB17" i="1"/>
  <c r="GA17" i="1"/>
  <c r="FZ17" i="1"/>
  <c r="FY17" i="1"/>
  <c r="FX17" i="1"/>
  <c r="FW17" i="1"/>
  <c r="FV17" i="1"/>
  <c r="FU17" i="1"/>
  <c r="FT17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HI16" i="1"/>
  <c r="HH16" i="1"/>
  <c r="HG16" i="1"/>
  <c r="HF16" i="1"/>
  <c r="HE16" i="1"/>
  <c r="HD16" i="1"/>
  <c r="HC16" i="1"/>
  <c r="HB16" i="1"/>
  <c r="HA16" i="1"/>
  <c r="GZ16" i="1"/>
  <c r="GY16" i="1"/>
  <c r="GX16" i="1"/>
  <c r="GW16" i="1"/>
  <c r="GV16" i="1"/>
  <c r="GU16" i="1"/>
  <c r="GT16" i="1"/>
  <c r="GS16" i="1"/>
  <c r="GR16" i="1"/>
  <c r="GQ16" i="1"/>
  <c r="GP16" i="1"/>
  <c r="GO16" i="1"/>
  <c r="GN16" i="1"/>
  <c r="GM16" i="1"/>
  <c r="GL16" i="1"/>
  <c r="GK16" i="1"/>
  <c r="GJ16" i="1"/>
  <c r="GI16" i="1"/>
  <c r="GH16" i="1"/>
  <c r="GG16" i="1"/>
  <c r="GF16" i="1"/>
  <c r="GE16" i="1"/>
  <c r="GD16" i="1"/>
  <c r="GC16" i="1"/>
  <c r="GB16" i="1"/>
  <c r="GA16" i="1"/>
  <c r="FZ16" i="1"/>
  <c r="FY16" i="1"/>
  <c r="FX16" i="1"/>
  <c r="FW16" i="1"/>
  <c r="FV16" i="1"/>
  <c r="FU16" i="1"/>
  <c r="FT16" i="1"/>
  <c r="FS16" i="1"/>
  <c r="FR16" i="1"/>
  <c r="FQ16" i="1"/>
  <c r="FP16" i="1"/>
  <c r="FO16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T16" i="1"/>
  <c r="ES16" i="1"/>
  <c r="HJ16" i="1" s="1"/>
  <c r="HI15" i="1"/>
  <c r="HH15" i="1"/>
  <c r="HG15" i="1"/>
  <c r="HF15" i="1"/>
  <c r="HE15" i="1"/>
  <c r="HD15" i="1"/>
  <c r="HC15" i="1"/>
  <c r="HB15" i="1"/>
  <c r="HA15" i="1"/>
  <c r="GZ15" i="1"/>
  <c r="GY15" i="1"/>
  <c r="GX15" i="1"/>
  <c r="GW15" i="1"/>
  <c r="GV15" i="1"/>
  <c r="GU15" i="1"/>
  <c r="GT15" i="1"/>
  <c r="GS15" i="1"/>
  <c r="GR15" i="1"/>
  <c r="GQ15" i="1"/>
  <c r="GP15" i="1"/>
  <c r="GO15" i="1"/>
  <c r="GN15" i="1"/>
  <c r="GM15" i="1"/>
  <c r="GL15" i="1"/>
  <c r="GK15" i="1"/>
  <c r="GJ15" i="1"/>
  <c r="GI15" i="1"/>
  <c r="GH15" i="1"/>
  <c r="GG15" i="1"/>
  <c r="GF15" i="1"/>
  <c r="GE15" i="1"/>
  <c r="GD15" i="1"/>
  <c r="GC15" i="1"/>
  <c r="GB15" i="1"/>
  <c r="GA15" i="1"/>
  <c r="FZ15" i="1"/>
  <c r="FY15" i="1"/>
  <c r="FX15" i="1"/>
  <c r="FW15" i="1"/>
  <c r="FV15" i="1"/>
  <c r="FU15" i="1"/>
  <c r="FT15" i="1"/>
  <c r="FS15" i="1"/>
  <c r="FR15" i="1"/>
  <c r="FQ15" i="1"/>
  <c r="FP15" i="1"/>
  <c r="FO15" i="1"/>
  <c r="FN15" i="1"/>
  <c r="FM15" i="1"/>
  <c r="FL15" i="1"/>
  <c r="FK15" i="1"/>
  <c r="FJ15" i="1"/>
  <c r="FI15" i="1"/>
  <c r="FH15" i="1"/>
  <c r="FG15" i="1"/>
  <c r="FF15" i="1"/>
  <c r="FE15" i="1"/>
  <c r="FD15" i="1"/>
  <c r="FC15" i="1"/>
  <c r="FB15" i="1"/>
  <c r="FA15" i="1"/>
  <c r="EZ15" i="1"/>
  <c r="EY15" i="1"/>
  <c r="EX15" i="1"/>
  <c r="EW15" i="1"/>
  <c r="ET15" i="1"/>
  <c r="ES15" i="1"/>
  <c r="HJ15" i="1" s="1"/>
  <c r="HI14" i="1"/>
  <c r="HH14" i="1"/>
  <c r="HG14" i="1"/>
  <c r="HF14" i="1"/>
  <c r="HE14" i="1"/>
  <c r="HD14" i="1"/>
  <c r="HC14" i="1"/>
  <c r="HB14" i="1"/>
  <c r="HA14" i="1"/>
  <c r="GZ14" i="1"/>
  <c r="GY14" i="1"/>
  <c r="GX14" i="1"/>
  <c r="GW14" i="1"/>
  <c r="GV14" i="1"/>
  <c r="GU14" i="1"/>
  <c r="GT14" i="1"/>
  <c r="GS14" i="1"/>
  <c r="GR14" i="1"/>
  <c r="GQ14" i="1"/>
  <c r="GP14" i="1"/>
  <c r="GO14" i="1"/>
  <c r="GN14" i="1"/>
  <c r="GM14" i="1"/>
  <c r="GL14" i="1"/>
  <c r="GK14" i="1"/>
  <c r="GJ14" i="1"/>
  <c r="GI14" i="1"/>
  <c r="GH14" i="1"/>
  <c r="GG14" i="1"/>
  <c r="GF14" i="1"/>
  <c r="GE14" i="1"/>
  <c r="GD14" i="1"/>
  <c r="GC14" i="1"/>
  <c r="GB14" i="1"/>
  <c r="GA14" i="1"/>
  <c r="FZ14" i="1"/>
  <c r="FY14" i="1"/>
  <c r="FX14" i="1"/>
  <c r="FW14" i="1"/>
  <c r="FV14" i="1"/>
  <c r="FU14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T14" i="1"/>
  <c r="ES14" i="1"/>
  <c r="HJ14" i="1" s="1"/>
  <c r="FT14" i="1"/>
  <c r="HI13" i="1"/>
  <c r="HH13" i="1"/>
  <c r="HG13" i="1"/>
  <c r="HF13" i="1"/>
  <c r="HE13" i="1"/>
  <c r="HD13" i="1"/>
  <c r="HC13" i="1"/>
  <c r="HB13" i="1"/>
  <c r="HA13" i="1"/>
  <c r="GZ13" i="1"/>
  <c r="GY13" i="1"/>
  <c r="GX13" i="1"/>
  <c r="GW13" i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GF13" i="1"/>
  <c r="GE13" i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T13" i="1"/>
  <c r="HJ13" i="1" s="1"/>
  <c r="ES13" i="1"/>
  <c r="HI12" i="1"/>
  <c r="HH12" i="1"/>
  <c r="HG12" i="1"/>
  <c r="HF12" i="1"/>
  <c r="HE12" i="1"/>
  <c r="HD12" i="1"/>
  <c r="HC12" i="1"/>
  <c r="HB12" i="1"/>
  <c r="HA12" i="1"/>
  <c r="GZ12" i="1"/>
  <c r="GY12" i="1"/>
  <c r="GX12" i="1"/>
  <c r="GW12" i="1"/>
  <c r="GV12" i="1"/>
  <c r="GU12" i="1"/>
  <c r="GT12" i="1"/>
  <c r="GS12" i="1"/>
  <c r="GR12" i="1"/>
  <c r="GQ12" i="1"/>
  <c r="GP12" i="1"/>
  <c r="GO12" i="1"/>
  <c r="GN12" i="1"/>
  <c r="GM12" i="1"/>
  <c r="GL12" i="1"/>
  <c r="GK12" i="1"/>
  <c r="GJ12" i="1"/>
  <c r="GI12" i="1"/>
  <c r="GH12" i="1"/>
  <c r="GG12" i="1"/>
  <c r="GF12" i="1"/>
  <c r="GE12" i="1"/>
  <c r="GD12" i="1"/>
  <c r="GC12" i="1"/>
  <c r="GB12" i="1"/>
  <c r="GA12" i="1"/>
  <c r="FZ12" i="1"/>
  <c r="FY12" i="1"/>
  <c r="FX12" i="1"/>
  <c r="FW12" i="1"/>
  <c r="FV12" i="1"/>
  <c r="FU12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T12" i="1"/>
  <c r="HJ12" i="1" s="1"/>
  <c r="ES12" i="1"/>
  <c r="HI11" i="1"/>
  <c r="HH11" i="1"/>
  <c r="HG11" i="1"/>
  <c r="HF11" i="1"/>
  <c r="HE11" i="1"/>
  <c r="HD11" i="1"/>
  <c r="HC11" i="1"/>
  <c r="HB11" i="1"/>
  <c r="HA11" i="1"/>
  <c r="GZ11" i="1"/>
  <c r="GY11" i="1"/>
  <c r="GX11" i="1"/>
  <c r="GW11" i="1"/>
  <c r="GV11" i="1"/>
  <c r="GU11" i="1"/>
  <c r="GT11" i="1"/>
  <c r="GS11" i="1"/>
  <c r="GR11" i="1"/>
  <c r="GQ11" i="1"/>
  <c r="GP11" i="1"/>
  <c r="GO11" i="1"/>
  <c r="GN11" i="1"/>
  <c r="GM11" i="1"/>
  <c r="GL11" i="1"/>
  <c r="GK11" i="1"/>
  <c r="GJ11" i="1"/>
  <c r="GI11" i="1"/>
  <c r="GH11" i="1"/>
  <c r="GG11" i="1"/>
  <c r="GF11" i="1"/>
  <c r="GE11" i="1"/>
  <c r="GD11" i="1"/>
  <c r="GC11" i="1"/>
  <c r="GB11" i="1"/>
  <c r="GA11" i="1"/>
  <c r="FZ11" i="1"/>
  <c r="FY11" i="1"/>
  <c r="FX11" i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T11" i="1"/>
  <c r="HJ11" i="1" s="1"/>
  <c r="ES11" i="1"/>
  <c r="HI10" i="1"/>
  <c r="HH10" i="1"/>
  <c r="HG10" i="1"/>
  <c r="HF10" i="1"/>
  <c r="HE10" i="1"/>
  <c r="HD10" i="1"/>
  <c r="HC10" i="1"/>
  <c r="HB10" i="1"/>
  <c r="HA10" i="1"/>
  <c r="GZ10" i="1"/>
  <c r="GY10" i="1"/>
  <c r="GX10" i="1"/>
  <c r="GW10" i="1"/>
  <c r="GV10" i="1"/>
  <c r="GU10" i="1"/>
  <c r="GT10" i="1"/>
  <c r="GS10" i="1"/>
  <c r="GR10" i="1"/>
  <c r="GQ10" i="1"/>
  <c r="GP10" i="1"/>
  <c r="GO10" i="1"/>
  <c r="GN10" i="1"/>
  <c r="GM10" i="1"/>
  <c r="GL10" i="1"/>
  <c r="GK10" i="1"/>
  <c r="GJ10" i="1"/>
  <c r="GI10" i="1"/>
  <c r="GH10" i="1"/>
  <c r="GG10" i="1"/>
  <c r="GF10" i="1"/>
  <c r="GE10" i="1"/>
  <c r="GD10" i="1"/>
  <c r="GC10" i="1"/>
  <c r="GB10" i="1"/>
  <c r="GA10" i="1"/>
  <c r="FZ10" i="1"/>
  <c r="FY10" i="1"/>
  <c r="FX10" i="1"/>
  <c r="FW10" i="1"/>
  <c r="FV10" i="1"/>
  <c r="FU10" i="1"/>
  <c r="FT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T10" i="1"/>
  <c r="HJ10" i="1" s="1"/>
  <c r="ES10" i="1"/>
  <c r="FS10" i="1"/>
  <c r="HJ9" i="1"/>
  <c r="HI9" i="1"/>
  <c r="HH9" i="1"/>
  <c r="HG9" i="1"/>
  <c r="HF9" i="1"/>
  <c r="HE9" i="1"/>
  <c r="HD9" i="1"/>
  <c r="HC9" i="1"/>
  <c r="HB9" i="1"/>
  <c r="HA9" i="1"/>
  <c r="GZ9" i="1"/>
  <c r="GY9" i="1"/>
  <c r="GX9" i="1"/>
  <c r="GW9" i="1"/>
  <c r="GV9" i="1"/>
  <c r="GU9" i="1"/>
  <c r="GT9" i="1"/>
  <c r="GS9" i="1"/>
  <c r="GR9" i="1"/>
  <c r="GQ9" i="1"/>
  <c r="GP9" i="1"/>
  <c r="GO9" i="1"/>
  <c r="GN9" i="1"/>
  <c r="GM9" i="1"/>
  <c r="GL9" i="1"/>
  <c r="GK9" i="1"/>
  <c r="GJ9" i="1"/>
  <c r="GI9" i="1"/>
  <c r="GH9" i="1"/>
  <c r="GG9" i="1"/>
  <c r="GF9" i="1"/>
  <c r="GE9" i="1"/>
  <c r="GD9" i="1"/>
  <c r="GC9" i="1"/>
  <c r="GB9" i="1"/>
  <c r="GA9" i="1"/>
  <c r="FZ9" i="1"/>
  <c r="FY9" i="1"/>
  <c r="FX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A9" i="1"/>
  <c r="EZ9" i="1"/>
  <c r="EY9" i="1"/>
  <c r="EX9" i="1"/>
  <c r="EW9" i="1"/>
  <c r="ET9" i="1"/>
  <c r="ES9" i="1"/>
  <c r="HI8" i="1"/>
  <c r="HH8" i="1"/>
  <c r="HG8" i="1"/>
  <c r="HF8" i="1"/>
  <c r="HE8" i="1"/>
  <c r="HD8" i="1"/>
  <c r="HC8" i="1"/>
  <c r="HB8" i="1"/>
  <c r="HA8" i="1"/>
  <c r="GZ8" i="1"/>
  <c r="GY8" i="1"/>
  <c r="GX8" i="1"/>
  <c r="GW8" i="1"/>
  <c r="GV8" i="1"/>
  <c r="GU8" i="1"/>
  <c r="GT8" i="1"/>
  <c r="GS8" i="1"/>
  <c r="GR8" i="1"/>
  <c r="GQ8" i="1"/>
  <c r="GP8" i="1"/>
  <c r="GO8" i="1"/>
  <c r="GN8" i="1"/>
  <c r="GM8" i="1"/>
  <c r="GL8" i="1"/>
  <c r="GK8" i="1"/>
  <c r="GJ8" i="1"/>
  <c r="GI8" i="1"/>
  <c r="GH8" i="1"/>
  <c r="GG8" i="1"/>
  <c r="GF8" i="1"/>
  <c r="GE8" i="1"/>
  <c r="GD8" i="1"/>
  <c r="GC8" i="1"/>
  <c r="GB8" i="1"/>
  <c r="GA8" i="1"/>
  <c r="FZ8" i="1"/>
  <c r="FY8" i="1"/>
  <c r="FX8" i="1"/>
  <c r="FW8" i="1"/>
  <c r="FV8" i="1"/>
  <c r="FU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T8" i="1"/>
  <c r="HJ8" i="1" s="1"/>
  <c r="ES8" i="1"/>
  <c r="FT8" i="1"/>
  <c r="FS8" i="1"/>
  <c r="HI7" i="1"/>
  <c r="HH7" i="1"/>
  <c r="HG7" i="1"/>
  <c r="HF7" i="1"/>
  <c r="HE7" i="1"/>
  <c r="HD7" i="1"/>
  <c r="HC7" i="1"/>
  <c r="HB7" i="1"/>
  <c r="HA7" i="1"/>
  <c r="GZ7" i="1"/>
  <c r="GY7" i="1"/>
  <c r="GX7" i="1"/>
  <c r="GW7" i="1"/>
  <c r="GV7" i="1"/>
  <c r="GU7" i="1"/>
  <c r="GT7" i="1"/>
  <c r="GS7" i="1"/>
  <c r="GR7" i="1"/>
  <c r="GQ7" i="1"/>
  <c r="GP7" i="1"/>
  <c r="GO7" i="1"/>
  <c r="GN7" i="1"/>
  <c r="GM7" i="1"/>
  <c r="GL7" i="1"/>
  <c r="GK7" i="1"/>
  <c r="GJ7" i="1"/>
  <c r="GI7" i="1"/>
  <c r="GH7" i="1"/>
  <c r="GG7" i="1"/>
  <c r="GF7" i="1"/>
  <c r="GE7" i="1"/>
  <c r="GD7" i="1"/>
  <c r="GC7" i="1"/>
  <c r="GB7" i="1"/>
  <c r="GA7" i="1"/>
  <c r="FZ7" i="1"/>
  <c r="FY7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T7" i="1"/>
  <c r="ES7" i="1"/>
  <c r="HJ7" i="1" s="1"/>
  <c r="HJ6" i="1"/>
  <c r="HI6" i="1"/>
  <c r="HH6" i="1"/>
  <c r="HG6" i="1"/>
  <c r="HF6" i="1"/>
  <c r="HE6" i="1"/>
  <c r="HD6" i="1"/>
  <c r="HC6" i="1"/>
  <c r="HB6" i="1"/>
  <c r="HA6" i="1"/>
  <c r="GZ6" i="1"/>
  <c r="GY6" i="1"/>
  <c r="GX6" i="1"/>
  <c r="GW6" i="1"/>
  <c r="GV6" i="1"/>
  <c r="GU6" i="1"/>
  <c r="GT6" i="1"/>
  <c r="GS6" i="1"/>
  <c r="GR6" i="1"/>
  <c r="GQ6" i="1"/>
  <c r="GP6" i="1"/>
  <c r="GO6" i="1"/>
  <c r="GN6" i="1"/>
  <c r="GM6" i="1"/>
  <c r="GL6" i="1"/>
  <c r="GK6" i="1"/>
  <c r="GJ6" i="1"/>
  <c r="GI6" i="1"/>
  <c r="GH6" i="1"/>
  <c r="GG6" i="1"/>
  <c r="GF6" i="1"/>
  <c r="GE6" i="1"/>
  <c r="GD6" i="1"/>
  <c r="GC6" i="1"/>
  <c r="GB6" i="1"/>
  <c r="GA6" i="1"/>
  <c r="FZ6" i="1"/>
  <c r="FY6" i="1"/>
  <c r="FX6" i="1"/>
  <c r="FW6" i="1"/>
  <c r="FV6" i="1"/>
  <c r="FU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T6" i="1"/>
  <c r="ES6" i="1"/>
  <c r="HI5" i="1"/>
  <c r="HH5" i="1"/>
  <c r="HG5" i="1"/>
  <c r="HF5" i="1"/>
  <c r="HE5" i="1"/>
  <c r="HD5" i="1"/>
  <c r="HC5" i="1"/>
  <c r="HB5" i="1"/>
  <c r="HA5" i="1"/>
  <c r="GZ5" i="1"/>
  <c r="GY5" i="1"/>
  <c r="GX5" i="1"/>
  <c r="GW5" i="1"/>
  <c r="GV5" i="1"/>
  <c r="GU5" i="1"/>
  <c r="GT5" i="1"/>
  <c r="GS5" i="1"/>
  <c r="GR5" i="1"/>
  <c r="GQ5" i="1"/>
  <c r="GP5" i="1"/>
  <c r="GO5" i="1"/>
  <c r="GN5" i="1"/>
  <c r="GM5" i="1"/>
  <c r="GL5" i="1"/>
  <c r="GK5" i="1"/>
  <c r="GJ5" i="1"/>
  <c r="GI5" i="1"/>
  <c r="GH5" i="1"/>
  <c r="GG5" i="1"/>
  <c r="GF5" i="1"/>
  <c r="GE5" i="1"/>
  <c r="GD5" i="1"/>
  <c r="GC5" i="1"/>
  <c r="GB5" i="1"/>
  <c r="GA5" i="1"/>
  <c r="FZ5" i="1"/>
  <c r="FY5" i="1"/>
  <c r="FX5" i="1"/>
  <c r="FW5" i="1"/>
  <c r="FV5" i="1"/>
  <c r="FU5" i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T5" i="1"/>
  <c r="ES5" i="1"/>
  <c r="HJ5" i="1" s="1"/>
  <c r="HI4" i="1"/>
  <c r="HH4" i="1"/>
  <c r="HG4" i="1"/>
  <c r="HF4" i="1"/>
  <c r="HE4" i="1"/>
  <c r="HD4" i="1"/>
  <c r="HC4" i="1"/>
  <c r="HB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GL4" i="1"/>
  <c r="GK4" i="1"/>
  <c r="GJ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N4" i="1"/>
  <c r="FM4" i="1"/>
  <c r="FL4" i="1"/>
  <c r="FK4" i="1"/>
  <c r="FJ4" i="1"/>
  <c r="FI4" i="1"/>
  <c r="FH4" i="1"/>
  <c r="FG4" i="1"/>
  <c r="FF4" i="1"/>
  <c r="FE4" i="1"/>
  <c r="FD4" i="1"/>
  <c r="FC4" i="1"/>
  <c r="FB4" i="1"/>
  <c r="FA4" i="1"/>
  <c r="EZ4" i="1"/>
  <c r="EY4" i="1"/>
  <c r="EX4" i="1"/>
  <c r="EW4" i="1"/>
  <c r="ET4" i="1"/>
  <c r="ES4" i="1"/>
  <c r="HJ4" i="1" s="1"/>
  <c r="HJ3" i="1"/>
  <c r="HI3" i="1"/>
  <c r="HH3" i="1"/>
  <c r="HG3" i="1"/>
  <c r="HF3" i="1"/>
  <c r="HE3" i="1"/>
  <c r="HD3" i="1"/>
  <c r="HC3" i="1"/>
  <c r="HB3" i="1"/>
  <c r="HA3" i="1"/>
  <c r="GZ3" i="1"/>
  <c r="GY3" i="1"/>
  <c r="GX3" i="1"/>
  <c r="GW3" i="1"/>
  <c r="GV3" i="1"/>
  <c r="GU3" i="1"/>
  <c r="GT3" i="1"/>
  <c r="GS3" i="1"/>
  <c r="GR3" i="1"/>
  <c r="GQ3" i="1"/>
  <c r="GP3" i="1"/>
  <c r="GO3" i="1"/>
  <c r="GN3" i="1"/>
  <c r="GM3" i="1"/>
  <c r="GL3" i="1"/>
  <c r="GK3" i="1"/>
  <c r="GJ3" i="1"/>
  <c r="GI3" i="1"/>
  <c r="GH3" i="1"/>
  <c r="GG3" i="1"/>
  <c r="GF3" i="1"/>
  <c r="GE3" i="1"/>
  <c r="GD3" i="1"/>
  <c r="GC3" i="1"/>
  <c r="GB3" i="1"/>
  <c r="GA3" i="1"/>
  <c r="FZ3" i="1"/>
  <c r="FY3" i="1"/>
  <c r="FX3" i="1"/>
  <c r="FW3" i="1"/>
  <c r="FV3" i="1"/>
  <c r="FU3" i="1"/>
  <c r="FT3" i="1"/>
  <c r="FS3" i="1"/>
  <c r="FR3" i="1"/>
  <c r="FQ3" i="1"/>
  <c r="FP3" i="1"/>
  <c r="FO3" i="1"/>
  <c r="FN3" i="1"/>
  <c r="FM3" i="1"/>
  <c r="FL3" i="1"/>
  <c r="FK3" i="1"/>
  <c r="FJ3" i="1"/>
  <c r="FI3" i="1"/>
  <c r="FH3" i="1"/>
  <c r="FG3" i="1"/>
  <c r="FF3" i="1"/>
  <c r="FE3" i="1"/>
  <c r="FD3" i="1"/>
  <c r="FC3" i="1"/>
  <c r="FB3" i="1"/>
  <c r="FA3" i="1"/>
  <c r="EZ3" i="1"/>
  <c r="EY3" i="1"/>
  <c r="EX3" i="1"/>
  <c r="EW3" i="1"/>
  <c r="R3" i="3"/>
  <c r="S3" i="3"/>
  <c r="T3" i="3"/>
  <c r="R4" i="3"/>
  <c r="S4" i="3"/>
  <c r="T4" i="3"/>
  <c r="R5" i="3"/>
  <c r="S5" i="3"/>
  <c r="T5" i="3"/>
  <c r="R6" i="3"/>
  <c r="S6" i="3"/>
  <c r="T6" i="3"/>
  <c r="R7" i="3"/>
  <c r="S7" i="3"/>
  <c r="T7" i="3"/>
  <c r="R8" i="3"/>
  <c r="S8" i="3"/>
  <c r="T8" i="3"/>
  <c r="R9" i="3"/>
  <c r="S9" i="3"/>
  <c r="T9" i="3"/>
  <c r="R10" i="3"/>
  <c r="S10" i="3"/>
  <c r="T10" i="3"/>
  <c r="R11" i="3"/>
  <c r="S11" i="3"/>
  <c r="T11" i="3"/>
  <c r="R12" i="3"/>
  <c r="S12" i="3"/>
  <c r="T12" i="3"/>
  <c r="R13" i="3"/>
  <c r="S13" i="3"/>
  <c r="T13" i="3"/>
  <c r="R14" i="3"/>
  <c r="S14" i="3"/>
  <c r="T14" i="3"/>
  <c r="R15" i="3"/>
  <c r="S15" i="3"/>
  <c r="T15" i="3"/>
  <c r="R16" i="3"/>
  <c r="S16" i="3"/>
  <c r="T16" i="3"/>
  <c r="R17" i="3"/>
  <c r="S17" i="3"/>
  <c r="T17" i="3"/>
  <c r="R18" i="3"/>
  <c r="S18" i="3"/>
  <c r="T18" i="3"/>
  <c r="R19" i="3"/>
  <c r="S19" i="3"/>
  <c r="T19" i="3"/>
  <c r="R20" i="3"/>
  <c r="S20" i="3"/>
  <c r="T20" i="3"/>
  <c r="R21" i="3"/>
  <c r="S21" i="3"/>
  <c r="T21" i="3"/>
  <c r="R22" i="3"/>
  <c r="S22" i="3"/>
  <c r="T22" i="3"/>
  <c r="R23" i="3"/>
  <c r="S23" i="3"/>
  <c r="T23" i="3"/>
  <c r="R24" i="3"/>
  <c r="S24" i="3"/>
  <c r="T24" i="3"/>
  <c r="R25" i="3"/>
  <c r="S25" i="3"/>
  <c r="T25" i="3"/>
  <c r="R26" i="3"/>
  <c r="S26" i="3"/>
  <c r="T26" i="3"/>
  <c r="R27" i="3"/>
  <c r="S27" i="3"/>
  <c r="T27" i="3"/>
  <c r="R2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D12" i="3"/>
  <c r="E12" i="3"/>
  <c r="F12" i="3"/>
  <c r="G12" i="3"/>
  <c r="H12" i="3"/>
  <c r="I12" i="3"/>
  <c r="J12" i="3"/>
  <c r="K12" i="3"/>
  <c r="L12" i="3"/>
  <c r="O12" i="3"/>
  <c r="P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A22" i="3"/>
  <c r="B22" i="3"/>
  <c r="A23" i="3"/>
  <c r="B23" i="3"/>
  <c r="A24" i="3"/>
  <c r="B24" i="3"/>
  <c r="A25" i="3"/>
  <c r="B25" i="3"/>
  <c r="A26" i="3"/>
  <c r="B26" i="3"/>
  <c r="A27" i="3"/>
  <c r="B27" i="3"/>
  <c r="A3" i="3"/>
  <c r="B3" i="3"/>
  <c r="A4" i="3"/>
  <c r="B4" i="3"/>
  <c r="A5" i="3"/>
  <c r="B5" i="3"/>
  <c r="A6" i="3"/>
  <c r="B6" i="3"/>
  <c r="A7" i="3"/>
  <c r="B7" i="3"/>
  <c r="A8" i="3"/>
  <c r="B8" i="3"/>
  <c r="A9" i="3"/>
  <c r="B9" i="3"/>
  <c r="A10" i="3"/>
  <c r="B10" i="3"/>
  <c r="A11" i="3"/>
  <c r="B11" i="3"/>
  <c r="A12" i="3"/>
  <c r="B12" i="3"/>
  <c r="A13" i="3"/>
  <c r="B13" i="3"/>
  <c r="A14" i="3"/>
  <c r="B14" i="3"/>
  <c r="A15" i="3"/>
  <c r="B15" i="3"/>
  <c r="A16" i="3"/>
  <c r="B16" i="3"/>
  <c r="A17" i="3"/>
  <c r="B17" i="3"/>
  <c r="A18" i="3"/>
  <c r="B18" i="3"/>
  <c r="A19" i="3"/>
  <c r="B19" i="3"/>
  <c r="A20" i="3"/>
  <c r="B20" i="3"/>
  <c r="A21" i="3"/>
  <c r="B21" i="3"/>
  <c r="B2" i="3"/>
  <c r="A2" i="3"/>
  <c r="C34" i="3" l="1"/>
  <c r="C30" i="3"/>
  <c r="C32" i="3"/>
  <c r="C35" i="3"/>
  <c r="C29" i="3"/>
  <c r="C31" i="3"/>
  <c r="C33" i="3"/>
  <c r="C25" i="3"/>
  <c r="C2" i="3"/>
  <c r="C19" i="3"/>
  <c r="C3" i="3"/>
  <c r="C26" i="3"/>
  <c r="C18" i="3"/>
  <c r="C10" i="3"/>
  <c r="C6" i="3"/>
  <c r="C4" i="3"/>
  <c r="C17" i="3"/>
  <c r="C15" i="3"/>
  <c r="C11" i="3"/>
  <c r="C20" i="3"/>
  <c r="C14" i="3"/>
  <c r="C12" i="3"/>
  <c r="C9" i="3"/>
  <c r="C7" i="3"/>
  <c r="C27" i="3"/>
  <c r="C24" i="3"/>
  <c r="C22" i="3"/>
  <c r="C16" i="3"/>
  <c r="C13" i="3"/>
  <c r="C5" i="3"/>
  <c r="C23" i="3"/>
  <c r="C21" i="3"/>
  <c r="C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4" authorId="0" shapeId="0" xr:uid="{99A41B64-4EA0-CD4E-9A25-0540C88C209E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ID#AAAAyv48TR0
</t>
        </r>
        <r>
          <rPr>
            <sz val="11"/>
            <color rgb="FF000000"/>
            <rFont val="Calibri"/>
            <family val="2"/>
          </rPr>
          <t xml:space="preserve">R B    (2023-06-08 12:33:25)
</t>
        </r>
        <r>
          <rPr>
            <sz val="11"/>
            <color rgb="FF000000"/>
            <rFont val="Calibri"/>
            <family val="2"/>
          </rPr>
          <t>White/other</t>
        </r>
      </text>
    </comment>
    <comment ref="P4" authorId="0" shapeId="0" xr:uid="{71AB2CFC-1F6D-C74C-944F-19FFB2DB7706}">
      <text>
        <r>
          <rPr>
            <sz val="11"/>
            <color theme="1"/>
            <rFont val="Calibri"/>
            <family val="2"/>
            <scheme val="minor"/>
          </rPr>
          <t>======
ID#AAAAyv48TOI
tc={1376C732-31B8-4C89-B97E-F63CC7153AE5}    (2023-06-08 12:33:25)
[Threaded comment]
Your version of Excel allows you to read this threaded comment; however, any edits to it will get removed if the file is opened in a newer version of Excel. Learn more: https://go.microsoft.com/fwlink/?linkid=870924
Comment:
    White or other</t>
        </r>
      </text>
    </comment>
    <comment ref="V4" authorId="0" shapeId="0" xr:uid="{C9865CEC-5D58-764C-B7D6-38D90E7E2F3E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ID#AAAAyv48TRc
</t>
        </r>
        <r>
          <rPr>
            <sz val="11"/>
            <color rgb="FF000000"/>
            <rFont val="Calibri"/>
            <family val="2"/>
          </rPr>
          <t xml:space="preserve">tc={2BE2550D-2971-4249-9923-9C6F8F5E427A}    (2023-06-08 12:33:25)
</t>
        </r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psych ED</t>
        </r>
      </text>
    </comment>
    <comment ref="DC4" authorId="0" shapeId="0" xr:uid="{16AFA569-1791-2F48-B0F9-B792DB001DEC}">
      <text>
        <r>
          <rPr>
            <sz val="11"/>
            <color theme="1"/>
            <rFont val="Calibri"/>
            <family val="2"/>
            <scheme val="minor"/>
          </rPr>
          <t>======
ID#AAAAyv48TRk
R B    (2023-06-08 12:33:25)
Not specified, but implied in method section "multiple data sources included […] and results of urine toxicologic screens conducted routinely on all emergency department admissions"</t>
        </r>
      </text>
    </comment>
    <comment ref="DD4" authorId="0" shapeId="0" xr:uid="{2335851C-CC6A-7A47-9479-8597024DE551}">
      <text>
        <r>
          <rPr>
            <sz val="11"/>
            <color theme="1"/>
            <rFont val="Calibri"/>
            <family val="2"/>
            <scheme val="minor"/>
          </rPr>
          <t>======
ID#AAAAyv48TPM
tc={BD46BB13-0388-4C9C-8CAB-3227424BE099}    (2023-06-08 12:33:25)
[Threaded comment]
Your version of Excel allows you to read this threaded comment; however, any edits to it will get removed if the file is opened in a newer version of Excel. Learn more: https://go.microsoft.com/fwlink/?linkid=870924
Comment:
    Whole sample - done on admission to psychiatric emergency department</t>
        </r>
      </text>
    </comment>
    <comment ref="DF4" authorId="0" shapeId="0" xr:uid="{5370B033-CB66-E745-BC43-3304D7BD2DEF}">
      <text>
        <r>
          <rPr>
            <sz val="11"/>
            <color theme="1"/>
            <rFont val="Calibri"/>
            <family val="2"/>
            <scheme val="minor"/>
          </rPr>
          <t>======
ID#AAAAyv48TNg
tc={88132193-C98A-4741-A969-70FBA3FC7803}    (2023-06-08 12:33:25)
[Threaded comment]
Your version of Excel allows you to read this threaded comment; however, any edits to it will get removed if the file is opened in a newer version of Excel. Learn more: https://go.microsoft.com/fwlink/?linkid=870924
Comment:
    Psychiatric assessment (DSM -5) and PRISM interview - whole sample</t>
        </r>
      </text>
    </comment>
    <comment ref="DG4" authorId="0" shapeId="0" xr:uid="{382527BD-8596-E247-84E5-2A0B23E42DFB}">
      <text>
        <r>
          <rPr>
            <sz val="11"/>
            <color theme="1"/>
            <rFont val="Calibri"/>
            <family val="2"/>
            <scheme val="minor"/>
          </rPr>
          <t>======
ID#AAAAyv48TQg
R B    (2023-06-08 12:33:25)
PRISM</t>
        </r>
      </text>
    </comment>
    <comment ref="DH4" authorId="0" shapeId="0" xr:uid="{C1D141AD-A0E7-894E-8819-35DE3134C83C}">
      <text>
        <r>
          <rPr>
            <sz val="11"/>
            <color theme="1"/>
            <rFont val="Calibri"/>
            <family val="2"/>
            <scheme val="minor"/>
          </rPr>
          <t>======
ID#AAAAyv48TSU
tc={956C4506-8CD8-43BD-8FA5-E63CC48916D0}    (2023-06-08 12:33:25)
[Threaded comment]
Your version of Excel allows you to read this threaded comment; however, any edits to it will get removed if the file is opened in a newer version of Excel. Learn more: https://go.microsoft.com/fwlink/?linkid=870924
Comment:
    PRISM</t>
        </r>
      </text>
    </comment>
    <comment ref="L5" authorId="0" shapeId="0" xr:uid="{E26356F9-D152-7041-B62C-32BE44551390}">
      <text>
        <r>
          <rPr>
            <sz val="11"/>
            <color theme="1"/>
            <rFont val="Calibri"/>
            <family val="2"/>
            <scheme val="minor"/>
          </rPr>
          <t>======
ID#AAAAyv48TSk
tc={3080CF12-D0DE-4545-9CD7-913346B768FF}    (2023-06-08 12:33:25)
[Threaded comment]
Your version of Excel allows you to read this threaded comment; however, any edits to it will get removed if the file is opened in a newer version of Excel. Learn more: https://go.microsoft.com/fwlink/?linkid=870924
Comment:
    Median age range - mean not available</t>
        </r>
      </text>
    </comment>
    <comment ref="S5" authorId="0" shapeId="0" xr:uid="{61119346-0398-5342-8FE6-893AD0048956}">
      <text>
        <r>
          <rPr>
            <sz val="11"/>
            <color theme="1"/>
            <rFont val="Calibri"/>
            <family val="2"/>
            <scheme val="minor"/>
          </rPr>
          <t>======
ID#AAAAyv48TSM
R B    (2023-06-08 12:33:25)
Non-white</t>
        </r>
      </text>
    </comment>
    <comment ref="T5" authorId="0" shapeId="0" xr:uid="{C5241219-2E5C-6142-8AF8-FBFCC06E4000}">
      <text>
        <r>
          <rPr>
            <sz val="11"/>
            <color theme="1"/>
            <rFont val="Calibri"/>
            <family val="2"/>
            <scheme val="minor"/>
          </rPr>
          <t>======
ID#AAAAyv48TOc
tc={F1168891-4585-4806-B99C-8470632CAA38}    (2023-06-08 12:33:25)
[Threaded comment]
Your version of Excel allows you to read this threaded comment; however, any edits to it will get removed if the file is opened in a newer version of Excel. Learn more: https://go.microsoft.com/fwlink/?linkid=870924
Comment:
    Non-white but doesn't specify</t>
        </r>
      </text>
    </comment>
    <comment ref="Z5" authorId="0" shapeId="0" xr:uid="{8588AE30-431F-4845-9116-86841B735EF7}">
      <text>
        <r>
          <rPr>
            <sz val="11"/>
            <color theme="1"/>
            <rFont val="Calibri"/>
            <family val="2"/>
            <scheme val="minor"/>
          </rPr>
          <t>======
ID#AAAAyv48TME
R B    (2023-06-08 12:33:25)
EIS</t>
        </r>
      </text>
    </comment>
    <comment ref="DC5" authorId="0" shapeId="0" xr:uid="{205A7FBE-C367-384D-B8AE-6787FBCD1DD4}">
      <text>
        <r>
          <rPr>
            <sz val="11"/>
            <color theme="1"/>
            <rFont val="Calibri"/>
            <family val="2"/>
            <scheme val="minor"/>
          </rPr>
          <t>======
ID#AAAAyv48TL0
R B    (2023-06-08 12:33:25)
Not specified but implied;"toxicological screening for cocaine and tetrahydrocannabinol metabolites"; doesn't specify urine or blood</t>
        </r>
      </text>
    </comment>
    <comment ref="DF5" authorId="0" shapeId="0" xr:uid="{C97D2165-2FB3-7B44-B413-8E34CF318998}">
      <text>
        <r>
          <rPr>
            <sz val="11"/>
            <color theme="1"/>
            <rFont val="Calibri"/>
            <family val="2"/>
            <scheme val="minor"/>
          </rPr>
          <t>======
ID#AAAAyv48TKs
tc={F9473965-C2A7-4D8F-BEA4-5CF75F2B4080}    (2023-06-08 12:33:25)
[Threaded comment]
Your version of Excel allows you to read this threaded comment; however, any edits to it will get removed if the file is opened in a newer version of Excel. Learn more: https://go.microsoft.com/fwlink/?linkid=870924
Comment:
    SCID</t>
        </r>
      </text>
    </comment>
    <comment ref="DG5" authorId="0" shapeId="0" xr:uid="{3A19F34B-F6BA-0549-80EB-E9C444B0C02D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ID#AAAAyv48TK8
</t>
        </r>
        <r>
          <rPr>
            <sz val="11"/>
            <color rgb="FF000000"/>
            <rFont val="Calibri"/>
            <family val="2"/>
          </rPr>
          <t xml:space="preserve">R B    (2023-06-08 12:33:25)
</t>
        </r>
        <r>
          <rPr>
            <sz val="11"/>
            <color rgb="FF000000"/>
            <rFont val="Calibri"/>
            <family val="2"/>
          </rPr>
          <t>SCID</t>
        </r>
      </text>
    </comment>
    <comment ref="DH5" authorId="0" shapeId="0" xr:uid="{17C4443D-52F2-F644-B11D-EEC02827BCFE}">
      <text>
        <r>
          <rPr>
            <sz val="11"/>
            <color theme="1"/>
            <rFont val="Calibri"/>
            <family val="2"/>
            <scheme val="minor"/>
          </rPr>
          <t>======
ID#AAAAyv48TRU
tc={E1D79FF7-588B-4445-8908-6AB946E325A9}    (2023-06-08 12:33:25)
[Threaded comment]
Your version of Excel allows you to read this threaded comment; however, any edits to it will get removed if the file is opened in a newer version of Excel. Learn more: https://go.microsoft.com/fwlink/?linkid=870924
Comment:
    SCID</t>
        </r>
      </text>
    </comment>
    <comment ref="DJ5" authorId="0" shapeId="0" xr:uid="{348B6D18-F558-674E-B3BA-19CD359857DA}">
      <text>
        <r>
          <rPr>
            <sz val="11"/>
            <color theme="1"/>
            <rFont val="Calibri"/>
            <family val="2"/>
            <scheme val="minor"/>
          </rPr>
          <t>======
ID#AAAAyv48TOE
tc={0288E71B-CE93-42BE-95DB-4E34AEE64E6A}    (2023-06-08 12:33:25)
[Threaded comment]
Your version of Excel allows you to read this threaded comment; however, any edits to it will get removed if the file is opened in a newer version of Excel. Learn more: https://go.microsoft.com/fwlink/?linkid=870924
Comment:
    Physical and neurological - whole cohort</t>
        </r>
      </text>
    </comment>
    <comment ref="DP5" authorId="0" shapeId="0" xr:uid="{3C5D117B-732A-D848-8FC7-714C3A5381DD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ID#AAAAyv48TLg
</t>
        </r>
        <r>
          <rPr>
            <sz val="11"/>
            <color rgb="FF000000"/>
            <rFont val="Calibri"/>
            <family val="2"/>
          </rPr>
          <t xml:space="preserve">tc={9DFE7840-EA29-40A4-9E0E-D93F5648D73F}    (2023-06-08 12:33:25)
</t>
        </r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Brief Psychiatric Rating Scale (BPRS) and the Global Assessment of Functioning Scale (GAF)</t>
        </r>
      </text>
    </comment>
    <comment ref="M6" authorId="0" shapeId="0" xr:uid="{C6A47353-5744-3445-BC79-E7A53D84D63B}">
      <text>
        <r>
          <rPr>
            <sz val="11"/>
            <color theme="1"/>
            <rFont val="Calibri"/>
            <family val="2"/>
            <scheme val="minor"/>
          </rPr>
          <t>======
ID#AAAAyv48TPI
R B    (2023-06-08 12:33:25)
95 Primary/57 Secondary</t>
        </r>
      </text>
    </comment>
    <comment ref="N6" authorId="0" shapeId="0" xr:uid="{40B492BD-50DC-D34F-806A-32BAF6890653}">
      <text>
        <r>
          <rPr>
            <sz val="11"/>
            <color theme="1"/>
            <rFont val="Calibri"/>
            <family val="2"/>
            <scheme val="minor"/>
          </rPr>
          <t>======
ID#AAAAyv48TOs
tc={BDDB1F3A-1138-44F4-AEA7-55A531A9687B}    (2023-06-08 12:33:25)
[Threaded comment]
Your version of Excel allows you to read this threaded comment; however, any edits to it will get removed if the file is opened in a newer version of Excel. Learn more: https://go.microsoft.com/fwlink/?linkid=870924
Comment:
    95 primary, 57 secondary</t>
        </r>
      </text>
    </comment>
    <comment ref="O6" authorId="0" shapeId="0" xr:uid="{C74D7058-D94D-5542-A907-F7A6669DBBF7}">
      <text>
        <r>
          <rPr>
            <sz val="11"/>
            <color theme="1"/>
            <rFont val="Calibri"/>
            <family val="2"/>
            <scheme val="minor"/>
          </rPr>
          <t>======
ID#AAAAyv48TTU
R B    (2023-06-08 12:33:25)
Primary 38/ Secondary 14
White/other</t>
        </r>
      </text>
    </comment>
    <comment ref="P6" authorId="0" shapeId="0" xr:uid="{09FB77BD-6DCE-2148-A5F0-D19D82935EC7}">
      <text>
        <r>
          <rPr>
            <sz val="11"/>
            <color theme="1"/>
            <rFont val="Calibri"/>
            <family val="2"/>
            <scheme val="minor"/>
          </rPr>
          <t>======
ID#AAAAyv48TQA
tc={D89CB4A1-CE63-4E4B-B542-E3F4E19D3526}    (2023-06-08 12:33:25)
[Threaded comment]
Your version of Excel allows you to read this threaded comment; however, any edits to it will get removed if the file is opened in a newer version of Excel. Learn more: https://go.microsoft.com/fwlink/?linkid=870924
Comment:
    38 primary / 14 secondary - white / other</t>
        </r>
      </text>
    </comment>
    <comment ref="S6" authorId="0" shapeId="0" xr:uid="{010C0FCA-3582-0C43-A7CB-55896C4AB64F}">
      <text>
        <r>
          <rPr>
            <sz val="11"/>
            <color theme="1"/>
            <rFont val="Calibri"/>
            <family val="2"/>
            <scheme val="minor"/>
          </rPr>
          <t>======
ID#AAAAyv48TMI
R B    (2023-06-08 12:33:25)
Primary 84/ Secondary 63
Hispanic</t>
        </r>
      </text>
    </comment>
    <comment ref="T6" authorId="0" shapeId="0" xr:uid="{211E2933-F205-D544-B18C-B3BDA30404A3}">
      <text>
        <r>
          <rPr>
            <sz val="11"/>
            <color theme="1"/>
            <rFont val="Calibri"/>
            <family val="2"/>
            <scheme val="minor"/>
          </rPr>
          <t>======
ID#AAAAyv48TMM
tc={9DB29E94-F02A-4C12-B348-DD129F0F4F22}    (2023-06-08 12:33:25)
[Threaded comment]
Your version of Excel allows you to read this threaded comment; however, any edits to it will get removed if the file is opened in a newer version of Excel. Learn more: https://go.microsoft.com/fwlink/?linkid=870924
Comment:
    84 primary / 63 secondary - Hispanic</t>
        </r>
      </text>
    </comment>
    <comment ref="V6" authorId="0" shapeId="0" xr:uid="{DB770CA3-A297-4F44-AB3A-EA18EFA5CF71}">
      <text>
        <r>
          <rPr>
            <sz val="11"/>
            <color theme="1"/>
            <rFont val="Calibri"/>
            <family val="2"/>
            <scheme val="minor"/>
          </rPr>
          <t>======
ID#AAAAyv48TTY
tc={947478D2-A62B-476C-8C09-854B7B8664E7}    (2023-06-08 12:33:25)
[Threaded comment]
Your version of Excel allows you to read this threaded comment; however, any edits to it will get removed if the file is opened in a newer version of Excel. Learn more: https://go.microsoft.com/fwlink/?linkid=870924
Comment:
    Psychiatric emergency department</t>
        </r>
      </text>
    </comment>
    <comment ref="DF6" authorId="0" shapeId="0" xr:uid="{6A56443F-353B-3A44-89C9-E4DFC1A92DD2}">
      <text>
        <r>
          <rPr>
            <sz val="11"/>
            <color theme="1"/>
            <rFont val="Calibri"/>
            <family val="2"/>
            <scheme val="minor"/>
          </rPr>
          <t>======
ID#AAAAyv48TPg
tc={DB6B1D1E-E92D-46FA-9159-B1F08D79CBE6}    (2023-06-08 12:33:25)
[Threaded comment]
Your version of Excel allows you to read this threaded comment; however, any edits to it will get removed if the file is opened in a newer version of Excel. Learn more: https://go.microsoft.com/fwlink/?linkid=870924
Comment:
    And PRISM questionnaire</t>
        </r>
      </text>
    </comment>
    <comment ref="DG6" authorId="0" shapeId="0" xr:uid="{CA99B602-3977-9344-A332-9F01BA351E21}">
      <text>
        <r>
          <rPr>
            <sz val="11"/>
            <color theme="1"/>
            <rFont val="Calibri"/>
            <family val="2"/>
            <scheme val="minor"/>
          </rPr>
          <t>======
ID#AAAAyv48TSY
R B    (2023-06-08 12:33:25)
PRISM</t>
        </r>
      </text>
    </comment>
    <comment ref="DH6" authorId="0" shapeId="0" xr:uid="{FB7CDBC5-8304-C94F-8D22-9088DBB1554E}">
      <text>
        <r>
          <rPr>
            <sz val="11"/>
            <color theme="1"/>
            <rFont val="Calibri"/>
            <family val="2"/>
            <scheme val="minor"/>
          </rPr>
          <t>======
ID#AAAAyv48TLs
tc={1EAEAD7C-47D7-45C1-8303-412A59EB6009}    (2023-06-08 12:33:25)
[Threaded comment]
Your version of Excel allows you to read this threaded comment; however, any edits to it will get removed if the file is opened in a newer version of Excel. Learn more: https://go.microsoft.com/fwlink/?linkid=870924
Comment:
    PRISM</t>
        </r>
      </text>
    </comment>
    <comment ref="CQ7" authorId="0" shapeId="0" xr:uid="{8C27CE9F-670B-EA4F-85AE-E4A5D776D081}">
      <text>
        <r>
          <rPr>
            <sz val="11"/>
            <color theme="1"/>
            <rFont val="Calibri"/>
            <family val="2"/>
            <scheme val="minor"/>
          </rPr>
          <t>======
ID#AAAAyv48TNY
R B    (2023-06-08 12:33:25)
Offered to all, 74/76 completed
1.5 Tesla</t>
        </r>
      </text>
    </comment>
    <comment ref="CY7" authorId="0" shapeId="0" xr:uid="{F959E159-B349-3148-B305-DA7FA6D691FA}">
      <text>
        <r>
          <rPr>
            <sz val="11"/>
            <color theme="1"/>
            <rFont val="Calibri"/>
            <family val="2"/>
            <scheme val="minor"/>
          </rPr>
          <t>======
ID#AAAAyv48TLY
R B    (2023-06-08 12:33:25)
Offered to all, 48/76 completed</t>
        </r>
      </text>
    </comment>
    <comment ref="CZ7" authorId="0" shapeId="0" xr:uid="{DF76A57E-D16B-CC48-91BD-4D32EEE270AD}">
      <text>
        <r>
          <rPr>
            <sz val="11"/>
            <color theme="1"/>
            <rFont val="Calibri"/>
            <family val="2"/>
            <scheme val="minor"/>
          </rPr>
          <t>======
ID#AAAAyv48TP4
tc={7321A849-E6EC-4029-B314-D1AD83172D78}    (2023-06-08 12:33:25)
[Threaded comment]
Your version of Excel allows you to read this threaded comment; however, any edits to it will get removed if the file is opened in a newer version of Excel. Learn more: https://go.microsoft.com/fwlink/?linkid=870924
Comment:
    LP</t>
        </r>
      </text>
    </comment>
    <comment ref="DA7" authorId="0" shapeId="0" xr:uid="{B414D2D2-8142-3743-B586-90C8C272225C}">
      <text>
        <r>
          <rPr>
            <sz val="11"/>
            <color theme="1"/>
            <rFont val="Calibri"/>
            <family val="2"/>
            <scheme val="minor"/>
          </rPr>
          <t>======
ID#AAAAyv48TTA
R B    (2023-06-08 12:33:25)
Not all parameters examined in each patient</t>
        </r>
      </text>
    </comment>
    <comment ref="DI7" authorId="0" shapeId="0" xr:uid="{35411CBA-9441-8F46-8590-7C706215C383}">
      <text>
        <r>
          <rPr>
            <sz val="11"/>
            <color theme="1"/>
            <rFont val="Calibri"/>
            <family val="2"/>
            <scheme val="minor"/>
          </rPr>
          <t>======
ID#AAAAyv48TQ8
R B    (2023-06-08 12:33:25)
"Test battery for attentional performance"</t>
        </r>
      </text>
    </comment>
    <comment ref="I8" authorId="0" shapeId="0" xr:uid="{D803C811-5DC4-714D-B837-A73D17C72A5D}">
      <text>
        <r>
          <rPr>
            <sz val="11"/>
            <color theme="1"/>
            <rFont val="Calibri"/>
            <family val="2"/>
            <scheme val="minor"/>
          </rPr>
          <t>======
ID#AAAAyv48TLI
R B    (2023-06-08 12:33:25)
Substance-induced 25.6/ Secondary 40.1</t>
        </r>
      </text>
    </comment>
    <comment ref="K8" authorId="0" shapeId="0" xr:uid="{89226E76-68FA-4D41-A544-4E5741BA0D55}">
      <text>
        <r>
          <rPr>
            <sz val="11"/>
            <color theme="1"/>
            <rFont val="Calibri"/>
            <family val="2"/>
            <scheme val="minor"/>
          </rPr>
          <t>======
ID#AAAAyv48TQE
R B    (2023-06-08 12:33:25)
25.6/28.7/40.1 substance-induced/primary/secondary</t>
        </r>
      </text>
    </comment>
    <comment ref="M8" authorId="0" shapeId="0" xr:uid="{C0E4522C-2CEA-A546-B706-1E41175B6E96}">
      <text>
        <r>
          <rPr>
            <sz val="11"/>
            <color theme="1"/>
            <rFont val="Calibri"/>
            <family val="2"/>
            <scheme val="minor"/>
          </rPr>
          <t>======
ID#AAAAyv48TR8
R B    (2023-06-08 12:33:25)
African</t>
        </r>
      </text>
    </comment>
    <comment ref="N8" authorId="0" shapeId="0" xr:uid="{8C80FD32-93B0-9645-A5BC-51FF70CA70F6}">
      <text>
        <r>
          <rPr>
            <sz val="11"/>
            <color theme="1"/>
            <rFont val="Calibri"/>
            <family val="2"/>
            <scheme val="minor"/>
          </rPr>
          <t>======
ID#AAAAyv48TQk
tc={C129607E-6332-4734-844A-1BCEB04618E8}    (2023-06-08 12:33:25)
[Threaded comment]
Your version of Excel allows you to read this threaded comment; however, any edits to it will get removed if the file is opened in a newer version of Excel. Learn more: https://go.microsoft.com/fwlink/?linkid=870924
Comment:
    african</t>
        </r>
      </text>
    </comment>
    <comment ref="S8" authorId="0" shapeId="0" xr:uid="{E913858C-06CD-904B-91A6-E87CFCCBD234}">
      <text>
        <r>
          <rPr>
            <sz val="11"/>
            <color theme="1"/>
            <rFont val="Calibri"/>
            <family val="2"/>
            <scheme val="minor"/>
          </rPr>
          <t>======
ID#AAAAyv48TM0
R B    (2023-06-08 12:33:25)
Mixed race</t>
        </r>
      </text>
    </comment>
    <comment ref="AS8" authorId="0" shapeId="0" xr:uid="{D957E35F-CB67-0245-BE58-D2F83BA41079}">
      <text>
        <r>
          <rPr>
            <sz val="11"/>
            <color theme="1"/>
            <rFont val="Calibri"/>
            <family val="2"/>
            <scheme val="minor"/>
          </rPr>
          <t>======
ID#AAAA0EiR2rc
Rr Bb    (2023-07-11 00:08:45)
"Duration of psychotic symptoms before ED presentation", Days, SD 26.3</t>
        </r>
      </text>
    </comment>
    <comment ref="AU8" authorId="0" shapeId="0" xr:uid="{DB0073F0-0BA4-4F4B-8EB9-D738A4A1F4D3}">
      <text>
        <r>
          <rPr>
            <sz val="11"/>
            <color theme="1"/>
            <rFont val="Calibri"/>
            <family val="2"/>
            <scheme val="minor"/>
          </rPr>
          <t>======
ID#AAAA0EiR2rk
Rr Bb    (2023-07-11 00:09:35)
"Duration of psychotic symptoms before ED presentation", days, SD 34.1</t>
        </r>
      </text>
    </comment>
    <comment ref="AW8" authorId="0" shapeId="0" xr:uid="{EEB276FD-BA7D-A24D-8937-1A5E5C15CAF9}">
      <text>
        <r>
          <rPr>
            <sz val="11"/>
            <color theme="1"/>
            <rFont val="Calibri"/>
            <family val="2"/>
            <scheme val="minor"/>
          </rPr>
          <t>======
ID#AAAA0EiR2rs
Rr Bb    (2023-07-11 00:10:17)
"Duration of psychotic symptoms before ED presentation", Split into substance-induced (12.3 days [21.0]) and other secondary (7.9 days [22.9])</t>
        </r>
      </text>
    </comment>
    <comment ref="DF8" authorId="0" shapeId="0" xr:uid="{5C244BDB-25E4-E94E-9C5F-C70AFD0F11D7}">
      <text>
        <r>
          <rPr>
            <sz val="11"/>
            <color theme="1"/>
            <rFont val="Calibri"/>
            <family val="2"/>
            <scheme val="minor"/>
          </rPr>
          <t>======
ID#AAAAyv48TNw
tc={BA8A8003-C63D-41AA-A672-E0DB6D4845EB}    (2023-06-08 12:33:25)
[Threaded comment]
Your version of Excel allows you to read this threaded comment; however, any edits to it will get removed if the file is opened in a newer version of Excel. Learn more: https://go.microsoft.com/fwlink/?linkid=870924
Comment:
    DSM-5 diagnosis and PRISM interview</t>
        </r>
      </text>
    </comment>
    <comment ref="DS8" authorId="0" shapeId="0" xr:uid="{ABF243F7-05ED-9741-BFE7-38F96A52EA07}">
      <text>
        <r>
          <rPr>
            <sz val="11"/>
            <color theme="1"/>
            <rFont val="Calibri"/>
            <family val="2"/>
            <scheme val="minor"/>
          </rPr>
          <t>======
ID#AAAAyv48TQM
R B    (2023-06-08 12:33:25)
Author defined first-presentation/FEP as 1 or more psychotic symptoms</t>
        </r>
      </text>
    </comment>
    <comment ref="AS9" authorId="0" shapeId="0" xr:uid="{E19CA942-2B41-3942-B4C9-4887994D149E}">
      <text>
        <r>
          <rPr>
            <sz val="11"/>
            <color theme="1"/>
            <rFont val="Calibri"/>
            <family val="2"/>
            <scheme val="minor"/>
          </rPr>
          <t>======
ID#AAAA0EiR2rg
Rr Bb    (2023-07-11 00:08:58)
Does not explicitly specify units</t>
        </r>
      </text>
    </comment>
    <comment ref="AU9" authorId="0" shapeId="0" xr:uid="{80E38FC8-6663-A04C-8A35-847A16EBEF60}">
      <text>
        <r>
          <rPr>
            <sz val="11"/>
            <color theme="1"/>
            <rFont val="Calibri"/>
            <family val="2"/>
            <scheme val="minor"/>
          </rPr>
          <t>======
ID#AAAA0EiR2ro
Rr Bb    (2023-07-11 00:09:49)
Does not explicitly specify units</t>
        </r>
      </text>
    </comment>
    <comment ref="AW9" authorId="0" shapeId="0" xr:uid="{1E987E9D-9A2A-C54B-8371-8308A3851840}">
      <text>
        <r>
          <rPr>
            <sz val="11"/>
            <color theme="1"/>
            <rFont val="Calibri"/>
            <family val="2"/>
            <scheme val="minor"/>
          </rPr>
          <t>======
ID#AAAA0EiR2rw
Rr Bb    (2023-07-11 00:10:32)
Does not explicitly specify units</t>
        </r>
      </text>
    </comment>
    <comment ref="DF10" authorId="0" shapeId="0" xr:uid="{D6E59CE1-4EC8-7B48-8207-9E681563E6A6}">
      <text>
        <r>
          <rPr>
            <sz val="11"/>
            <color theme="1"/>
            <rFont val="Calibri"/>
            <family val="2"/>
            <scheme val="minor"/>
          </rPr>
          <t>======
ID#AAAAyv48TSc
tc={14C46FEC-A569-404F-969F-E440400919C6}    (2023-06-08 12:33:25)
[Threaded comment]
Your version of Excel allows you to read this threaded comment; however, any edits to it will get removed if the file is opened in a newer version of Excel. Learn more: https://go.microsoft.com/fwlink/?linkid=870924
Comment:
     Psychiatric Assessment</t>
        </r>
      </text>
    </comment>
    <comment ref="DJ10" authorId="0" shapeId="0" xr:uid="{7DB15CC6-ED1B-E44A-854C-18CD179ECC80}">
      <text>
        <r>
          <rPr>
            <sz val="11"/>
            <color theme="1"/>
            <rFont val="Calibri"/>
            <family val="2"/>
            <scheme val="minor"/>
          </rPr>
          <t>======
ID#AAAAyv48TSs
tc={6EF1EDCF-F9E9-49DC-AD65-D846F4D3A44E}    (2023-06-08 12:33:25)
[Threaded comment]
Your version of Excel allows you to read this threaded comment; however, any edits to it will get removed if the file is opened in a newer version of Excel. Learn more: https://go.microsoft.com/fwlink/?linkid=870924
Comment:
    Neurological exam and vital signs taken</t>
        </r>
      </text>
    </comment>
    <comment ref="DM10" authorId="0" shapeId="0" xr:uid="{C65E7EA3-C76A-4E47-ABF8-0ACCDEE0EA8D}">
      <text>
        <r>
          <rPr>
            <sz val="11"/>
            <color theme="1"/>
            <rFont val="Calibri"/>
            <family val="2"/>
            <scheme val="minor"/>
          </rPr>
          <t>======
ID#AAAAyv48TN4
R B    (2023-06-08 12:33:25)
Working memory test</t>
        </r>
      </text>
    </comment>
    <comment ref="DS10" authorId="0" shapeId="0" xr:uid="{7C724EF1-353D-CA47-909C-7546CCC6DA18}">
      <text>
        <r>
          <rPr>
            <sz val="11"/>
            <color theme="1"/>
            <rFont val="Calibri"/>
            <family val="2"/>
            <scheme val="minor"/>
          </rPr>
          <t>======
ID#AAAAyv48TOY
R B    (2023-06-08 12:33:25)
Fusar-Poli et al (2016) definition of FEP</t>
        </r>
      </text>
    </comment>
    <comment ref="AK11" authorId="0" shapeId="0" xr:uid="{06B8F4AF-0191-5647-8AF2-E631ADEE2A53}">
      <text>
        <r>
          <rPr>
            <sz val="11"/>
            <color theme="1"/>
            <rFont val="Calibri"/>
            <family val="2"/>
            <scheme val="minor"/>
          </rPr>
          <t>======
ID#AAAAyv48TNA
R B    (2023-06-08 12:33:25)
Not specified but likely as focusing on children/adolescents</t>
        </r>
      </text>
    </comment>
    <comment ref="DO11" authorId="0" shapeId="0" xr:uid="{0666E746-AB74-5B49-ABD0-EFDD9BE592BE}">
      <text>
        <r>
          <rPr>
            <sz val="11"/>
            <color theme="1"/>
            <rFont val="Calibri"/>
            <family val="2"/>
            <scheme val="minor"/>
          </rPr>
          <t>======
ID#AAAAyv48TNQ
R B    (2023-06-08 12:33:25)
"Comprehensive medical workup"</t>
        </r>
      </text>
    </comment>
    <comment ref="K12" authorId="0" shapeId="0" xr:uid="{5E924D94-C3B8-064B-8F51-F922B5AA3A11}">
      <text>
        <r>
          <rPr>
            <sz val="11"/>
            <color theme="1"/>
            <rFont val="Calibri"/>
            <family val="2"/>
            <scheme val="minor"/>
          </rPr>
          <t>======
ID#AAAAyv48TQU
R B    (2023-06-08 12:33:25)
Median 30 (14-75)</t>
        </r>
      </text>
    </comment>
    <comment ref="AS12" authorId="0" shapeId="0" xr:uid="{500D387E-9A56-154B-8AD7-192C4095F45E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ID#AAAA0EiR2r0
</t>
        </r>
        <r>
          <rPr>
            <sz val="11"/>
            <color rgb="FF000000"/>
            <rFont val="Calibri"/>
            <family val="2"/>
          </rPr>
          <t xml:space="preserve">Rr Bb    (2023-07-11 00:10:57)
</t>
        </r>
        <r>
          <rPr>
            <sz val="11"/>
            <color rgb="FF000000"/>
            <rFont val="Calibri"/>
            <family val="2"/>
          </rPr>
          <t>Days; median duration of positive psychotic symptoms; IQR 136</t>
        </r>
      </text>
    </comment>
    <comment ref="CX12" authorId="0" shapeId="0" xr:uid="{A1EDEC24-8D4E-4D4B-B930-B8E6DC1B0D79}">
      <text>
        <r>
          <rPr>
            <sz val="11"/>
            <color theme="1"/>
            <rFont val="Calibri"/>
            <family val="2"/>
            <scheme val="minor"/>
          </rPr>
          <t>======
ID#AAAAyv48TLw
Neha G    (2023-06-08 12:33:25)
Neha G:</t>
        </r>
      </text>
    </comment>
    <comment ref="DJ12" authorId="0" shapeId="0" xr:uid="{A0CAA839-33CB-9D4C-B4D5-68BB3CBE793C}">
      <text>
        <r>
          <rPr>
            <sz val="11"/>
            <color theme="1"/>
            <rFont val="Calibri"/>
            <family val="2"/>
            <scheme val="minor"/>
          </rPr>
          <t>======
ID#AAAAyv48TPs
tc={BC73E13C-D9B0-40CA-8C7B-9BB81D41438E}    (2023-06-08 12:33:25)
[Threaded comment]
Your version of Excel allows you to read this threaded comment; however, any edits to it will get removed if the file is opened in a newer version of Excel. Learn more: https://go.microsoft.com/fwlink/?linkid=870924
Comment:
    Neurological evaluation, blood cell count, electrolytes, liver and renal function tests, toxicology screening</t>
        </r>
      </text>
    </comment>
    <comment ref="CR13" authorId="0" shapeId="0" xr:uid="{B6284806-1F71-7E46-A36F-342341352C21}">
      <text>
        <r>
          <rPr>
            <sz val="11"/>
            <color theme="1"/>
            <rFont val="Calibri"/>
            <family val="2"/>
            <scheme val="minor"/>
          </rPr>
          <t>======
ID#AAAAyv48TTE
tc={D7B49B2D-5C30-4E07-A3E2-CF35CE6EBF16}    (2023-06-08 12:33:25)
[Threaded comment]
Your version of Excel allows you to read this threaded comment; however, any edits to it will get removed if the file is opened in a newer version of Excel. Learn more: https://go.microsoft.com/fwlink/?linkid=870924
Comment:
    Used with two patients with potential organic cause</t>
        </r>
      </text>
    </comment>
    <comment ref="CT13" authorId="0" shapeId="0" xr:uid="{157CA65B-C98E-3347-A308-3870FBD36D54}">
      <text>
        <r>
          <rPr>
            <sz val="11"/>
            <color theme="1"/>
            <rFont val="Calibri"/>
            <family val="2"/>
            <scheme val="minor"/>
          </rPr>
          <t>======
ID#AAAAyv48TRI
tc={80A3D461-C3BA-4049-AC01-CC8101FE4F51}    (2023-06-08 12:33:25)
[Threaded comment]
Your version of Excel allows you to read this threaded comment; however, any edits to it will get removed if the file is opened in a newer version of Excel. Learn more: https://go.microsoft.com/fwlink/?linkid=870924
Comment:
    Used in whole sample</t>
        </r>
      </text>
    </comment>
    <comment ref="CV13" authorId="0" shapeId="0" xr:uid="{2382A66F-9478-844F-A27D-7AEF53BA4044}">
      <text>
        <r>
          <rPr>
            <sz val="11"/>
            <color theme="1"/>
            <rFont val="Calibri"/>
            <family val="2"/>
            <scheme val="minor"/>
          </rPr>
          <t>======
ID#AAAAyv48TO0
tc={4C11C3AD-73A8-41BD-9709-22F26EB78267}    (2023-06-08 12:33:25)
[Threaded comment]
Your version of Excel allows you to read this threaded comment; however, any edits to it will get removed if the file is opened in a newer version of Excel. Learn more: https://go.microsoft.com/fwlink/?linkid=870924
Comment:
    Used for one patient</t>
        </r>
      </text>
    </comment>
    <comment ref="CX13" authorId="0" shapeId="0" xr:uid="{B204F70E-5E38-B948-A932-9745AD1DAD1A}">
      <text>
        <r>
          <rPr>
            <sz val="11"/>
            <color theme="1"/>
            <rFont val="Calibri"/>
            <family val="2"/>
            <scheme val="minor"/>
          </rPr>
          <t>======
ID#AAAAyv48TOg
tc={6D7EC14B-7D5D-4980-A160-4B6095021ACB}    (2023-06-08 12:33:25)
[Threaded comment]
Your version of Excel allows you to read this threaded comment; however, any edits to it will get removed if the file is opened in a newer version of Excel. Learn more: https://go.microsoft.com/fwlink/?linkid=870924
Comment:
    Used for one patient</t>
        </r>
      </text>
    </comment>
    <comment ref="CZ13" authorId="0" shapeId="0" xr:uid="{8C7A46CE-AA9D-4E4F-9F12-D27F9DE5451D}">
      <text>
        <r>
          <rPr>
            <sz val="11"/>
            <color theme="1"/>
            <rFont val="Calibri"/>
            <family val="2"/>
            <scheme val="minor"/>
          </rPr>
          <t>======
ID#AAAAyv48TN8
tc={2A002552-4283-4BDD-8FFB-F3CFA0500B92}    (2023-06-08 12:33:25)
[Threaded comment]
Your version of Excel allows you to read this threaded comment; however, any edits to it will get removed if the file is opened in a newer version of Excel. Learn more: https://go.microsoft.com/fwlink/?linkid=870924
Comment:
    Used for one patient - LP</t>
        </r>
      </text>
    </comment>
    <comment ref="DB13" authorId="0" shapeId="0" xr:uid="{769F958A-A574-F74C-B94F-AF10C2F58668}">
      <text>
        <r>
          <rPr>
            <sz val="11"/>
            <color theme="1"/>
            <rFont val="Calibri"/>
            <family val="2"/>
            <scheme val="minor"/>
          </rPr>
          <t>======
ID#AAAAyv48TNs
tc={CE4C6F1B-86AD-4087-8CD9-80051D5699F2}    (2023-06-08 12:33:25)
[Threaded comment]
Your version of Excel allows you to read this threaded comment; however, any edits to it will get removed if the file is opened in a newer version of Excel. Learn more: https://go.microsoft.com/fwlink/?linkid=870924
Comment:
    Used for one patient</t>
        </r>
      </text>
    </comment>
    <comment ref="CI14" authorId="0" shapeId="0" xr:uid="{D27B4A6C-BB95-5A4D-9C2C-A2CBAD664CDF}">
      <text>
        <r>
          <rPr>
            <sz val="11"/>
            <color theme="1"/>
            <rFont val="Calibri"/>
            <family val="2"/>
            <scheme val="minor"/>
          </rPr>
          <t>======
ID#AAAAyv48TK0
R B    (2023-06-08 12:33:25)
Removed 1 from Other &gt; Head Injury ("head injury and hemiparesis"</t>
        </r>
      </text>
    </comment>
    <comment ref="CM14" authorId="0" shapeId="0" xr:uid="{8C364242-CBCC-104F-A7DB-1DB6BF630204}">
      <text>
        <r>
          <rPr>
            <sz val="11"/>
            <color theme="1"/>
            <rFont val="Calibri"/>
            <family val="2"/>
            <scheme val="minor"/>
          </rPr>
          <t>======
ID#AAAAyv48TNE
R B    (2023-06-08 12:33:25)
Removed 1 from Other &gt; Head Injury ("head injury and hemiparesis"
------
ID#AAAA0KodDsc
Jack Fanshawe    (2023-06-30 13:22:21)
Thank you!</t>
        </r>
      </text>
    </comment>
    <comment ref="DF14" authorId="0" shapeId="0" xr:uid="{1A86DA69-5DF7-1D49-BDD7-58B56D6109ED}">
      <text>
        <r>
          <rPr>
            <sz val="11"/>
            <color theme="1"/>
            <rFont val="Calibri"/>
            <family val="2"/>
            <scheme val="minor"/>
          </rPr>
          <t>======
ID#AAAAyv48TS8
tc={ABF9F9A1-9DD8-44B7-87EA-D43F8E095AFD}    (2023-06-08 12:33:25)
[Threaded comment]
Your version of Excel allows you to read this threaded comment; however, any edits to it will get removed if the file is opened in a newer version of Excel. Learn more: https://go.microsoft.com/fwlink/?linkid=870924
Comment:
    Psych and neurological assessment and physical eg poor visual activity</t>
        </r>
      </text>
    </comment>
    <comment ref="DJ14" authorId="0" shapeId="0" xr:uid="{CF145103-DBDA-BD4D-9DC0-BD63AC862AFC}">
      <text>
        <r>
          <rPr>
            <sz val="11"/>
            <color theme="1"/>
            <rFont val="Calibri"/>
            <family val="2"/>
            <scheme val="minor"/>
          </rPr>
          <t>======
ID#AAAAyv48TNU
tc={6E268AE8-1FBE-4344-9953-09864ED8ABCA}    (2023-06-08 12:33:25)
[Threaded comment]
Your version of Excel allows you to read this threaded comment; however, any edits to it will get removed if the file is opened in a newer version of Excel. Learn more: https://go.microsoft.com/fwlink/?linkid=870924
Comment:
    Neurological examination - as and when  needed</t>
        </r>
      </text>
    </comment>
    <comment ref="H16" authorId="0" shapeId="0" xr:uid="{98CEC86F-402A-B949-ADD0-FA49A60EF78C}">
      <text>
        <r>
          <rPr>
            <sz val="11"/>
            <color theme="1"/>
            <rFont val="Calibri"/>
            <family val="2"/>
            <scheme val="minor"/>
          </rPr>
          <t>======
ID#AAAAyv48TOo
tc={1E40CE5F-1458-4A4E-9579-22488867D93E}    (2023-06-08 12:33:25)
[Threaded comment]
Your version of Excel allows you to read this threaded comment; however, any edits to it will get removed if the file is opened in a newer version of Excel. Learn more: https://go.microsoft.com/fwlink/?linkid=870924
Comment:
    33 FEP, 45 TRS Cohort</t>
        </r>
      </text>
    </comment>
    <comment ref="J16" authorId="0" shapeId="0" xr:uid="{0549821F-5FD5-AC43-AE07-5DF1E81A4C0A}">
      <text>
        <r>
          <rPr>
            <sz val="11"/>
            <color theme="1"/>
            <rFont val="Calibri"/>
            <family val="2"/>
            <scheme val="minor"/>
          </rPr>
          <t>======
ID#AAAAyv48TPA
tc={3763CB58-8A8C-43F0-87BE-1A45FC7439FA}    (2023-06-08 12:33:25)
[Threaded comment]
Your version of Excel allows you to read this threaded comment; however, any edits to it will get removed if the file is opened in a newer version of Excel. Learn more: https://go.microsoft.com/fwlink/?linkid=870924
Comment:
    33 FEP, 45 TRS Cohort</t>
        </r>
      </text>
    </comment>
    <comment ref="K16" authorId="0" shapeId="0" xr:uid="{B24E0F5D-CDCD-6847-8160-87A4A6C92C79}">
      <text>
        <r>
          <rPr>
            <sz val="11"/>
            <color theme="1"/>
            <rFont val="Calibri"/>
            <family val="2"/>
            <scheme val="minor"/>
          </rPr>
          <t>======
ID#AAAAyv48TN0
R B    (2023-06-08 12:33:25)
33/45 FEP/chronic cohorts</t>
        </r>
      </text>
    </comment>
    <comment ref="N16" authorId="0" shapeId="0" xr:uid="{2ECB24AE-4564-9444-83E8-2859F7AD679D}">
      <text>
        <r>
          <rPr>
            <sz val="11"/>
            <color theme="1"/>
            <rFont val="Calibri"/>
            <family val="2"/>
            <scheme val="minor"/>
          </rPr>
          <t>======
ID#AAAAyv48TPw
tc={FAC69B5B-3830-445D-9AA7-6710FE7710DA}    (2023-06-08 12:33:25)
[Threaded comment]
Your version of Excel allows you to read this threaded comment; however, any edits to it will get removed if the file is opened in a newer version of Excel. Learn more: https://go.microsoft.com/fwlink/?linkid=870924
Comment:
    4 FEP, 1 TRS</t>
        </r>
      </text>
    </comment>
    <comment ref="P16" authorId="0" shapeId="0" xr:uid="{C766616E-1124-8748-8DE5-0229E2FA76CF}">
      <text>
        <r>
          <rPr>
            <sz val="11"/>
            <color theme="1"/>
            <rFont val="Calibri"/>
            <family val="2"/>
            <scheme val="minor"/>
          </rPr>
          <t>======
ID#AAAAyv48TNM
tc={7CDA4CD5-79CA-460F-BB3C-1D7433DC68C5}    (2023-06-08 12:33:25)
[Threaded comment]
Your version of Excel allows you to read this threaded comment; however, any edits to it will get removed if the file is opened in a newer version of Excel. Learn more: https://go.microsoft.com/fwlink/?linkid=870924
Comment:
    106 FEP, 97 TRS</t>
        </r>
      </text>
    </comment>
    <comment ref="R16" authorId="0" shapeId="0" xr:uid="{0EDBFF01-EB77-274D-B116-FD352E554C41}">
      <text>
        <r>
          <rPr>
            <sz val="11"/>
            <color theme="1"/>
            <rFont val="Calibri"/>
            <family val="2"/>
            <scheme val="minor"/>
          </rPr>
          <t>======
ID#AAAAyv48TMk
tc={4FAF8E7D-ADF0-4164-81D6-6DFE55EACA26}    (2023-06-08 12:33:25)
[Threaded comment]
Your version of Excel allows you to read this threaded comment; however, any edits to it will get removed if the file is opened in a newer version of Excel. Learn more: https://go.microsoft.com/fwlink/?linkid=870924
Comment:
    2 FEP, 2 TRS</t>
        </r>
      </text>
    </comment>
    <comment ref="AW16" authorId="0" shapeId="0" xr:uid="{03F4890F-0257-8A40-B4C6-72AA065190AE}">
      <text>
        <r>
          <rPr>
            <sz val="11"/>
            <color theme="1"/>
            <rFont val="Calibri"/>
            <family val="2"/>
            <scheme val="minor"/>
          </rPr>
          <t>======
ID#AAAA0EiR2r4
Rr Bb    (2023-07-11 00:11:15)
Weeks, one case</t>
        </r>
      </text>
    </comment>
    <comment ref="AZ16" authorId="0" shapeId="0" xr:uid="{1F4E0C7E-66EE-5D47-9596-1834A0433CA6}">
      <text>
        <r>
          <rPr>
            <sz val="11"/>
            <color theme="1"/>
            <rFont val="Calibri"/>
            <family val="2"/>
            <scheme val="minor"/>
          </rPr>
          <t>======
ID#AAAAyv48TS0
tc={F0A30DBE-2A8A-4845-89A4-810B1D1EADB8}    (2023-06-08 12:33:25)
[Threaded comment]
Your version of Excel allows you to read this threaded comment; however, any edits to it will get removed if the file is opened in a newer version of Excel. Learn more: https://go.microsoft.com/fwlink/?linkid=870924
Comment:
     (112 FEP), 100 (TRS)</t>
        </r>
      </text>
    </comment>
    <comment ref="CN16" authorId="0" shapeId="0" xr:uid="{B0D1D4D8-9B86-8F42-9BB3-DF2E15671865}">
      <text>
        <r>
          <rPr>
            <sz val="11"/>
            <color theme="1"/>
            <rFont val="Calibri"/>
            <family val="2"/>
            <scheme val="minor"/>
          </rPr>
          <t>======
ID#AAAAyv48TPQ
R B    (2023-06-08 12:33:25)
Non-causative findings</t>
        </r>
      </text>
    </comment>
    <comment ref="CR16" authorId="0" shapeId="0" xr:uid="{E06DAFC8-0BC0-104E-A7EB-56B5B3C128C6}">
      <text>
        <r>
          <rPr>
            <sz val="11"/>
            <color theme="1"/>
            <rFont val="Calibri"/>
            <family val="2"/>
            <scheme val="minor"/>
          </rPr>
          <t>======
ID#AAAAyv48TTI
tc={419FD96D-EBBE-4945-A3FA-A36A5E1A77E1}    (2023-06-08 12:33:25)
[Threaded comment]
Your version of Excel allows you to read this threaded comment; however, any edits to it will get removed if the file is opened in a newer version of Excel. Learn more: https://go.microsoft.com/fwlink/?linkid=870924
Comment:
    Seropositive cases</t>
        </r>
      </text>
    </comment>
    <comment ref="CX16" authorId="0" shapeId="0" xr:uid="{2BB43D52-C525-DC40-9165-DAA41778716E}">
      <text>
        <r>
          <rPr>
            <sz val="11"/>
            <color theme="1"/>
            <rFont val="Calibri"/>
            <family val="2"/>
            <scheme val="minor"/>
          </rPr>
          <t>======
ID#AAAAyv48TQY
tc={3471B900-F99B-4C43-A726-DD387B395B47}    (2023-06-08 12:33:25)
[Threaded comment]
Your version of Excel allows you to read this threaded comment; however, any edits to it will get removed if the file is opened in a newer version of Excel. Learn more: https://go.microsoft.com/fwlink/?linkid=870924
Comment:
    Seropositive cases</t>
        </r>
      </text>
    </comment>
    <comment ref="CZ16" authorId="0" shapeId="0" xr:uid="{678BDC76-CD53-9742-8639-91D8A7A78DA9}">
      <text>
        <r>
          <rPr>
            <sz val="11"/>
            <color theme="1"/>
            <rFont val="Calibri"/>
            <family val="2"/>
            <scheme val="minor"/>
          </rPr>
          <t>======
ID#AAAAyv48TRg
tc={40BC7B89-9B14-444B-8522-2E794AE41B08}    (2023-06-08 12:33:25)
[Threaded comment]
Your version of Excel allows you to read this threaded comment; however, any edits to it will get removed if the file is opened in a newer version of Excel. Learn more: https://go.microsoft.com/fwlink/?linkid=870924
Comment:
    Seropositive cases</t>
        </r>
      </text>
    </comment>
    <comment ref="DB16" authorId="0" shapeId="0" xr:uid="{57792289-17DF-ED48-AB06-CE8B0918918A}">
      <text>
        <r>
          <rPr>
            <sz val="11"/>
            <color theme="1"/>
            <rFont val="Calibri"/>
            <family val="2"/>
            <scheme val="minor"/>
          </rPr>
          <t>======
ID#AAAAyv48TSQ
tc={8AA93B12-C530-40DE-A660-576D712DA55D}    (2023-06-08 12:33:25)
[Threaded comment]
Your version of Excel allows you to read this threaded comment; however, any edits to it will get removed if the file is opened in a newer version of Excel. Learn more: https://go.microsoft.com/fwlink/?linkid=870924
Comment:
    all
Reply:
    Requested from all patients in one of the two institutions only</t>
        </r>
      </text>
    </comment>
    <comment ref="DF16" authorId="0" shapeId="0" xr:uid="{98E3B67D-34BA-8D46-B9E3-B39445AC1C11}">
      <text>
        <r>
          <rPr>
            <sz val="11"/>
            <color theme="1"/>
            <rFont val="Calibri"/>
            <family val="2"/>
            <scheme val="minor"/>
          </rPr>
          <t>======
ID#AAAAyv48TKY
tc={0E282D0B-F200-43F3-8ABB-76B6696F02AF}    (2023-06-08 12:33:25)
[Threaded comment]
Your version of Excel allows you to read this threaded comment; however, any edits to it will get removed if the file is opened in a newer version of Excel. Learn more: https://go.microsoft.com/fwlink/?linkid=870924
Comment:
    Whole sample</t>
        </r>
      </text>
    </comment>
    <comment ref="DG16" authorId="0" shapeId="0" xr:uid="{1194784C-2B09-D54E-9D05-DD135C1CE272}">
      <text>
        <r>
          <rPr>
            <sz val="11"/>
            <color theme="1"/>
            <rFont val="Calibri"/>
            <family val="2"/>
            <scheme val="minor"/>
          </rPr>
          <t>======
ID#AAAAyv48TP0
R B    (2023-06-08 12:33:25)
SCID</t>
        </r>
      </text>
    </comment>
    <comment ref="DH16" authorId="0" shapeId="0" xr:uid="{7D563018-9DB3-8B49-9C88-6EE793511A03}">
      <text>
        <r>
          <rPr>
            <sz val="11"/>
            <color theme="1"/>
            <rFont val="Calibri"/>
            <family val="2"/>
            <scheme val="minor"/>
          </rPr>
          <t>======
ID#AAAAyv48TSI
tc={F1560EA8-135E-4B27-982F-7FF686E28722}    (2023-06-08 12:33:25)
[Threaded comment]
Your version of Excel allows you to read this threaded comment; however, any edits to it will get removed if the file is opened in a newer version of Excel. Learn more: https://go.microsoft.com/fwlink/?linkid=870924
Comment:
    SCID</t>
        </r>
      </text>
    </comment>
    <comment ref="DJ16" authorId="0" shapeId="0" xr:uid="{A8AB8259-960D-1448-8C61-FCE589ACD49A}">
      <text>
        <r>
          <rPr>
            <sz val="11"/>
            <color theme="1"/>
            <rFont val="Calibri"/>
            <family val="2"/>
            <scheme val="minor"/>
          </rPr>
          <t>======
ID#AAAAyv48TMs
tc={48719A2E-50B2-4DBC-95FD-62EC8D63484F}    (2023-06-08 12:33:25)
[Threaded comment]
Your version of Excel allows you to read this threaded comment; however, any edits to it will get removed if the file is opened in a newer version of Excel. Learn more: https://go.microsoft.com/fwlink/?linkid=870924
Comment:
    Seropositive cases were reviewed and clinically examined by a consultant neurologist</t>
        </r>
      </text>
    </comment>
    <comment ref="DO16" authorId="0" shapeId="0" xr:uid="{1A151BF8-9CE6-5248-890D-0DB75F554E1B}">
      <text>
        <r>
          <rPr>
            <sz val="11"/>
            <color theme="1"/>
            <rFont val="Calibri"/>
            <family val="2"/>
            <scheme val="minor"/>
          </rPr>
          <t>======
ID#AAAAyv48TLc
R B    (2023-06-08 12:33:25)
Ultrasound, X-ray</t>
        </r>
      </text>
    </comment>
    <comment ref="DP16" authorId="0" shapeId="0" xr:uid="{F419BBCE-E5FF-1049-9962-3AB43F9D0810}">
      <text>
        <r>
          <rPr>
            <sz val="11"/>
            <color theme="1"/>
            <rFont val="Calibri"/>
            <family val="2"/>
            <scheme val="minor"/>
          </rPr>
          <t>======
ID#AAAAyv48TS4
tc={75C0B5AF-003D-4DAB-9309-BFF1690B879D}    (2023-06-08 12:33:25)
[Threaded comment]
Your version of Excel allows you to read this threaded comment; however, any edits to it will get removed if the file is opened in a newer version of Excel. Learn more: https://go.microsoft.com/fwlink/?linkid=870924
Comment:
    malignancy screen (pelvic or testicular
ultrasound &amp; chest x-ray) for those who were seropositive</t>
        </r>
      </text>
    </comment>
    <comment ref="DO17" authorId="0" shapeId="0" xr:uid="{301EED8A-8E26-C540-A98A-5211E8B480E3}">
      <text>
        <r>
          <rPr>
            <sz val="11"/>
            <color theme="1"/>
            <rFont val="Calibri"/>
            <family val="2"/>
            <scheme val="minor"/>
          </rPr>
          <t>ACR criteria for SLE test
======</t>
        </r>
      </text>
    </comment>
    <comment ref="DP17" authorId="0" shapeId="0" xr:uid="{7229ED1C-01D4-8B42-B488-60BA942FA5FD}">
      <text>
        <r>
          <rPr>
            <sz val="11"/>
            <color theme="1"/>
            <rFont val="Calibri"/>
            <family val="2"/>
            <scheme val="minor"/>
          </rPr>
          <t>ACR criteria for SLE test
======
ID#AAAA3ji5ZJc
Anonymous    (2023-08-21 18:32:33)
Those who presented positive ANA were assessed by rheumatology team and had clinical and laboratorial investigation</t>
        </r>
      </text>
    </comment>
    <comment ref="O18" authorId="0" shapeId="0" xr:uid="{69E83E09-72E0-A042-86E0-18FBD7C97A3C}">
      <text>
        <r>
          <rPr>
            <sz val="11"/>
            <color theme="1"/>
            <rFont val="Calibri"/>
            <family val="2"/>
            <scheme val="minor"/>
          </rPr>
          <t>======
ID#AAAAyv48TOQ
R B    (2023-06-08 12:33:25)
European Portuguese</t>
        </r>
      </text>
    </comment>
    <comment ref="P18" authorId="0" shapeId="0" xr:uid="{8D43B25B-F7AB-2B40-9E91-99A3B7ED9A8A}">
      <text>
        <r>
          <rPr>
            <sz val="11"/>
            <color theme="1"/>
            <rFont val="Calibri"/>
            <family val="2"/>
            <scheme val="minor"/>
          </rPr>
          <t>======
ID#AAAAyv48TNI
tc={1B3BD05A-33E4-42EF-A975-3A4A48D0C891}    (2023-06-08 12:33:25)
[Threaded comment]
Your version of Excel allows you to read this threaded comment; however, any edits to it will get removed if the file is opened in a newer version of Excel. Learn more: https://go.microsoft.com/fwlink/?linkid=870924
Comment:
    European Portuguese</t>
        </r>
      </text>
    </comment>
    <comment ref="AW18" authorId="0" shapeId="0" xr:uid="{D2AF98F5-BC19-5E4A-AC42-6B19066431B9}">
      <text>
        <r>
          <rPr>
            <sz val="11"/>
            <color theme="1"/>
            <rFont val="Calibri"/>
            <family val="2"/>
            <scheme val="minor"/>
          </rPr>
          <t>======
ID#AAAA0EiR2r8
Rr Bb    (2023-07-11 00:11:28)
Study describes "years delay in diagnosis", split between epilepsy (14y), dementia (12y), brain mass (9y), stroke sequelae (7y) and encephalitis (6y)</t>
        </r>
      </text>
    </comment>
    <comment ref="CN18" authorId="0" shapeId="0" xr:uid="{C1E7D81E-E76B-2B46-8635-10A7974BF080}">
      <text>
        <r>
          <rPr>
            <sz val="11"/>
            <color theme="1"/>
            <rFont val="Calibri"/>
            <family val="2"/>
            <scheme val="minor"/>
          </rPr>
          <t>======
ID#AAAAyv48TQs
R B    (2023-06-08 12:33:25)
7 brain mass, 4 stroke, 1 encephalitis related</t>
        </r>
      </text>
    </comment>
    <comment ref="DK18" authorId="0" shapeId="0" xr:uid="{9A85B6B3-06B2-E34A-A84D-747B84C5348B}">
      <text>
        <r>
          <rPr>
            <sz val="11"/>
            <color theme="1"/>
            <rFont val="Calibri"/>
            <family val="2"/>
            <scheme val="minor"/>
          </rPr>
          <t>======
ID#AAAAyv48TPk
R B    (2023-06-08 12:33:25)
Neuropsychological assessment</t>
        </r>
      </text>
    </comment>
    <comment ref="DX19" authorId="0" shapeId="0" xr:uid="{016355C0-3F9F-1E46-9449-B53684FEABF7}">
      <text>
        <r>
          <rPr>
            <sz val="11"/>
            <color theme="1"/>
            <rFont val="Calibri"/>
            <family val="2"/>
            <scheme val="minor"/>
          </rPr>
          <t>======
ID#AAAAyv48TRo
tc={0E174F8A-1AF5-4963-9360-2DA66CD41EB5}    (2023-06-08 12:33:25)
[Threaded comment]
Your version of Excel allows you to read this threaded comment; however, any edits to it will get removed if the file is opened in a newer version of Excel. Learn more: https://go.microsoft.com/fwlink/?linkid=870924
Comment:
    DSM-IV TR Criteria</t>
        </r>
      </text>
    </comment>
    <comment ref="C21" authorId="0" shapeId="0" xr:uid="{97CACCF9-F3A3-4847-9984-90A19689F7A6}">
      <text>
        <r>
          <rPr>
            <sz val="11"/>
            <color theme="1"/>
            <rFont val="Calibri"/>
            <family val="2"/>
            <scheme val="minor"/>
          </rPr>
          <t>======
ID#AAAAyv48TMY
R B    (2023-06-08 12:33:25)
1 "Other"</t>
        </r>
      </text>
    </comment>
    <comment ref="E21" authorId="0" shapeId="0" xr:uid="{F92C50DB-1BCF-4B49-A8FB-8A96D6F76C8D}">
      <text>
        <r>
          <rPr>
            <sz val="11"/>
            <color theme="1"/>
            <rFont val="Calibri"/>
            <family val="2"/>
            <scheme val="minor"/>
          </rPr>
          <t>======
ID#AAAAyv48TSo
R B    (2023-06-08 12:33:25)
1 "Other"</t>
        </r>
      </text>
    </comment>
    <comment ref="K21" authorId="0" shapeId="0" xr:uid="{C0CCB730-41F2-654A-B69C-EA100CCA31BD}">
      <text>
        <r>
          <rPr>
            <sz val="11"/>
            <color theme="1"/>
            <rFont val="Calibri"/>
            <family val="2"/>
            <scheme val="minor"/>
          </rPr>
          <t>======
ID#AAAAyv48TPU
R B    (2023-06-08 12:33:25)
Median age</t>
        </r>
      </text>
    </comment>
    <comment ref="S21" authorId="0" shapeId="0" xr:uid="{F1A48FFF-6FA8-784F-9BC5-7224E1130B07}">
      <text>
        <r>
          <rPr>
            <sz val="11"/>
            <color theme="1"/>
            <rFont val="Calibri"/>
            <family val="2"/>
            <scheme val="minor"/>
          </rPr>
          <t>======
ID#AAAAyv48TTQ
R B    (2023-06-08 12:33:25)
"Other/mixed"</t>
        </r>
      </text>
    </comment>
    <comment ref="AK21" authorId="0" shapeId="0" xr:uid="{CB5C85A3-9EC3-6B4E-86C2-FC571A70E8B9}">
      <text>
        <r>
          <rPr>
            <sz val="11"/>
            <color theme="1"/>
            <rFont val="Calibri"/>
            <family val="2"/>
            <scheme val="minor"/>
          </rPr>
          <t>======
ID#AAAAyv48TOA
R B    (2023-06-08 12:33:25)
Does not specify FEP only, but implied as patients were excluded if psychosis was due to exacerbation of known psychiatric/medical condition</t>
        </r>
      </text>
    </comment>
    <comment ref="BM21" authorId="0" shapeId="0" xr:uid="{B3A7E0E8-9CEC-814F-8547-0FD4EDDFDCB8}">
      <text>
        <r>
          <rPr>
            <sz val="11"/>
            <color theme="1"/>
            <rFont val="Calibri"/>
            <family val="2"/>
            <scheme val="minor"/>
          </rPr>
          <t>======
ID#AAAAyv48TKc
R B    (2023-06-08 12:33:25)
1/13 of the toxic/substance induced patients was diagnosed with leviracetam-induced psychosis - could be classed as iatrogenic?
Substance-induced psychosis diagnosed based on positive UDS</t>
        </r>
      </text>
    </comment>
    <comment ref="BO21" authorId="0" shapeId="0" xr:uid="{5380C052-E496-E44D-8B50-8F9732C50786}">
      <text>
        <r>
          <rPr>
            <sz val="11"/>
            <color theme="1"/>
            <rFont val="Calibri"/>
            <family val="2"/>
            <scheme val="minor"/>
          </rPr>
          <t>======
ID#AAAAyv48TRs
R B    (2023-06-08 12:33:25)
1/13 of the toxic/substance induced patients was diagnosed with leviracetam-induced psychosis - could be iatrogenic?</t>
        </r>
      </text>
    </comment>
    <comment ref="DF22" authorId="0" shapeId="0" xr:uid="{077C06E7-9210-F346-A9B1-2FAF9BD338C7}">
      <text>
        <r>
          <rPr>
            <sz val="11"/>
            <color theme="1"/>
            <rFont val="Calibri"/>
            <family val="2"/>
            <scheme val="minor"/>
          </rPr>
          <t>======
ID#AAAAyv48TQc
tc={00514E1C-6884-44B2-BDA0-6AB414265CFD}    (2023-06-08 12:33:25)
[Threaded comment]
Your version of Excel allows you to read this threaded comment; however, any edits to it will get removed if the file is opened in a newer version of Excel. Learn more: https://go.microsoft.com/fwlink/?linkid=870924
Comment:
    Whole sample</t>
        </r>
      </text>
    </comment>
    <comment ref="DG22" authorId="0" shapeId="0" xr:uid="{F76F2B2D-E868-644F-BDA1-67A17A5871F4}">
      <text>
        <r>
          <rPr>
            <sz val="11"/>
            <color theme="1"/>
            <rFont val="Calibri"/>
            <family val="2"/>
            <scheme val="minor"/>
          </rPr>
          <t>======
ID#AAAAyv48TR4
R B    (2023-06-08 12:33:25)
SCID</t>
        </r>
      </text>
    </comment>
    <comment ref="DL22" authorId="0" shapeId="0" xr:uid="{7F4C7480-084D-194C-954C-2106AFA5C4F8}">
      <text>
        <r>
          <rPr>
            <sz val="11"/>
            <color theme="1"/>
            <rFont val="Calibri"/>
            <family val="2"/>
            <scheme val="minor"/>
          </rPr>
          <t>======
ID#AAAAyv48TKo
tc={209DE5AA-1072-4575-9F38-91C029D1FB97}    (2023-06-08 12:33:25)
[Threaded comment]
Your version of Excel allows you to read this threaded comment; however, any edits to it will get removed if the file is opened in a newer version of Excel. Learn more: https://go.microsoft.com/fwlink/?linkid=870924
Comment:
    PANSS AND MMSE (used for neurological evaluation) - whole sample</t>
        </r>
      </text>
    </comment>
    <comment ref="DM22" authorId="0" shapeId="0" xr:uid="{D7399BCE-C46D-C84C-A256-02E31169DEB2}">
      <text>
        <r>
          <rPr>
            <sz val="11"/>
            <color theme="1"/>
            <rFont val="Calibri"/>
            <family val="2"/>
            <scheme val="minor"/>
          </rPr>
          <t>======
ID#AAAAyv48TL4
R B    (2023-06-08 12:33:25)
MMSE/EXIT</t>
        </r>
      </text>
    </comment>
    <comment ref="DN22" authorId="0" shapeId="0" xr:uid="{6C12554C-68C6-C04A-89F5-55B732F8D2E7}">
      <text>
        <r>
          <rPr>
            <sz val="11"/>
            <color theme="1"/>
            <rFont val="Calibri"/>
            <family val="2"/>
            <scheme val="minor"/>
          </rPr>
          <t>======
ID#AAAAyv48TLk
tc={AD24AB5B-D6E5-4E81-A90D-AD4B066D1E26}    (2023-06-08 12:33:25)
[Threaded comment]
Your version of Excel allows you to read this threaded comment; however, any edits to it will get removed if the file is opened in a newer version of Excel. Learn more: https://go.microsoft.com/fwlink/?linkid=870924
Comment:
    PANSS AND MMSE (used for neurological evaluation) - whole sample</t>
        </r>
      </text>
    </comment>
    <comment ref="C23" authorId="0" shapeId="0" xr:uid="{E4A620C7-DCF3-1D40-8AD8-4BD4CF3421E5}">
      <text>
        <r>
          <rPr>
            <sz val="11"/>
            <color theme="1"/>
            <rFont val="Calibri"/>
            <family val="2"/>
            <scheme val="minor"/>
          </rPr>
          <t>======
ID#AAAAyv48TO8
R B    (2023-06-08 12:33:25)
3 "missing"</t>
        </r>
      </text>
    </comment>
    <comment ref="E23" authorId="0" shapeId="0" xr:uid="{0A08CEA5-C3AE-D748-80EC-CFAAE79AF31E}">
      <text>
        <r>
          <rPr>
            <sz val="11"/>
            <color theme="1"/>
            <rFont val="Calibri"/>
            <family val="2"/>
            <scheme val="minor"/>
          </rPr>
          <t>======
ID#AAAAyv48TLA
R B    (2023-06-08 12:33:25)
3 "missing"</t>
        </r>
      </text>
    </comment>
    <comment ref="M23" authorId="0" shapeId="0" xr:uid="{360FE272-EB38-6D4B-B634-EBD7DF7F3969}">
      <text>
        <r>
          <rPr>
            <sz val="11"/>
            <color theme="1"/>
            <rFont val="Calibri"/>
            <family val="2"/>
            <scheme val="minor"/>
          </rPr>
          <t>======
ID#AAAAyv48TOM
R B    (2023-06-08 12:33:25)
Yoruba</t>
        </r>
      </text>
    </comment>
    <comment ref="N23" authorId="0" shapeId="0" xr:uid="{3515F410-8044-D942-AA82-D32039C6E420}">
      <text>
        <r>
          <rPr>
            <sz val="11"/>
            <color theme="1"/>
            <rFont val="Calibri"/>
            <family val="2"/>
            <scheme val="minor"/>
          </rPr>
          <t>======
ID#AAAAyv48TRE
tc={63BA24B3-95DD-4E45-8C28-53AD4B290EC8}    (2023-06-08 12:33:25)
[Threaded comment]
Your version of Excel allows you to read this threaded comment; however, any edits to it will get removed if the file is opened in a newer version of Excel. Learn more: https://go.microsoft.com/fwlink/?linkid=870924
Comment:
    Yoruba</t>
        </r>
      </text>
    </comment>
    <comment ref="S23" authorId="0" shapeId="0" xr:uid="{AC26A3BA-5DDB-6845-8AFD-FE4196BC35FD}">
      <text>
        <r>
          <rPr>
            <sz val="11"/>
            <color theme="1"/>
            <rFont val="Calibri"/>
            <family val="2"/>
            <scheme val="minor"/>
          </rPr>
          <t>======
ID#AAAAyv48TNk
R B    (2023-06-08 12:33:25)
Other</t>
        </r>
      </text>
    </comment>
    <comment ref="AK23" authorId="0" shapeId="0" xr:uid="{4FA74E84-7EC4-F942-89CE-C07914C7242F}">
      <text>
        <r>
          <rPr>
            <sz val="11"/>
            <color theme="1"/>
            <rFont val="Calibri"/>
            <family val="2"/>
            <scheme val="minor"/>
          </rPr>
          <t>======
ID#AAAAyv48TOw
R B    (2023-06-08 12:33:25)
Doesn't explicitly say, but childhood-onset</t>
        </r>
      </text>
    </comment>
    <comment ref="DU23" authorId="0" shapeId="0" xr:uid="{C2FCD534-DAD8-9A48-B075-BDA3DC31778A}">
      <text>
        <r>
          <rPr>
            <sz val="11"/>
            <color theme="1"/>
            <rFont val="Calibri"/>
            <family val="2"/>
            <scheme val="minor"/>
          </rPr>
          <t>======
ID#AAAAyv48TO4
R B    (2023-06-08 12:33:25)
Using ICD/DSM</t>
        </r>
      </text>
    </comment>
    <comment ref="DF24" authorId="0" shapeId="0" xr:uid="{E5BBD0C8-6736-0647-A4F0-A8BF7960B21B}">
      <text>
        <r>
          <rPr>
            <sz val="11"/>
            <color theme="1"/>
            <rFont val="Calibri"/>
            <family val="2"/>
            <scheme val="minor"/>
          </rPr>
          <t>======
ID#AAAAyv48TMA
tc={AAA48320-5AEF-4EDA-93C0-4BB3A0ECC2D5}    (2023-06-08 12:33:25)
[Threaded comment]
Your version of Excel allows you to read this threaded comment; however, any edits to it will get removed if the file is opened in a newer version of Excel. Learn more: https://go.microsoft.com/fwlink/?linkid=870924
Comment:
    Psych</t>
        </r>
      </text>
    </comment>
    <comment ref="DG24" authorId="0" shapeId="0" xr:uid="{4E7B86DB-9B44-5A48-A721-96503612986D}">
      <text>
        <r>
          <rPr>
            <sz val="11"/>
            <color theme="1"/>
            <rFont val="Calibri"/>
            <family val="2"/>
            <scheme val="minor"/>
          </rPr>
          <t>======
ID#AAAAyv48TRM
R B    (2023-06-08 12:33:25)
SCID</t>
        </r>
      </text>
    </comment>
    <comment ref="DJ24" authorId="0" shapeId="0" xr:uid="{8463D619-5E58-794B-970E-316479BA6A74}">
      <text>
        <r>
          <rPr>
            <sz val="11"/>
            <color theme="1"/>
            <rFont val="Calibri"/>
            <family val="2"/>
            <scheme val="minor"/>
          </rPr>
          <t>======
ID#AAAAyv48TMo
tc={3F4486AF-FD4A-46FC-A15B-FB9F99353620}    (2023-06-08 12:33:25)
[Threaded comment]
Your version of Excel allows you to read this threaded comment; however, any edits to it will get removed if the file is opened in a newer version of Excel. Learn more: https://go.microsoft.com/fwlink/?linkid=870924
Comment:
    Neurological assessment</t>
        </r>
      </text>
    </comment>
    <comment ref="K25" authorId="0" shapeId="0" xr:uid="{2E5127C1-D77C-7D42-AFB5-75919F3CE483}">
      <text>
        <r>
          <rPr>
            <sz val="11"/>
            <color theme="1"/>
            <rFont val="Calibri"/>
            <family val="2"/>
            <scheme val="minor"/>
          </rPr>
          <t>======
ID#AAAAyv48TLE
R B    (2023-06-08 12:33:25)
Given as those with probable autoimmune/F2, F1/F3-F6, "No reliable classification"; unable to combine</t>
        </r>
      </text>
    </comment>
    <comment ref="CN25" authorId="0" shapeId="0" xr:uid="{C8D8E179-7D93-214F-9147-0E74B7C46FEC}">
      <text>
        <r>
          <rPr>
            <sz val="11"/>
            <color theme="1"/>
            <rFont val="Calibri"/>
            <family val="2"/>
            <scheme val="minor"/>
          </rPr>
          <t>======
ID#AAAAyv48TQo
R B    (2023-06-08 12:33:25)
Non-causative findings</t>
        </r>
      </text>
    </comment>
    <comment ref="CR25" authorId="0" shapeId="0" xr:uid="{343E7D45-73FC-784F-8796-2D8A69DD80C9}">
      <text>
        <r>
          <rPr>
            <sz val="11"/>
            <color theme="1"/>
            <rFont val="Calibri"/>
            <family val="2"/>
            <scheme val="minor"/>
          </rPr>
          <t>======
ID#AAAAyv48TMw
tc={9BEC0413-2FBA-40AD-8182-2EBFE96A7CD0}    (2023-06-08 12:33:25)
[Threaded comment]
Your version of Excel allows you to read this threaded comment; however, any edits to it will get removed if the file is opened in a newer version of Excel. Learn more: https://go.microsoft.com/fwlink/?linkid=870924
Comment:
    Only probable autoimmune psychosis group</t>
        </r>
      </text>
    </comment>
    <comment ref="CT25" authorId="0" shapeId="0" xr:uid="{2AAFD47C-387C-2942-88BA-48FC4FD17F4B}">
      <text>
        <r>
          <rPr>
            <sz val="11"/>
            <color theme="1"/>
            <rFont val="Calibri"/>
            <family val="2"/>
            <scheme val="minor"/>
          </rPr>
          <t>======
ID#AAAAyv48TOk
tc={1C9865D3-3972-4BFA-B3B9-544B6A3E48CA}    (2023-06-08 12:33:25)
[Threaded comment]
Your version of Excel allows you to read this threaded comment; however, any edits to it will get removed if the file is opened in a newer version of Excel. Learn more: https://go.microsoft.com/fwlink/?linkid=870924
Comment:
    Whole sample</t>
        </r>
      </text>
    </comment>
    <comment ref="CZ25" authorId="0" shapeId="0" xr:uid="{6816291C-5811-074C-9985-450719B17ADE}">
      <text>
        <r>
          <rPr>
            <sz val="11"/>
            <color theme="1"/>
            <rFont val="Calibri"/>
            <family val="2"/>
            <scheme val="minor"/>
          </rPr>
          <t>======
ID#AAAAyv48TMc
tc={0E84A5EE-B49E-4975-9B23-5430E8FE65AE}    (2023-06-08 12:33:25)
[Threaded comment]
Your version of Excel allows you to read this threaded comment; however, any edits to it will get removed if the file is opened in a newer version of Excel. Learn more: https://go.microsoft.com/fwlink/?linkid=870924
Comment:
    Whole sample</t>
        </r>
      </text>
    </comment>
    <comment ref="DB25" authorId="0" shapeId="0" xr:uid="{712D093A-F8C6-F84B-88A7-54AFFED9FA39}">
      <text>
        <r>
          <rPr>
            <sz val="11"/>
            <color theme="1"/>
            <rFont val="Calibri"/>
            <family val="2"/>
            <scheme val="minor"/>
          </rPr>
          <t>======
ID#AAAAyv48TSE
tc={72995BE7-9513-4B46-B5F7-359A0B48805F}    (2023-06-08 12:33:25)
[Threaded comment]
Your version of Excel allows you to read this threaded comment; however, any edits to it will get removed if the file is opened in a newer version of Excel. Learn more: https://go.microsoft.com/fwlink/?linkid=870924
Comment:
    Whole sample</t>
        </r>
      </text>
    </comment>
    <comment ref="DF25" authorId="0" shapeId="0" xr:uid="{82470848-2979-FC43-A0A8-F2B3329A9A62}">
      <text>
        <r>
          <rPr>
            <sz val="11"/>
            <color theme="1"/>
            <rFont val="Calibri"/>
            <family val="2"/>
            <scheme val="minor"/>
          </rPr>
          <t>======
ID#AAAAyv48TPY
tc={19A58C5A-66DC-4788-843E-9DD38AC95F15}    (2023-06-08 12:33:25)
[Threaded comment]
Your version of Excel allows you to read this threaded comment; however, any edits to it will get removed if the file is opened in a newer version of Excel. Learn more: https://go.microsoft.com/fwlink/?linkid=870924
Comment:
    Psych assessment and neurological examination - whole sample</t>
        </r>
      </text>
    </comment>
    <comment ref="DS25" authorId="0" shapeId="0" xr:uid="{50662ABC-36EB-2E4E-9176-1A375CFE0DB7}">
      <text>
        <r>
          <rPr>
            <sz val="11"/>
            <color theme="1"/>
            <rFont val="Calibri"/>
            <family val="2"/>
            <scheme val="minor"/>
          </rPr>
          <t>======
ID#AAAAyv48TSA
R B    (2023-06-08 12:33:25)
Diagnosis also given when appropriate</t>
        </r>
      </text>
    </comment>
    <comment ref="DU25" authorId="0" shapeId="0" xr:uid="{58B863B2-7E37-8940-BDE4-6D862E501B0E}">
      <text>
        <r>
          <rPr>
            <sz val="11"/>
            <color theme="1"/>
            <rFont val="Calibri"/>
            <family val="2"/>
            <scheme val="minor"/>
          </rPr>
          <t>======
ID#AAAAyv48TTM
R B    (2023-06-08 12:33:25)
Using ICD</t>
        </r>
      </text>
    </comment>
    <comment ref="O26" authorId="0" shapeId="0" xr:uid="{AC700A9A-1DDD-E844-9C01-9CD3D722FFA9}">
      <text>
        <r>
          <rPr>
            <sz val="11"/>
            <color theme="1"/>
            <rFont val="Calibri"/>
            <family val="2"/>
            <scheme val="minor"/>
          </rPr>
          <t>======
ID#AAAAyv48TKU
R B    (2023-06-08 12:33:25)
99% Caucasian</t>
        </r>
      </text>
    </comment>
    <comment ref="DU26" authorId="0" shapeId="0" xr:uid="{05C30F9C-9EEE-374B-B68A-2C2CA5086DA3}">
      <text>
        <r>
          <rPr>
            <sz val="11"/>
            <color theme="1"/>
            <rFont val="Calibri"/>
            <family val="2"/>
            <scheme val="minor"/>
          </rPr>
          <t>======
ID#AAAAyv48TTc
R B    (2023-06-08 12:33:25)
Using ICD</t>
        </r>
      </text>
    </comment>
    <comment ref="K27" authorId="0" shapeId="0" xr:uid="{6F93A75D-28E0-1E45-A986-130E80EF2860}">
      <text>
        <r>
          <rPr>
            <sz val="11"/>
            <color theme="1"/>
            <rFont val="Calibri"/>
            <family val="2"/>
            <scheme val="minor"/>
          </rPr>
          <t>±8.27
======</t>
        </r>
      </text>
    </comment>
    <comment ref="O27" authorId="0" shapeId="0" xr:uid="{5F5D556D-6933-684A-9E45-3FCA40C4116C}">
      <text>
        <r>
          <rPr>
            <sz val="11"/>
            <color theme="1"/>
            <rFont val="Calibri"/>
            <family val="2"/>
            <scheme val="minor"/>
          </rPr>
          <t>"27 caucasian or other"
======</t>
        </r>
      </text>
    </comment>
    <comment ref="S27" authorId="0" shapeId="0" xr:uid="{C64C3A95-9514-0643-A862-3D035975E2BE}">
      <text>
        <r>
          <rPr>
            <sz val="11"/>
            <color theme="1"/>
            <rFont val="Calibri"/>
            <family val="2"/>
            <scheme val="minor"/>
          </rPr>
          <t>27 "caucasian or other", 127 Hispanic
======</t>
        </r>
      </text>
    </comment>
    <comment ref="T27" authorId="0" shapeId="0" xr:uid="{4E8330EE-83FF-B54C-BEB4-3B56ABD3C649}">
      <text>
        <r>
          <rPr>
            <sz val="11"/>
            <color theme="1"/>
            <rFont val="Calibri"/>
            <family val="2"/>
            <scheme val="minor"/>
          </rPr>
          <t>======
ID#AAAA3ji5ZJk
Anonymous    (2023-08-21 19:18:13)
27 Caucasian or other, 127 Hispanic</t>
        </r>
      </text>
    </comment>
    <comment ref="DV27" authorId="0" shapeId="0" xr:uid="{42C3CED4-D979-B24B-BE4B-21744E477DE6}">
      <text>
        <r>
          <rPr>
            <sz val="11"/>
            <color theme="1"/>
            <rFont val="Calibri"/>
            <family val="2"/>
            <scheme val="minor"/>
          </rPr>
          <t>======
ID#AAAA3ji5ZJo
Anonymous    (2023-08-21 19:23:22)
PANSS used too</t>
        </r>
      </text>
    </comment>
    <comment ref="K28" authorId="0" shapeId="0" xr:uid="{A9D27916-CB96-0E4D-A5CF-474EDEC58104}">
      <text>
        <r>
          <rPr>
            <sz val="11"/>
            <color theme="1"/>
            <rFont val="Calibri"/>
            <family val="2"/>
            <scheme val="minor"/>
          </rPr>
          <t>S.D. 9.2
======</t>
        </r>
      </text>
    </comment>
    <comment ref="AS28" authorId="0" shapeId="0" xr:uid="{395809A8-EACC-DB4C-BEDC-3C829835FFCB}">
      <text>
        <r>
          <rPr>
            <sz val="11"/>
            <color rgb="FF000000"/>
            <rFont val="Calibri"/>
            <family val="2"/>
          </rPr>
          <t xml:space="preserve">Median DUP in days, range 1-2340, 50.4% (n=57) had median DUP &gt;30 days
</t>
        </r>
        <r>
          <rPr>
            <sz val="11"/>
            <color rgb="FF000000"/>
            <rFont val="Calibri"/>
            <family val="2"/>
          </rPr>
          <t>======</t>
        </r>
      </text>
    </comment>
    <comment ref="AT28" authorId="0" shapeId="0" xr:uid="{6583A58E-212A-584F-93F7-395847910942}">
      <text>
        <r>
          <rPr>
            <sz val="11"/>
            <color theme="1"/>
            <rFont val="Calibri"/>
            <family val="2"/>
            <scheme val="minor"/>
          </rPr>
          <t>Median DUP in days, range 1-2340, 50.4% (n=57) had median DUP &gt;30 days
======</t>
        </r>
      </text>
    </comment>
    <comment ref="N29" authorId="0" shapeId="0" xr:uid="{FE17837B-0F59-4040-BCFF-B4C483D5B2B8}">
      <text>
        <r>
          <rPr>
            <sz val="11"/>
            <color theme="1"/>
            <rFont val="Calibri"/>
            <family val="2"/>
            <scheme val="minor"/>
          </rPr>
          <t>======
ID#AAAAyv48TK4
tc={276B014E-4AA8-4BF3-93D6-183ADFFEE16E}    (2023-06-08 12:33:25)
[Threaded comment]
Your version of Excel allows you to read this threaded comment; however, any edits to it will get removed if the file is opened in a newer version of Excel. Learn more: https://go.microsoft.com/fwlink/?linkid=870924
Comment:
    Indigineous South African Males</t>
        </r>
      </text>
    </comment>
    <comment ref="CX29" authorId="0" shapeId="0" xr:uid="{590771AD-DD85-D945-9561-B3FFA726B243}">
      <text>
        <r>
          <rPr>
            <sz val="11"/>
            <color theme="1"/>
            <rFont val="Calibri"/>
            <family val="2"/>
            <scheme val="minor"/>
          </rPr>
          <t>======
ID#AAAAyv48TMg
tc={3E901DCB-133A-44D6-BB18-43F9E152B29F}    (2023-06-08 12:33:25)
[Threaded comment]
Your version of Excel allows you to read this threaded comment; however, any edits to it will get removed if the file is opened in a newer version of Excel. Learn more: https://go.microsoft.com/fwlink/?linkid=870924
Comment:
    Not whole sample</t>
        </r>
      </text>
    </comment>
    <comment ref="DD29" authorId="0" shapeId="0" xr:uid="{10DF711B-BA50-3E4F-AEBD-4B14A298AD8D}">
      <text>
        <r>
          <rPr>
            <sz val="11"/>
            <color theme="1"/>
            <rFont val="Calibri"/>
            <family val="2"/>
            <scheme val="minor"/>
          </rPr>
          <t>======
ID#AAAAyv48TNo
tc={A7F4580A-C43B-4864-A332-5CBB4B2553CF}    (2023-06-08 12:33:25)
[Threaded comment]
Your version of Excel allows you to read this threaded comment; however, any edits to it will get removed if the file is opened in a newer version of Excel. Learn more: https://go.microsoft.com/fwlink/?linkid=870924
Comment:
    Whole sample</t>
        </r>
      </text>
    </comment>
    <comment ref="DF29" authorId="0" shapeId="0" xr:uid="{4C0FC37A-4BEF-ED42-BF0C-7FF6F6F18297}">
      <text>
        <r>
          <rPr>
            <sz val="11"/>
            <color theme="1"/>
            <rFont val="Calibri"/>
            <family val="2"/>
            <scheme val="minor"/>
          </rPr>
          <t>======
ID#AAAAyv48TSw
tc={BAB2E030-8D73-487F-BC50-BA6E305CED90}    (2023-06-08 12:33:25)
[Threaded comment]
Your version of Excel allows you to read this threaded comment; however, any edits to it will get removed if the file is opened in a newer version of Excel. Learn more: https://go.microsoft.com/fwlink/?linkid=870924
Comment:
    Whole sample</t>
        </r>
      </text>
    </comment>
    <comment ref="K30" authorId="0" shapeId="0" xr:uid="{1F7C5884-692A-D84A-997B-77F34534A438}">
      <text>
        <r>
          <rPr>
            <sz val="11"/>
            <color theme="1"/>
            <rFont val="Calibri"/>
            <family val="2"/>
            <scheme val="minor"/>
          </rPr>
          <t>======
ID#AAAAyv48TRw
R B    (2023-06-08 12:33:25)
Mixed into ANA positive/negative but not necessarily dx and mixed by site</t>
        </r>
      </text>
    </comment>
    <comment ref="CN30" authorId="0" shapeId="0" xr:uid="{5B77911A-3565-C045-8C0A-DBAC33D6B308}">
      <text>
        <r>
          <rPr>
            <sz val="11"/>
            <color theme="1"/>
            <rFont val="Calibri"/>
            <family val="2"/>
            <scheme val="minor"/>
          </rPr>
          <t>======
ID#AAAAyv48TSg
R B    (2023-06-08 12:33:25)
Non-causative findings</t>
        </r>
      </text>
    </comment>
    <comment ref="CR30" authorId="0" shapeId="0" xr:uid="{E01BE4F2-54F4-FC4B-915A-E633BEA30443}">
      <text>
        <r>
          <rPr>
            <sz val="11"/>
            <color theme="1"/>
            <rFont val="Calibri"/>
            <family val="2"/>
            <scheme val="minor"/>
          </rPr>
          <t>======
ID#AAAAyv48TKk
tc={83015A8D-455B-43B7-8CCD-D276CA024D81}    (2023-06-08 12:33:25)
[Threaded comment]
Your version of Excel allows you to read this threaded comment; however, any edits to it will get removed if the file is opened in a newer version of Excel. Learn more: https://go.microsoft.com/fwlink/?linkid=870924
Comment:
    Not whole sample</t>
        </r>
      </text>
    </comment>
    <comment ref="CT30" authorId="0" shapeId="0" xr:uid="{9284FFE7-1C7D-DE41-B875-F2435726D4E8}">
      <text>
        <r>
          <rPr>
            <sz val="11"/>
            <color theme="1"/>
            <rFont val="Calibri"/>
            <family val="2"/>
            <scheme val="minor"/>
          </rPr>
          <t>======
ID#AAAAyv48TRY
tc={D9CCFBE1-4435-4E74-9290-20821BDBB893}    (2023-06-08 12:33:25)
[Threaded comment]
Your version of Excel allows you to read this threaded comment; however, any edits to it will get removed if the file is opened in a newer version of Excel. Learn more: https://go.microsoft.com/fwlink/?linkid=870924
Comment:
    Not whole sample</t>
        </r>
      </text>
    </comment>
    <comment ref="DB30" authorId="0" shapeId="0" xr:uid="{3F4FF648-04A2-5C43-9E36-6DF40427F400}">
      <text>
        <r>
          <rPr>
            <sz val="11"/>
            <color theme="1"/>
            <rFont val="Calibri"/>
            <family val="2"/>
            <scheme val="minor"/>
          </rPr>
          <t>======
ID#AAAAyv48TLo
tc={869ED69F-07A6-419D-AB55-A10355626F71}    (2023-06-08 12:33:25)
[Threaded comment]
Your version of Excel allows you to read this threaded comment; however, any edits to it will get removed if the file is opened in a newer version of Excel. Learn more: https://go.microsoft.com/fwlink/?linkid=870924
Comment:
    Whole sample</t>
        </r>
      </text>
    </comment>
    <comment ref="DF30" authorId="0" shapeId="0" xr:uid="{12C27CA8-5350-3B4A-8673-CECC782E737B}">
      <text>
        <r>
          <rPr>
            <sz val="11"/>
            <color theme="1"/>
            <rFont val="Calibri"/>
            <family val="2"/>
            <scheme val="minor"/>
          </rPr>
          <t>======
ID#AAAAyv48TPo
tc={1D2682C5-A9CE-430E-831A-9A2F01781E90}    (2023-06-08 12:33:25)
[Threaded comment]
Your version of Excel allows you to read this threaded comment; however, any edits to it will get removed if the file is opened in a newer version of Excel. Learn more: https://go.microsoft.com/fwlink/?linkid=870924
Comment:
    Whole sample</t>
        </r>
      </text>
    </comment>
    <comment ref="K31" authorId="0" shapeId="0" xr:uid="{96C162F5-B4B1-B74B-9A33-BA7B1732C6C1}">
      <text>
        <r>
          <rPr>
            <sz val="11"/>
            <color theme="1"/>
            <rFont val="Calibri"/>
            <family val="2"/>
            <scheme val="minor"/>
          </rPr>
          <t>SD 11
======</t>
        </r>
      </text>
    </comment>
    <comment ref="CY31" authorId="0" shapeId="0" xr:uid="{86AA13F5-32D2-884E-B392-594EB79056A5}">
      <text>
        <r>
          <rPr>
            <sz val="11"/>
            <color theme="1"/>
            <rFont val="Calibri"/>
            <family val="2"/>
            <scheme val="minor"/>
          </rPr>
          <t>LP for those who had plasma antibodies confirmed
======</t>
        </r>
      </text>
    </comment>
    <comment ref="CO32" authorId="0" shapeId="0" xr:uid="{CA3D72E7-9F67-FF4C-88FD-9A6D1C5765D8}">
      <text>
        <r>
          <rPr>
            <sz val="11"/>
            <color theme="1"/>
            <rFont val="Calibri"/>
            <family val="2"/>
            <scheme val="minor"/>
          </rPr>
          <t>"Attributed to sleep or fever"
======</t>
        </r>
      </text>
    </comment>
    <comment ref="J33" authorId="0" shapeId="0" xr:uid="{72B47E73-184A-7840-B875-489FD0AB1142}">
      <text>
        <r>
          <rPr>
            <sz val="11"/>
            <color theme="1"/>
            <rFont val="Calibri"/>
            <family val="2"/>
            <scheme val="minor"/>
          </rPr>
          <t>======
ID#AAAAyv48TLQ
tc={0D112388-C62C-4AD2-B017-340623FC894C}    (2023-06-08 12:33:25)
[Threaded comment]
Your version of Excel allows you to read this threaded comment; however, any edits to it will get removed if the file is opened in a newer version of Excel. Learn more: https://go.microsoft.com/fwlink/?linkid=870924
Comment:
    Combined</t>
        </r>
      </text>
    </comment>
    <comment ref="S33" authorId="0" shapeId="0" xr:uid="{171C7EA8-4042-D54A-A075-57EA4DABBE57}">
      <text>
        <r>
          <rPr>
            <sz val="11"/>
            <color theme="1"/>
            <rFont val="Calibri"/>
            <family val="2"/>
            <scheme val="minor"/>
          </rPr>
          <t>======
ID#AAAAyv48TL8
R B    (2023-06-08 12:33:25)
Mixed 39/7 Other</t>
        </r>
      </text>
    </comment>
    <comment ref="T33" authorId="0" shapeId="0" xr:uid="{42414249-7B99-EC43-B89C-06C5D2B82FFE}">
      <text>
        <r>
          <rPr>
            <sz val="11"/>
            <color theme="1"/>
            <rFont val="Calibri"/>
            <family val="2"/>
            <scheme val="minor"/>
          </rPr>
          <t>======
ID#AAAAyv48TQI
tc={CB980C96-6C7F-45CD-B7C5-C142CEF46089}    (2023-06-08 12:33:25)
[Threaded comment]
Your version of Excel allows you to read this threaded comment; however, any edits to it will get removed if the file is opened in a newer version of Excel. Learn more: https://go.microsoft.com/fwlink/?linkid=870924
Comment:
    39 Mixed, 7 Other</t>
        </r>
      </text>
    </comment>
    <comment ref="AS33" authorId="0" shapeId="0" xr:uid="{567DBE96-62AD-604B-B496-6247608A51C4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ID#AAAA0EiR2sA
</t>
        </r>
        <r>
          <rPr>
            <sz val="11"/>
            <color rgb="FF000000"/>
            <rFont val="Calibri"/>
            <family val="2"/>
          </rPr>
          <t xml:space="preserve">Rr Bb    (2023-07-11 00:11:59)
</t>
        </r>
        <r>
          <rPr>
            <sz val="11"/>
            <color rgb="FF000000"/>
            <rFont val="Calibri"/>
            <family val="2"/>
          </rPr>
          <t>SD 651.2, no units given</t>
        </r>
      </text>
    </comment>
    <comment ref="AU33" authorId="0" shapeId="0" xr:uid="{703588E8-8436-F743-A59D-F558A6103D65}">
      <text>
        <r>
          <rPr>
            <sz val="11"/>
            <color theme="1"/>
            <rFont val="Calibri"/>
            <family val="2"/>
            <scheme val="minor"/>
          </rPr>
          <t>======
ID#AAAA0EiR2sE
Rr Bb    (2023-07-11 00:12:13)
SD 670.5, no units given</t>
        </r>
      </text>
    </comment>
    <comment ref="DF33" authorId="0" shapeId="0" xr:uid="{75EABF76-78DD-704D-B948-E87BF69DBEC8}">
      <text>
        <r>
          <rPr>
            <sz val="11"/>
            <color theme="1"/>
            <rFont val="Calibri"/>
            <family val="2"/>
            <scheme val="minor"/>
          </rPr>
          <t>======
ID#AAAAyv48TQQ
tc={DE4A9093-B297-4E5A-8519-2310AEA9B234}    (2023-06-08 12:33:25)
[Threaded comment]
Your version of Excel allows you to read this threaded comment; however, any edits to it will get removed if the file is opened in a newer version of Excel. Learn more: https://go.microsoft.com/fwlink/?linkid=870924
Comment:
    Whole sample</t>
        </r>
      </text>
    </comment>
    <comment ref="DG33" authorId="0" shapeId="0" xr:uid="{A4B7A885-F99C-2D42-A09E-B4EACEE0320F}">
      <text>
        <r>
          <rPr>
            <sz val="11"/>
            <color theme="1"/>
            <rFont val="Calibri"/>
            <family val="2"/>
            <scheme val="minor"/>
          </rPr>
          <t>======
ID#AAAAyv48TP8
R B    (2023-06-08 12:33:25)
PANSS</t>
        </r>
      </text>
    </comment>
    <comment ref="DH33" authorId="0" shapeId="0" xr:uid="{4EF43C70-78FB-3944-B613-EE4CA0708BB3}">
      <text>
        <r>
          <rPr>
            <sz val="11"/>
            <color theme="1"/>
            <rFont val="Calibri"/>
            <family val="2"/>
            <scheme val="minor"/>
          </rPr>
          <t>======
ID#AAAAyv48TNc
tc={AFA9B2AD-ECA6-4AC4-9D9C-A5943324F482}    (2023-06-08 12:33:25)
[Threaded comment]
Your version of Excel allows you to read this threaded comment; however, any edits to it will get removed if the file is opened in a newer version of Excel. Learn more: https://go.microsoft.com/fwlink/?linkid=870924
Comment:
    PANSS</t>
        </r>
      </text>
    </comment>
    <comment ref="DU33" authorId="0" shapeId="0" xr:uid="{E8167C51-470E-5246-91F5-A8107376FC68}">
      <text>
        <r>
          <rPr>
            <sz val="11"/>
            <color theme="1"/>
            <rFont val="Calibri"/>
            <family val="2"/>
            <scheme val="minor"/>
          </rPr>
          <t>======
ID#AAAAyv48TKg
R B    (2023-06-08 12:33:25)
Using ICD</t>
        </r>
      </text>
    </comment>
    <comment ref="O34" authorId="0" shapeId="0" xr:uid="{E188708F-B63B-5C43-9582-E089EEDDDDA9}">
      <text>
        <r>
          <rPr>
            <sz val="11"/>
            <color theme="1"/>
            <rFont val="Calibri"/>
            <family val="2"/>
            <scheme val="minor"/>
          </rPr>
          <t>======
ID#AAAAyv48TLU
R B    (2023-06-08 12:33:25)
116 New Zealand European/16 European</t>
        </r>
      </text>
    </comment>
    <comment ref="P34" authorId="0" shapeId="0" xr:uid="{533AED8F-4905-AC4C-AF4E-9C253DE23509}">
      <text>
        <r>
          <rPr>
            <sz val="11"/>
            <color theme="1"/>
            <rFont val="Calibri"/>
            <family val="2"/>
            <scheme val="minor"/>
          </rPr>
          <t>======
ID#AAAAyv48TLM
tc={2B871F34-F9CA-49EE-AA3F-467B42461DC8}    (2023-06-08 12:33:25)
[Threaded comment]
Your version of Excel allows you to read this threaded comment; however, any edits to it will get removed if the file is opened in a newer version of Excel. Learn more: https://go.microsoft.com/fwlink/?linkid=870924
Comment:
    116 New Zealand European, 16 European</t>
        </r>
      </text>
    </comment>
    <comment ref="S34" authorId="0" shapeId="0" xr:uid="{5F4DDDD2-0AF6-AE4C-ACBD-BEF3D620A762}">
      <text>
        <r>
          <rPr>
            <sz val="11"/>
            <color theme="1"/>
            <rFont val="Calibri"/>
            <family val="2"/>
            <scheme val="minor"/>
          </rPr>
          <t>======
ID#AAAAyv48TKw
R B    (2023-06-08 12:33:25)
29 Maori, 9 Pacific Islander, 2 Other</t>
        </r>
      </text>
    </comment>
    <comment ref="T34" authorId="0" shapeId="0" xr:uid="{BB5A0FAE-DDF4-0D46-AB3A-AF0F55E1EB62}">
      <text>
        <r>
          <rPr>
            <sz val="11"/>
            <color theme="1"/>
            <rFont val="Calibri"/>
            <family val="2"/>
            <scheme val="minor"/>
          </rPr>
          <t>======
ID#AAAAyv48TRA
tc={802A083F-B28D-4FC6-9393-98FDEC2B2CD2}    (2023-06-08 12:33:25)
[Threaded comment]
Your version of Excel allows you to read this threaded comment; however, any edits to it will get removed if the file is opened in a newer version of Excel. Learn more: https://go.microsoft.com/fwlink/?linkid=870924
Comment:
    29 Maori, 9 Pacific Islander, 2 other</t>
        </r>
      </text>
    </comment>
    <comment ref="AA34" authorId="0" shapeId="0" xr:uid="{B647AB67-7F42-6742-99D1-1335A6063BD1}">
      <text>
        <r>
          <rPr>
            <sz val="11"/>
            <color theme="1"/>
            <rFont val="Calibri"/>
            <family val="2"/>
            <scheme val="minor"/>
          </rPr>
          <t>======
ID#AAAAyv48TPE
R B    (2023-06-08 12:33:25)
18 missing</t>
        </r>
      </text>
    </comment>
    <comment ref="AS34" authorId="0" shapeId="0" xr:uid="{25230BF8-BDA4-2E4E-B419-145ACD7D899E}">
      <text>
        <r>
          <rPr>
            <sz val="11"/>
            <color theme="1"/>
            <rFont val="Calibri"/>
            <family val="2"/>
            <scheme val="minor"/>
          </rPr>
          <t>======
ID#AAAA0EiR2sM
Rr Bb    (2023-07-11 00:12:49)
Mean days, SD 486; also reports duration of untreated illness (464 [875])</t>
        </r>
      </text>
    </comment>
    <comment ref="AW34" authorId="0" shapeId="0" xr:uid="{B9A7A83D-2B8B-5544-939E-A7F9F8F7263B}">
      <text>
        <r>
          <rPr>
            <sz val="11"/>
            <color theme="1"/>
            <rFont val="Calibri"/>
            <family val="2"/>
            <scheme val="minor"/>
          </rPr>
          <t>======
ID#AAAA0EiR2sI
Rr Bb    (2023-07-11 00:12:30)
SD 243.5, no units given</t>
        </r>
      </text>
    </comment>
    <comment ref="DF34" authorId="0" shapeId="0" xr:uid="{F2A4FB2E-26C4-B245-A7D0-1BD44B259812}">
      <text>
        <r>
          <rPr>
            <sz val="11"/>
            <color theme="1"/>
            <rFont val="Calibri"/>
            <family val="2"/>
            <scheme val="minor"/>
          </rPr>
          <t>======
ID#AAAAyv48TOU
tc={C9D68830-E604-4565-80B8-8BCA21803461}    (2023-06-08 12:33:25)
[Threaded comment]
Your version of Excel allows you to read this threaded comment; however, any edits to it will get removed if the file is opened in a newer version of Excel. Learn more: https://go.microsoft.com/fwlink/?linkid=870924
Comment:
    Whole sample</t>
        </r>
      </text>
    </comment>
    <comment ref="DG34" authorId="0" shapeId="0" xr:uid="{1ECE6365-8EAD-8F4F-A117-37801CEA2C63}">
      <text>
        <r>
          <rPr>
            <sz val="11"/>
            <color theme="1"/>
            <rFont val="Calibri"/>
            <family val="2"/>
            <scheme val="minor"/>
          </rPr>
          <t>======
ID#AAAAyv48TMU
R B    (2023-06-08 12:33:25)
PANSS</t>
        </r>
      </text>
    </comment>
    <comment ref="DH34" authorId="0" shapeId="0" xr:uid="{197D9B04-0F01-4644-86F3-B0275AB1F71F}">
      <text>
        <r>
          <rPr>
            <sz val="11"/>
            <color theme="1"/>
            <rFont val="Calibri"/>
            <family val="2"/>
            <scheme val="minor"/>
          </rPr>
          <t>======
ID#AAAAyv48TPc
tc={7A988206-C430-49E0-BA1D-397D4A19BB53}    (2023-06-08 12:33:25)
[Threaded comment]
Your version of Excel allows you to read this threaded comment; however, any edits to it will get removed if the file is opened in a newer version of Excel. Learn more: https://go.microsoft.com/fwlink/?linkid=870924
Comment:
    PANSS</t>
        </r>
      </text>
    </comment>
    <comment ref="DU34" authorId="0" shapeId="0" xr:uid="{56E2855C-3DCB-FA4F-A227-30CF40704F6B}">
      <text>
        <r>
          <rPr>
            <sz val="11"/>
            <color theme="1"/>
            <rFont val="Calibri"/>
            <family val="2"/>
            <scheme val="minor"/>
          </rPr>
          <t>======
ID#AAAAyv48TMQ
R B    (2023-06-08 12:33:25)
Using DSM</t>
        </r>
      </text>
    </comment>
    <comment ref="O36" authorId="0" shapeId="0" xr:uid="{F19D04B9-2BF6-3640-9580-C9DCEFCE79E0}">
      <text>
        <r>
          <rPr>
            <sz val="11"/>
            <color theme="1"/>
            <rFont val="Calibri"/>
            <family val="2"/>
            <scheme val="minor"/>
          </rPr>
          <t>======
ID#AAAAyv48TM4
R B    (2023-06-08 12:33:25)
116 New Zealand European/16 European</t>
        </r>
      </text>
    </comment>
    <comment ref="P36" authorId="0" shapeId="0" xr:uid="{433BBA91-86E5-004F-A897-5AA9FEA46868}">
      <text>
        <r>
          <rPr>
            <sz val="11"/>
            <color theme="1"/>
            <rFont val="Calibri"/>
            <family val="2"/>
            <scheme val="minor"/>
          </rPr>
          <t>======
ID#AAAAyv48TRQ
tc={13053A05-5B6C-4ED5-971D-63A12A777359}    (2023-06-08 12:33:25)
[Threaded comment]
Your version of Excel allows you to read this threaded comment; however, any edits to it will get removed if the file is opened in a newer version of Excel. Learn more: https://go.microsoft.com/fwlink/?linkid=870924
Comment:
    116 New Zealand European, 16 European</t>
        </r>
      </text>
    </comment>
    <comment ref="S36" authorId="0" shapeId="0" xr:uid="{5AF9419F-4834-FD4D-BE82-148CF0B5E8A1}">
      <text>
        <r>
          <rPr>
            <sz val="11"/>
            <color theme="1"/>
            <rFont val="Calibri"/>
            <family val="2"/>
            <scheme val="minor"/>
          </rPr>
          <t>======
ID#AAAAyv48TQw
R B    (2023-06-08 12:33:25)
29 Maori, 9 Pacific Islander, 2 Other</t>
        </r>
      </text>
    </comment>
    <comment ref="T36" authorId="0" shapeId="0" xr:uid="{DDEB8D16-DFB6-014D-ACCA-6132976DA1D6}">
      <text>
        <r>
          <rPr>
            <sz val="11"/>
            <color theme="1"/>
            <rFont val="Calibri"/>
            <family val="2"/>
            <scheme val="minor"/>
          </rPr>
          <t>======
ID#AAAAyv48TQ4
tc={FDA99B6E-2B87-4A37-84BB-36FD87ADE415}    (2023-06-08 12:33:25)
[Threaded comment]
Your version of Excel allows you to read this threaded comment; however, any edits to it will get removed if the file is opened in a newer version of Excel. Learn more: https://go.microsoft.com/fwlink/?linkid=870924
Comment:
    29 Maori, 9 Pacific Islander, 2 other</t>
        </r>
      </text>
    </comment>
    <comment ref="AA36" authorId="0" shapeId="0" xr:uid="{05AC1011-E61F-A84B-ADFE-3244510E9966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ID#AAAAyv48TM8
</t>
        </r>
        <r>
          <rPr>
            <sz val="11"/>
            <color rgb="FF000000"/>
            <rFont val="Calibri"/>
            <family val="2"/>
          </rPr>
          <t xml:space="preserve">R B    (2023-06-08 12:33:25)
</t>
        </r>
        <r>
          <rPr>
            <sz val="11"/>
            <color rgb="FF000000"/>
            <rFont val="Calibri"/>
            <family val="2"/>
          </rPr>
          <t>18 missing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Ck4tPZI2n9E3lC7Rk5KQYgBtdKw=="/>
    </ext>
  </extLst>
</comments>
</file>

<file path=xl/sharedStrings.xml><?xml version="1.0" encoding="utf-8"?>
<sst xmlns="http://schemas.openxmlformats.org/spreadsheetml/2006/main" count="3586" uniqueCount="346">
  <si>
    <t>First Author</t>
  </si>
  <si>
    <t>Date</t>
  </si>
  <si>
    <t>Gender (Male)</t>
  </si>
  <si>
    <t>Gender (Female)</t>
  </si>
  <si>
    <t>Mean Age (Primary)</t>
  </si>
  <si>
    <t>Mean Age (Secondary)</t>
  </si>
  <si>
    <t>Mean Age (Total)</t>
  </si>
  <si>
    <t>Ethnicity (Black)</t>
  </si>
  <si>
    <t>Ethnicity (White)</t>
  </si>
  <si>
    <t>Ethnicity (Asian)</t>
  </si>
  <si>
    <t>Ethnicity (Other)</t>
  </si>
  <si>
    <t>Accident and Emergency / Urgent Care</t>
  </si>
  <si>
    <t>Inpatient Psychiatric Service</t>
  </si>
  <si>
    <t>Outpatient Psychiatric Service</t>
  </si>
  <si>
    <t>GP /non-Urgent Physical Care</t>
  </si>
  <si>
    <t>setting</t>
  </si>
  <si>
    <t>Country</t>
  </si>
  <si>
    <t>Continant</t>
  </si>
  <si>
    <t>Retrospective</t>
  </si>
  <si>
    <t>Prospective</t>
  </si>
  <si>
    <t xml:space="preserve">FEP Only </t>
  </si>
  <si>
    <t>First Episode Cohort</t>
  </si>
  <si>
    <t>Chronic Psychosis Cohort</t>
  </si>
  <si>
    <t>Mixed Cohort</t>
  </si>
  <si>
    <t>Total Sample Size</t>
  </si>
  <si>
    <t>Total Secondary Causes</t>
  </si>
  <si>
    <t>Was the study looking at multiple causes?</t>
  </si>
  <si>
    <t>Endogenous</t>
  </si>
  <si>
    <t>Exogenous</t>
  </si>
  <si>
    <t>Autoimmune Disorders</t>
  </si>
  <si>
    <t>Cytogenic / Congenital</t>
  </si>
  <si>
    <t>Toxic / Substance-Induced</t>
  </si>
  <si>
    <t>Iatrogenic</t>
  </si>
  <si>
    <t>Cerebrovascular</t>
  </si>
  <si>
    <t>Space-Occupying</t>
  </si>
  <si>
    <t>Metabolic</t>
  </si>
  <si>
    <t>Dietary</t>
  </si>
  <si>
    <t>Sepsis / Infectious</t>
  </si>
  <si>
    <t>Degenerative</t>
  </si>
  <si>
    <t>Demyelinating</t>
  </si>
  <si>
    <t>Seizure</t>
  </si>
  <si>
    <t>Sleep Disorders</t>
  </si>
  <si>
    <t>Head Injury</t>
  </si>
  <si>
    <t>Endocrine</t>
  </si>
  <si>
    <t>Other</t>
  </si>
  <si>
    <t>Unknown</t>
  </si>
  <si>
    <t>MRI (freq)</t>
  </si>
  <si>
    <t>CT (freq)</t>
  </si>
  <si>
    <t>SPECT/PET (freq)</t>
  </si>
  <si>
    <t>EEG (freq)</t>
  </si>
  <si>
    <t>CSF (freq)</t>
  </si>
  <si>
    <t>Blood (freq)</t>
  </si>
  <si>
    <t>Urine (freq)</t>
  </si>
  <si>
    <t>Psychiatric Assessment (freq)</t>
  </si>
  <si>
    <t>Psychiatric Assessment Standardised Tool (y/n)</t>
  </si>
  <si>
    <t>Physical Exam (including neurological, vital signs) (freq)</t>
  </si>
  <si>
    <t>Cognitive Assessment (freq)</t>
  </si>
  <si>
    <t>Cognitive Assessment-standardised tool</t>
  </si>
  <si>
    <t>Other (add detail)</t>
  </si>
  <si>
    <t>NS</t>
  </si>
  <si>
    <t>Diagnosis</t>
  </si>
  <si>
    <t>Diagnostic Tool</t>
  </si>
  <si>
    <t>Classification System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</si>
  <si>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</si>
  <si>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</si>
  <si>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</si>
  <si>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</si>
  <si>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</si>
  <si>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</si>
  <si>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</si>
  <si>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</si>
  <si>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</si>
  <si>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</si>
  <si>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Overall Score</t>
  </si>
  <si>
    <t>Geographic Location</t>
  </si>
  <si>
    <t>Sleep Disorder</t>
  </si>
  <si>
    <t>Comments - endogenous causesnot reported at most granual level</t>
  </si>
  <si>
    <t>includes endogenous NOS as "other"/"unknown"</t>
  </si>
  <si>
    <t>Rater 1</t>
  </si>
  <si>
    <t>Rater 2</t>
  </si>
  <si>
    <t xml:space="preserve">Rater 2 </t>
  </si>
  <si>
    <t>Caton</t>
  </si>
  <si>
    <t>A_and_E</t>
  </si>
  <si>
    <t>USA</t>
  </si>
  <si>
    <t>n_am</t>
  </si>
  <si>
    <t>no</t>
  </si>
  <si>
    <t>yes</t>
  </si>
  <si>
    <t>NA</t>
  </si>
  <si>
    <t>all</t>
  </si>
  <si>
    <t>PRISM</t>
  </si>
  <si>
    <t>DSM-IV</t>
  </si>
  <si>
    <t>Correa-Oliveira</t>
  </si>
  <si>
    <t>outpat_psych</t>
  </si>
  <si>
    <t>Brazil</t>
  </si>
  <si>
    <t>s_am</t>
  </si>
  <si>
    <t>multiple</t>
  </si>
  <si>
    <t>SCID</t>
  </si>
  <si>
    <t>DSM-5</t>
  </si>
  <si>
    <t>Drake</t>
  </si>
  <si>
    <t>single</t>
  </si>
  <si>
    <t>Endres</t>
  </si>
  <si>
    <t>inpat_psych</t>
  </si>
  <si>
    <t>Germany</t>
  </si>
  <si>
    <t>euro</t>
  </si>
  <si>
    <t>ICD-10</t>
  </si>
  <si>
    <t>Etlouba</t>
  </si>
  <si>
    <t>South Africa</t>
  </si>
  <si>
    <t>afri</t>
  </si>
  <si>
    <t>yes - NS</t>
  </si>
  <si>
    <t>X-ray (yes-NS)</t>
  </si>
  <si>
    <t>Fraser</t>
  </si>
  <si>
    <t xml:space="preserve">NS </t>
  </si>
  <si>
    <t>Australia</t>
  </si>
  <si>
    <t>aus</t>
  </si>
  <si>
    <t>Funayama</t>
  </si>
  <si>
    <t>Japan</t>
  </si>
  <si>
    <t>asia</t>
  </si>
  <si>
    <t>Giannitelli</t>
  </si>
  <si>
    <t>France</t>
  </si>
  <si>
    <t>Guasp</t>
  </si>
  <si>
    <t>Spain</t>
  </si>
  <si>
    <t>some</t>
  </si>
  <si>
    <t>Psychotics disorder</t>
  </si>
  <si>
    <t>SCID and PANSS</t>
  </si>
  <si>
    <t>Harris</t>
  </si>
  <si>
    <t>Johnstone</t>
  </si>
  <si>
    <t>UK</t>
  </si>
  <si>
    <t>X-ray (Unspecified freq)</t>
  </si>
  <si>
    <t xml:space="preserve">Kanbayashi </t>
  </si>
  <si>
    <t>Kelleher</t>
  </si>
  <si>
    <t>33 FEP, 45 TRS Cohort</t>
  </si>
  <si>
    <t>mixture</t>
  </si>
  <si>
    <t>Marques</t>
  </si>
  <si>
    <t>Portugal</t>
  </si>
  <si>
    <t>ICD-9</t>
  </si>
  <si>
    <t>Mauri</t>
  </si>
  <si>
    <t>Italy</t>
  </si>
  <si>
    <t>BPRS</t>
  </si>
  <si>
    <t>Misselbrook</t>
  </si>
  <si>
    <t>2017 </t>
  </si>
  <si>
    <t>Muhrer</t>
  </si>
  <si>
    <t>ns</t>
  </si>
  <si>
    <t>1CD-10</t>
  </si>
  <si>
    <t>Nkire</t>
  </si>
  <si>
    <t>Ireland</t>
  </si>
  <si>
    <t>Okewole</t>
  </si>
  <si>
    <t>Nigeria</t>
  </si>
  <si>
    <t>ICD-10 and DSM-IV</t>
  </si>
  <si>
    <t>Perala</t>
  </si>
  <si>
    <t>Finland</t>
  </si>
  <si>
    <t>Rattay</t>
  </si>
  <si>
    <t>Mixed</t>
  </si>
  <si>
    <t>Reay</t>
  </si>
  <si>
    <t>Solomons</t>
  </si>
  <si>
    <t>DSM-III</t>
  </si>
  <si>
    <t>Spies</t>
  </si>
  <si>
    <t>Sullivan</t>
  </si>
  <si>
    <t>Thompson</t>
  </si>
  <si>
    <t xml:space="preserve"> Clinical Assessmnet </t>
  </si>
  <si>
    <t>Turner</t>
  </si>
  <si>
    <t>New Zealand</t>
  </si>
  <si>
    <t>Yaxley</t>
  </si>
  <si>
    <t>Some</t>
  </si>
  <si>
    <t>variable name</t>
  </si>
  <si>
    <t>variable descrition</t>
  </si>
  <si>
    <t>coding</t>
  </si>
  <si>
    <t>author_year</t>
  </si>
  <si>
    <t>first author and year</t>
  </si>
  <si>
    <t>character</t>
  </si>
  <si>
    <t>author</t>
  </si>
  <si>
    <t>year</t>
  </si>
  <si>
    <t>year of publication</t>
  </si>
  <si>
    <t>numeric</t>
  </si>
  <si>
    <t>gender_male_freq</t>
  </si>
  <si>
    <t>number of males</t>
  </si>
  <si>
    <t>gender_female_freq</t>
  </si>
  <si>
    <t>number of females</t>
  </si>
  <si>
    <t>mean_age_pri</t>
  </si>
  <si>
    <t>mean age: primary psychosis subsample</t>
  </si>
  <si>
    <t>mean_age_sec</t>
  </si>
  <si>
    <t>mean age:  secondary psychosis subsample</t>
  </si>
  <si>
    <t>mean_age</t>
  </si>
  <si>
    <t>mean age of entire sample (if reported)</t>
  </si>
  <si>
    <t>eth_black</t>
  </si>
  <si>
    <t>number of patients of black ethnicity</t>
  </si>
  <si>
    <t>eth_white</t>
  </si>
  <si>
    <t>number of patients of white ethnicity</t>
  </si>
  <si>
    <t>eth_asian</t>
  </si>
  <si>
    <t>number of patients of asian ethnicity</t>
  </si>
  <si>
    <t>eth_other</t>
  </si>
  <si>
    <t>number of patients of other ethnicity</t>
  </si>
  <si>
    <t>number of patients: Accident and Emergency / Urgent Care</t>
  </si>
  <si>
    <t>number of patients: Inpatient Psychiatric Service</t>
  </si>
  <si>
    <t>number of patients: outpatient patient Psychiatric Service</t>
  </si>
  <si>
    <t>GP</t>
  </si>
  <si>
    <t>number of patients: GP / Non-Urgent Physical Care</t>
  </si>
  <si>
    <t>country</t>
  </si>
  <si>
    <t>Geographic Location by country (eg USA)</t>
  </si>
  <si>
    <t>catergorical</t>
  </si>
  <si>
    <t>design</t>
  </si>
  <si>
    <t>cohort</t>
  </si>
  <si>
    <t>First Episode Cohort (FEP), chronic (chr) or mixed (mixed)</t>
  </si>
  <si>
    <t>tot_sample</t>
  </si>
  <si>
    <t>total included sample in analysis (primary and secondary)</t>
  </si>
  <si>
    <t>tot_sec_psych</t>
  </si>
  <si>
    <t>total subsample of patients with secondary psychosis</t>
  </si>
  <si>
    <t>multiple_sec_psych_types</t>
  </si>
  <si>
    <t>were more than type of secondary psychosis included?</t>
  </si>
  <si>
    <t>binary</t>
  </si>
  <si>
    <t>Endo_freq</t>
  </si>
  <si>
    <t>number of patients with secondary psychosis:endogenous (ie medical)</t>
  </si>
  <si>
    <t>Exo_freq</t>
  </si>
  <si>
    <t>number of patients with secondary psychosis:exogenous (ie substance, medication, iatrogenic)</t>
  </si>
  <si>
    <t>auto_freq</t>
  </si>
  <si>
    <t>number of patients with secondary psychosis: autoimmune disorder (e.g. autoimmune encephalitis)</t>
  </si>
  <si>
    <t>congen_freq</t>
  </si>
  <si>
    <t>number of patients with secondary psychosis: Cytogenic / Congenital (e.g. genetic disorder)</t>
  </si>
  <si>
    <t>toxic_freq</t>
  </si>
  <si>
    <t>number of patients with secondary psychosis:Toxic / Substance-Induced (e.g. cannabis)</t>
  </si>
  <si>
    <t>iatrogenic__freq</t>
  </si>
  <si>
    <t>number of patients with secondary psychosis:Iatrogenic (e.g. medication induced)</t>
  </si>
  <si>
    <t>cerebrovas_freq</t>
  </si>
  <si>
    <t>number of patients with secondary psychosis: Cerebrovascular (eg stroke)</t>
  </si>
  <si>
    <t>space_oc_freq</t>
  </si>
  <si>
    <t>number of patients with secondary psychosis: Space-Occupying eg stroke</t>
  </si>
  <si>
    <t>metabolic_freq</t>
  </si>
  <si>
    <t>number of patients with secondary psychosis:Metabolic (eg thyroid disease)</t>
  </si>
  <si>
    <t>dietary_freq</t>
  </si>
  <si>
    <t>number of patients with secondary psychosis:Dietary (eg thiamine deficiency)</t>
  </si>
  <si>
    <t>infec_freq</t>
  </si>
  <si>
    <t>number of patients with secondary psychosis:  Infectious (eg sepsis)</t>
  </si>
  <si>
    <t>degen_freq</t>
  </si>
  <si>
    <t>number of patients with secondary psychosis: Degenerative (eg Alzheimer's)</t>
  </si>
  <si>
    <t>demye_freq</t>
  </si>
  <si>
    <t>number of patients with secondary psychosis: Demyelinating (e.g. multiple sclerosis)</t>
  </si>
  <si>
    <t>seizure_freq</t>
  </si>
  <si>
    <t>number of patients with secondary psychosis: Seizure (eg epilepsy)</t>
  </si>
  <si>
    <t>endocrine_freq</t>
  </si>
  <si>
    <t>number of patients with secondary psychosis: Endocrine (eg thyoid disease)</t>
  </si>
  <si>
    <t>other_sub_freq</t>
  </si>
  <si>
    <t>number of patients with secondary psychosis: other (does not fall into above specified categories)</t>
  </si>
  <si>
    <t>unknown_sub_freq</t>
  </si>
  <si>
    <t>number of patients with secondary psychosis: not specified (unable to classify)</t>
  </si>
  <si>
    <t>mri</t>
  </si>
  <si>
    <t>Patients underwent MRI: all/some/none</t>
  </si>
  <si>
    <t>ct</t>
  </si>
  <si>
    <t>Patients underwent CT: all/some/none</t>
  </si>
  <si>
    <t>nuclear</t>
  </si>
  <si>
    <t>Patients underwentSPECT/PET: all/some/none</t>
  </si>
  <si>
    <t>eeg</t>
  </si>
  <si>
    <t>Patients underwent EEG: all/some/none</t>
  </si>
  <si>
    <t>csf</t>
  </si>
  <si>
    <t>Patients underwent LP (CSF analysi): all/some/none</t>
  </si>
  <si>
    <t>blood</t>
  </si>
  <si>
    <t>Patients underwent venepunction (blood analysis): all/some/none</t>
  </si>
  <si>
    <t>urine</t>
  </si>
  <si>
    <t>Patients underwent urine dip (unrine analysis): all/some/none</t>
  </si>
  <si>
    <t>psych_assess</t>
  </si>
  <si>
    <t>psych_assess_stan_tool</t>
  </si>
  <si>
    <t>physical_exam</t>
  </si>
  <si>
    <t>cog_assess</t>
  </si>
  <si>
    <t>cog_assess_stan_tool</t>
  </si>
  <si>
    <t>other_assess_freq</t>
  </si>
  <si>
    <t>not_spec_assess_freq</t>
  </si>
  <si>
    <t>rob_1</t>
  </si>
  <si>
    <t>1=feature present (higher quality), 0=feature absent (lower quality)</t>
  </si>
  <si>
    <t>rob_2</t>
  </si>
  <si>
    <t>rob_3</t>
  </si>
  <si>
    <t>rob_4</t>
  </si>
  <si>
    <t>rob_5</t>
  </si>
  <si>
    <t>rob_6</t>
  </si>
  <si>
    <t>rob_7</t>
  </si>
  <si>
    <t>rob_8</t>
  </si>
  <si>
    <t>rob_9</t>
  </si>
  <si>
    <t>rob_10</t>
  </si>
  <si>
    <t>tot_rob_score</t>
  </si>
  <si>
    <t>total score (higher score indicated higher quality study)</t>
  </si>
  <si>
    <t>Key</t>
  </si>
  <si>
    <t>Not Specified (data was not reported directly in the paper)</t>
  </si>
  <si>
    <t>Not Applicable</t>
  </si>
  <si>
    <t>All</t>
  </si>
  <si>
    <t>All of the sample had the value of interest (e.g., all of the sample received a specific test)</t>
  </si>
  <si>
    <t>Some of the sample had the value of interest (e.g., a specific test was administered only to a portion of the sample)</t>
  </si>
  <si>
    <t>None</t>
  </si>
  <si>
    <t>None of the sample had the value of interest</t>
  </si>
  <si>
    <t>Yes - NS</t>
  </si>
  <si>
    <t>The value of interest was present, though the frequency was not specified (e.g., the paper reports that a test was administered but did not specify whether it was to all or only some)</t>
  </si>
  <si>
    <t>A single value was not reported in the paper in a way that could be divided into the relevant columns (e.g., the mean age of a sample was presented in ways other than secondary/primary psychosis, such as male/female)</t>
  </si>
  <si>
    <t>continent</t>
  </si>
  <si>
    <t>FEP</t>
  </si>
  <si>
    <t>endo</t>
  </si>
  <si>
    <t>exo</t>
  </si>
  <si>
    <t>iatrogenic_freq</t>
  </si>
  <si>
    <t>mri_freq</t>
  </si>
  <si>
    <t>ct_freq</t>
  </si>
  <si>
    <t>nuclear_freq</t>
  </si>
  <si>
    <t>eeg_freq</t>
  </si>
  <si>
    <t>csf_freq</t>
  </si>
  <si>
    <t>blood_freq</t>
  </si>
  <si>
    <t>urine_freq</t>
  </si>
  <si>
    <t>psych_assess_freq</t>
  </si>
  <si>
    <t>psych_assess_stan_tool_freq</t>
  </si>
  <si>
    <t>physical_exam_freq</t>
  </si>
  <si>
    <t>cog_assess_freq</t>
  </si>
  <si>
    <t>cog_assess_stan_tool_freq</t>
  </si>
  <si>
    <t>disorder</t>
  </si>
  <si>
    <t>diagnostic_tool</t>
  </si>
  <si>
    <t>class_system</t>
  </si>
  <si>
    <t>ethnicity_black</t>
  </si>
  <si>
    <t>ethnicity_white</t>
  </si>
  <si>
    <t>ethnicity_asian</t>
  </si>
  <si>
    <t>ethnicity_other</t>
  </si>
  <si>
    <t>sleep_freq</t>
  </si>
  <si>
    <t>head_freq</t>
  </si>
  <si>
    <t>number of patients with secondary psychosis: sleep (eg narcolepsy)</t>
  </si>
  <si>
    <t>number of patients with secondary psychosis: head injury (eg traumatic brain injury)</t>
  </si>
  <si>
    <t>General Hospital</t>
  </si>
  <si>
    <t>DUP (all psychosis)</t>
  </si>
  <si>
    <t>DUP (primary)</t>
  </si>
  <si>
    <t>DUP (secondary)</t>
  </si>
  <si>
    <t>Adams</t>
  </si>
  <si>
    <t>Canada</t>
  </si>
  <si>
    <t>Mantovani</t>
  </si>
  <si>
    <t>Clinical Assessment</t>
  </si>
  <si>
    <t>clinical Assessment</t>
  </si>
  <si>
    <t>Schanzer</t>
  </si>
  <si>
    <t>Scott</t>
  </si>
  <si>
    <t>No</t>
  </si>
  <si>
    <t>Radioimmunoassay</t>
  </si>
  <si>
    <t>Steiner</t>
  </si>
  <si>
    <t>Yes</t>
  </si>
  <si>
    <t>Pychotic Disorder</t>
  </si>
  <si>
    <t>OPCRIT, Clinical Assessment</t>
  </si>
  <si>
    <t>Williams</t>
  </si>
  <si>
    <t>DUP</t>
  </si>
  <si>
    <t>DUP_pri</t>
  </si>
  <si>
    <t>DUP_sec</t>
  </si>
  <si>
    <t>chronic</t>
  </si>
  <si>
    <t>mixed</t>
  </si>
  <si>
    <t>prospective (yes/no)</t>
  </si>
  <si>
    <t>symptoms</t>
  </si>
  <si>
    <t xml:space="preserve">symptoms </t>
  </si>
  <si>
    <t>GB: added detail re disrder and classification system based on review of thesis</t>
  </si>
  <si>
    <t>gen_hospital</t>
  </si>
  <si>
    <t>o</t>
  </si>
  <si>
    <t>GB: have changed from NS to 'multiple' causes investigated and from NS to 'symptoms' based on review of 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</si>
</sst>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rgb="FFBFBFBF"/>
        <bgColor rgb="FFBFBFBF"/>
      </patternFill>
    </fill>
    <fill>
      <patternFill patternType="solid">
        <fgColor rgb="FFF4B083"/>
        <bgColor rgb="FFF4B083"/>
      </patternFill>
    </fill>
    <fill>
      <patternFill patternType="solid">
        <fgColor rgb="FF8EAADB"/>
        <bgColor rgb="FF8EAADB"/>
      </patternFill>
    </fill>
    <fill>
      <patternFill patternType="solid">
        <fgColor rgb="FFCC00CC"/>
        <bgColor rgb="FFCC00CC"/>
      </patternFill>
    </fill>
    <fill>
      <patternFill patternType="solid">
        <fgColor rgb="FFEAA4E0"/>
        <bgColor rgb="FFEAA4E0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DEEAF6"/>
        <bgColor rgb="FFDEEAF6"/>
      </patternFill>
    </fill>
    <fill>
      <patternFill patternType="solid">
        <fgColor rgb="FFFF7575"/>
        <bgColor rgb="FFFF7575"/>
      </patternFill>
    </fill>
    <fill>
      <patternFill patternType="solid">
        <fgColor rgb="FFF2F2F2"/>
        <bgColor rgb="FFF2F2F2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4B084"/>
        <bgColor rgb="FFF4B084"/>
      </patternFill>
    </fill>
    <fill>
      <patternFill patternType="solid">
        <fgColor rgb="FF8EA9DB"/>
        <bgColor rgb="FF8EA9DB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theme="7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10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1" fillId="7" borderId="2" xfId="0" applyFont="1" applyFill="1" applyBorder="1" applyAlignment="1">
      <alignment horizontal="center" wrapText="1"/>
    </xf>
    <xf numFmtId="0" fontId="1" fillId="8" borderId="2" xfId="0" applyFont="1" applyFill="1" applyBorder="1" applyAlignment="1">
      <alignment horizontal="center" wrapText="1"/>
    </xf>
    <xf numFmtId="0" fontId="1" fillId="9" borderId="2" xfId="0" applyFont="1" applyFill="1" applyBorder="1" applyAlignment="1">
      <alignment horizontal="center" wrapText="1"/>
    </xf>
    <xf numFmtId="0" fontId="1" fillId="9" borderId="5" xfId="0" applyFont="1" applyFill="1" applyBorder="1" applyAlignment="1">
      <alignment horizontal="center" wrapText="1"/>
    </xf>
    <xf numFmtId="0" fontId="1" fillId="9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 wrapText="1"/>
    </xf>
    <xf numFmtId="0" fontId="1" fillId="13" borderId="2" xfId="0" applyFont="1" applyFill="1" applyBorder="1" applyAlignment="1">
      <alignment horizontal="center" wrapText="1"/>
    </xf>
    <xf numFmtId="0" fontId="1" fillId="13" borderId="2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 wrapText="1"/>
    </xf>
    <xf numFmtId="0" fontId="3" fillId="14" borderId="7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/>
    <xf numFmtId="0" fontId="3" fillId="2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3" fillId="4" borderId="7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wrapText="1"/>
    </xf>
    <xf numFmtId="0" fontId="3" fillId="5" borderId="7" xfId="0" applyFont="1" applyFill="1" applyBorder="1" applyAlignment="1">
      <alignment horizontal="left" vertical="center" wrapText="1"/>
    </xf>
    <xf numFmtId="0" fontId="3" fillId="6" borderId="7" xfId="0" applyFont="1" applyFill="1" applyBorder="1" applyAlignment="1">
      <alignment horizontal="left" vertical="center" wrapText="1"/>
    </xf>
    <xf numFmtId="0" fontId="3" fillId="7" borderId="8" xfId="0" applyFont="1" applyFill="1" applyBorder="1" applyAlignment="1">
      <alignment horizontal="left" vertical="center" wrapText="1"/>
    </xf>
    <xf numFmtId="0" fontId="3" fillId="8" borderId="6" xfId="0" applyFont="1" applyFill="1" applyBorder="1" applyAlignment="1">
      <alignment horizontal="left" wrapText="1"/>
    </xf>
    <xf numFmtId="0" fontId="3" fillId="9" borderId="7" xfId="0" applyFont="1" applyFill="1" applyBorder="1" applyAlignment="1">
      <alignment horizontal="left" vertical="center" wrapText="1"/>
    </xf>
    <xf numFmtId="0" fontId="3" fillId="9" borderId="7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10" borderId="7" xfId="0" applyFont="1" applyFill="1" applyBorder="1" applyAlignment="1">
      <alignment horizontal="left" vertical="center"/>
    </xf>
    <xf numFmtId="0" fontId="3" fillId="11" borderId="7" xfId="0" applyFont="1" applyFill="1" applyBorder="1" applyAlignment="1">
      <alignment horizontal="left" vertical="center" wrapText="1"/>
    </xf>
    <xf numFmtId="0" fontId="3" fillId="13" borderId="7" xfId="0" applyFont="1" applyFill="1" applyBorder="1" applyAlignment="1">
      <alignment horizontal="left" vertical="center" wrapText="1"/>
    </xf>
    <xf numFmtId="0" fontId="6" fillId="15" borderId="19" xfId="0" applyFont="1" applyFill="1" applyBorder="1" applyAlignment="1">
      <alignment horizontal="left" wrapText="1"/>
    </xf>
    <xf numFmtId="0" fontId="6" fillId="16" borderId="19" xfId="0" applyFont="1" applyFill="1" applyBorder="1" applyAlignment="1">
      <alignment horizontal="left" wrapText="1"/>
    </xf>
    <xf numFmtId="0" fontId="6" fillId="4" borderId="19" xfId="0" applyFont="1" applyFill="1" applyBorder="1" applyAlignment="1">
      <alignment horizontal="left" wrapText="1"/>
    </xf>
    <xf numFmtId="0" fontId="6" fillId="5" borderId="19" xfId="0" applyFont="1" applyFill="1" applyBorder="1" applyAlignment="1">
      <alignment horizontal="left" wrapText="1"/>
    </xf>
    <xf numFmtId="0" fontId="6" fillId="17" borderId="19" xfId="0" applyFont="1" applyFill="1" applyBorder="1" applyAlignment="1">
      <alignment horizontal="left" wrapText="1"/>
    </xf>
    <xf numFmtId="0" fontId="6" fillId="18" borderId="19" xfId="0" applyFont="1" applyFill="1" applyBorder="1" applyAlignment="1">
      <alignment horizontal="left" wrapText="1"/>
    </xf>
    <xf numFmtId="0" fontId="6" fillId="8" borderId="19" xfId="0" applyFont="1" applyFill="1" applyBorder="1" applyAlignment="1">
      <alignment horizontal="left" wrapText="1"/>
    </xf>
    <xf numFmtId="0" fontId="6" fillId="9" borderId="19" xfId="0" applyFont="1" applyFill="1" applyBorder="1" applyAlignment="1">
      <alignment horizontal="left" wrapText="1"/>
    </xf>
    <xf numFmtId="0" fontId="6" fillId="9" borderId="19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9" borderId="19" xfId="0" applyFont="1" applyFill="1" applyBorder="1" applyAlignment="1">
      <alignment horizontal="left"/>
    </xf>
    <xf numFmtId="0" fontId="6" fillId="20" borderId="19" xfId="0" applyFont="1" applyFill="1" applyBorder="1" applyAlignment="1">
      <alignment horizontal="left" wrapText="1"/>
    </xf>
    <xf numFmtId="0" fontId="1" fillId="12" borderId="6" xfId="0" applyFont="1" applyFill="1" applyBorder="1" applyAlignment="1">
      <alignment wrapText="1"/>
    </xf>
    <xf numFmtId="0" fontId="1" fillId="12" borderId="20" xfId="0" applyFont="1" applyFill="1" applyBorder="1" applyAlignment="1">
      <alignment wrapText="1"/>
    </xf>
    <xf numFmtId="0" fontId="6" fillId="13" borderId="19" xfId="0" applyFont="1" applyFill="1" applyBorder="1" applyAlignment="1">
      <alignment horizontal="left" wrapText="1"/>
    </xf>
    <xf numFmtId="0" fontId="3" fillId="14" borderId="11" xfId="0" applyFont="1" applyFill="1" applyBorder="1" applyAlignment="1">
      <alignment horizontal="center"/>
    </xf>
    <xf numFmtId="0" fontId="2" fillId="0" borderId="24" xfId="0" applyFont="1" applyBorder="1"/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7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4" fillId="0" borderId="13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3" fillId="0" borderId="11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5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12" xfId="0" applyFont="1" applyBorder="1" applyAlignment="1">
      <alignment horizontal="center" wrapText="1"/>
    </xf>
    <xf numFmtId="0" fontId="3" fillId="0" borderId="1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" fillId="0" borderId="17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1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1" xfId="0" applyFont="1" applyBorder="1" applyAlignment="1">
      <alignment horizontal="center" wrapText="1"/>
    </xf>
    <xf numFmtId="0" fontId="3" fillId="0" borderId="7" xfId="0" applyFont="1" applyBorder="1"/>
    <xf numFmtId="0" fontId="3" fillId="0" borderId="7" xfId="0" applyFont="1" applyBorder="1" applyAlignment="1">
      <alignment wrapText="1"/>
    </xf>
    <xf numFmtId="0" fontId="1" fillId="0" borderId="21" xfId="0" applyFont="1" applyBorder="1" applyAlignment="1">
      <alignment horizontal="center" wrapText="1"/>
    </xf>
    <xf numFmtId="0" fontId="1" fillId="21" borderId="0" xfId="0" applyFont="1" applyFill="1" applyAlignment="1">
      <alignment horizontal="left"/>
    </xf>
    <xf numFmtId="0" fontId="7" fillId="21" borderId="0" xfId="0" applyFont="1" applyFill="1"/>
    <xf numFmtId="0" fontId="1" fillId="13" borderId="6" xfId="0" applyFont="1" applyFill="1" applyBorder="1" applyAlignment="1">
      <alignment horizontal="center"/>
    </xf>
    <xf numFmtId="0" fontId="2" fillId="0" borderId="20" xfId="0" applyFont="1" applyBorder="1"/>
    <xf numFmtId="0" fontId="1" fillId="13" borderId="6" xfId="0" applyFont="1" applyFill="1" applyBorder="1" applyAlignment="1">
      <alignment horizontal="center" wrapText="1"/>
    </xf>
    <xf numFmtId="0" fontId="2" fillId="0" borderId="3" xfId="0" applyFont="1" applyBorder="1"/>
    <xf numFmtId="0" fontId="1" fillId="3" borderId="6" xfId="0" applyFont="1" applyFill="1" applyBorder="1" applyAlignment="1">
      <alignment horizontal="center" wrapText="1"/>
    </xf>
    <xf numFmtId="0" fontId="1" fillId="11" borderId="6" xfId="0" applyFont="1" applyFill="1" applyBorder="1" applyAlignment="1">
      <alignment horizontal="center" wrapText="1"/>
    </xf>
    <xf numFmtId="0" fontId="1" fillId="12" borderId="6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horizontal="center" wrapText="1"/>
    </xf>
    <xf numFmtId="0" fontId="1" fillId="5" borderId="11" xfId="0" applyFont="1" applyFill="1" applyBorder="1" applyAlignment="1">
      <alignment horizontal="center"/>
    </xf>
    <xf numFmtId="0" fontId="2" fillId="0" borderId="21" xfId="0" applyFont="1" applyBorder="1"/>
    <xf numFmtId="0" fontId="1" fillId="6" borderId="6" xfId="0" applyFont="1" applyFill="1" applyBorder="1" applyAlignment="1">
      <alignment horizontal="center" wrapText="1"/>
    </xf>
    <xf numFmtId="0" fontId="1" fillId="7" borderId="6" xfId="0" applyFont="1" applyFill="1" applyBorder="1" applyAlignment="1">
      <alignment horizontal="center" wrapText="1"/>
    </xf>
    <xf numFmtId="0" fontId="1" fillId="8" borderId="6" xfId="0" applyFont="1" applyFill="1" applyBorder="1" applyAlignment="1">
      <alignment horizontal="center" wrapText="1"/>
    </xf>
    <xf numFmtId="0" fontId="1" fillId="9" borderId="6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</cellXfs>
  <cellStyles count="1">
    <cellStyle name="Normal" xfId="0" builtinId="0"/>
  </cellStyles>
  <dxfs count="105"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ont>
        <color rgb="FF00B05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L1002"/>
  <sheetViews>
    <sheetView workbookViewId="0">
      <pane xSplit="1" ySplit="1" topLeftCell="GV2" activePane="bottomRight" state="frozen"/>
      <selection pane="topRight" activeCell="B1" sqref="B1"/>
      <selection pane="bottomLeft" activeCell="A2" sqref="A2"/>
      <selection pane="bottomRight" activeCell="HM13" sqref="HM13"/>
    </sheetView>
  </sheetViews>
  <sheetFormatPr baseColWidth="10" defaultColWidth="14.5" defaultRowHeight="15" customHeight="1" x14ac:dyDescent="0.2"/>
  <cols>
    <col min="1" max="1" width="12.6640625" customWidth="1"/>
    <col min="2" max="4" width="8.6640625" customWidth="1"/>
    <col min="5" max="5" width="9" customWidth="1"/>
    <col min="6" max="11" width="8.6640625" customWidth="1"/>
    <col min="12" max="12" width="11.33203125" customWidth="1"/>
    <col min="13" max="23" width="8.6640625" customWidth="1"/>
    <col min="24" max="24" width="13.6640625" customWidth="1"/>
    <col min="25" max="27" width="8.6640625" customWidth="1"/>
    <col min="28" max="29" width="11.6640625" customWidth="1"/>
    <col min="30" max="116" width="8.6640625" customWidth="1"/>
    <col min="117" max="117" width="19.83203125" customWidth="1"/>
    <col min="118" max="118" width="16.1640625" customWidth="1"/>
    <col min="119" max="212" width="8.6640625" customWidth="1"/>
    <col min="213" max="213" width="14.6640625" customWidth="1"/>
    <col min="214" max="214" width="17.6640625" customWidth="1"/>
  </cols>
  <sheetData>
    <row r="1" spans="1:220" ht="23" customHeight="1" x14ac:dyDescent="0.2">
      <c r="A1" s="1" t="s">
        <v>0</v>
      </c>
      <c r="B1" s="2" t="s">
        <v>1</v>
      </c>
      <c r="C1" s="102" t="s">
        <v>2</v>
      </c>
      <c r="D1" s="99"/>
      <c r="E1" s="102" t="s">
        <v>3</v>
      </c>
      <c r="F1" s="99"/>
      <c r="G1" s="102" t="s">
        <v>4</v>
      </c>
      <c r="H1" s="99"/>
      <c r="I1" s="102" t="s">
        <v>5</v>
      </c>
      <c r="J1" s="99"/>
      <c r="K1" s="102" t="s">
        <v>6</v>
      </c>
      <c r="L1" s="99"/>
      <c r="M1" s="102" t="s">
        <v>7</v>
      </c>
      <c r="N1" s="99"/>
      <c r="O1" s="102" t="s">
        <v>8</v>
      </c>
      <c r="P1" s="99"/>
      <c r="Q1" s="102" t="s">
        <v>9</v>
      </c>
      <c r="R1" s="99"/>
      <c r="S1" s="102" t="s">
        <v>10</v>
      </c>
      <c r="T1" s="99"/>
      <c r="U1" s="105" t="s">
        <v>11</v>
      </c>
      <c r="V1" s="99"/>
      <c r="W1" s="105" t="s">
        <v>12</v>
      </c>
      <c r="X1" s="99"/>
      <c r="Y1" s="105" t="s">
        <v>13</v>
      </c>
      <c r="Z1" s="99"/>
      <c r="AA1" s="105" t="s">
        <v>14</v>
      </c>
      <c r="AB1" s="99"/>
      <c r="AC1" s="3" t="s">
        <v>15</v>
      </c>
      <c r="AD1" s="106" t="s">
        <v>16</v>
      </c>
      <c r="AE1" s="99"/>
      <c r="AF1" s="4" t="s">
        <v>17</v>
      </c>
      <c r="AG1" s="106" t="s">
        <v>18</v>
      </c>
      <c r="AH1" s="99"/>
      <c r="AI1" s="106" t="s">
        <v>19</v>
      </c>
      <c r="AJ1" s="99"/>
      <c r="AK1" s="106" t="s">
        <v>20</v>
      </c>
      <c r="AL1" s="99"/>
      <c r="AM1" s="106" t="s">
        <v>21</v>
      </c>
      <c r="AN1" s="99"/>
      <c r="AO1" s="106" t="s">
        <v>22</v>
      </c>
      <c r="AP1" s="99"/>
      <c r="AQ1" s="106" t="s">
        <v>23</v>
      </c>
      <c r="AR1" s="99"/>
      <c r="AS1" s="107" t="s">
        <v>317</v>
      </c>
      <c r="AT1" s="108"/>
      <c r="AU1" s="107" t="s">
        <v>318</v>
      </c>
      <c r="AV1" s="108"/>
      <c r="AW1" s="107" t="s">
        <v>319</v>
      </c>
      <c r="AX1" s="108"/>
      <c r="AY1" s="109" t="s">
        <v>24</v>
      </c>
      <c r="AZ1" s="99"/>
      <c r="BA1" s="109" t="s">
        <v>25</v>
      </c>
      <c r="BB1" s="99"/>
      <c r="BC1" s="110" t="s">
        <v>26</v>
      </c>
      <c r="BD1" s="99"/>
      <c r="BE1" s="111" t="s">
        <v>27</v>
      </c>
      <c r="BF1" s="99"/>
      <c r="BG1" s="111" t="s">
        <v>28</v>
      </c>
      <c r="BH1" s="99"/>
      <c r="BI1" s="112" t="s">
        <v>29</v>
      </c>
      <c r="BJ1" s="99"/>
      <c r="BK1" s="112" t="s">
        <v>30</v>
      </c>
      <c r="BL1" s="99"/>
      <c r="BM1" s="112" t="s">
        <v>31</v>
      </c>
      <c r="BN1" s="99"/>
      <c r="BO1" s="112" t="s">
        <v>32</v>
      </c>
      <c r="BP1" s="99"/>
      <c r="BQ1" s="112" t="s">
        <v>33</v>
      </c>
      <c r="BR1" s="99"/>
      <c r="BS1" s="112" t="s">
        <v>34</v>
      </c>
      <c r="BT1" s="99"/>
      <c r="BU1" s="112" t="s">
        <v>35</v>
      </c>
      <c r="BV1" s="99"/>
      <c r="BW1" s="112" t="s">
        <v>36</v>
      </c>
      <c r="BX1" s="99"/>
      <c r="BY1" s="112" t="s">
        <v>37</v>
      </c>
      <c r="BZ1" s="99"/>
      <c r="CA1" s="112" t="s">
        <v>38</v>
      </c>
      <c r="CB1" s="99"/>
      <c r="CC1" s="112" t="s">
        <v>39</v>
      </c>
      <c r="CD1" s="99"/>
      <c r="CE1" s="112" t="s">
        <v>40</v>
      </c>
      <c r="CF1" s="99"/>
      <c r="CG1" s="112" t="s">
        <v>41</v>
      </c>
      <c r="CH1" s="99"/>
      <c r="CI1" s="112" t="s">
        <v>42</v>
      </c>
      <c r="CJ1" s="99"/>
      <c r="CK1" s="112" t="s">
        <v>43</v>
      </c>
      <c r="CL1" s="99"/>
      <c r="CM1" s="115" t="s">
        <v>44</v>
      </c>
      <c r="CN1" s="99"/>
      <c r="CO1" s="115" t="s">
        <v>45</v>
      </c>
      <c r="CP1" s="99"/>
      <c r="CQ1" s="113" t="s">
        <v>46</v>
      </c>
      <c r="CR1" s="99"/>
      <c r="CS1" s="113" t="s">
        <v>47</v>
      </c>
      <c r="CT1" s="99"/>
      <c r="CU1" s="113" t="s">
        <v>48</v>
      </c>
      <c r="CV1" s="99"/>
      <c r="CW1" s="113" t="s">
        <v>49</v>
      </c>
      <c r="CX1" s="99"/>
      <c r="CY1" s="114" t="s">
        <v>50</v>
      </c>
      <c r="CZ1" s="99"/>
      <c r="DA1" s="5" t="s">
        <v>51</v>
      </c>
      <c r="DB1" s="5"/>
      <c r="DC1" s="5" t="s">
        <v>52</v>
      </c>
      <c r="DD1" s="5"/>
      <c r="DE1" s="102" t="s">
        <v>53</v>
      </c>
      <c r="DF1" s="99"/>
      <c r="DG1" s="102" t="s">
        <v>54</v>
      </c>
      <c r="DH1" s="99"/>
      <c r="DI1" s="102" t="s">
        <v>55</v>
      </c>
      <c r="DJ1" s="99"/>
      <c r="DK1" s="102" t="s">
        <v>56</v>
      </c>
      <c r="DL1" s="99"/>
      <c r="DM1" s="102" t="s">
        <v>57</v>
      </c>
      <c r="DN1" s="99"/>
      <c r="DO1" s="103" t="s">
        <v>58</v>
      </c>
      <c r="DP1" s="99"/>
      <c r="DQ1" s="103" t="s">
        <v>59</v>
      </c>
      <c r="DR1" s="99"/>
      <c r="DS1" s="104" t="s">
        <v>60</v>
      </c>
      <c r="DT1" s="99"/>
      <c r="DU1" s="104" t="s">
        <v>61</v>
      </c>
      <c r="DV1" s="99"/>
      <c r="DW1" s="104" t="s">
        <v>62</v>
      </c>
      <c r="DX1" s="99"/>
      <c r="DY1" s="100" t="s">
        <v>63</v>
      </c>
      <c r="DZ1" s="99"/>
      <c r="EA1" s="98" t="s">
        <v>64</v>
      </c>
      <c r="EB1" s="99"/>
      <c r="EC1" s="98" t="s">
        <v>65</v>
      </c>
      <c r="ED1" s="99"/>
      <c r="EE1" s="98" t="s">
        <v>66</v>
      </c>
      <c r="EF1" s="99"/>
      <c r="EG1" s="98" t="s">
        <v>67</v>
      </c>
      <c r="EH1" s="99"/>
      <c r="EI1" s="98" t="s">
        <v>68</v>
      </c>
      <c r="EJ1" s="99"/>
      <c r="EK1" s="98" t="s">
        <v>69</v>
      </c>
      <c r="EL1" s="99"/>
      <c r="EM1" s="98" t="s">
        <v>70</v>
      </c>
      <c r="EN1" s="99"/>
      <c r="EO1" s="98" t="s">
        <v>71</v>
      </c>
      <c r="EP1" s="99"/>
      <c r="EQ1" s="98" t="s">
        <v>72</v>
      </c>
      <c r="ER1" s="99"/>
      <c r="ES1" s="100" t="s">
        <v>73</v>
      </c>
      <c r="ET1" s="101"/>
      <c r="EU1" s="6" t="s">
        <v>0</v>
      </c>
      <c r="EV1" s="7" t="s">
        <v>1</v>
      </c>
      <c r="EW1" s="8" t="s">
        <v>2</v>
      </c>
      <c r="EX1" s="8" t="s">
        <v>3</v>
      </c>
      <c r="EY1" s="8" t="s">
        <v>4</v>
      </c>
      <c r="EZ1" s="8" t="s">
        <v>5</v>
      </c>
      <c r="FA1" s="8" t="s">
        <v>6</v>
      </c>
      <c r="FB1" s="8" t="s">
        <v>7</v>
      </c>
      <c r="FC1" s="8" t="s">
        <v>8</v>
      </c>
      <c r="FD1" s="8" t="s">
        <v>9</v>
      </c>
      <c r="FE1" s="8" t="s">
        <v>10</v>
      </c>
      <c r="FF1" s="3" t="s">
        <v>11</v>
      </c>
      <c r="FG1" s="3" t="s">
        <v>12</v>
      </c>
      <c r="FH1" s="3" t="s">
        <v>13</v>
      </c>
      <c r="FI1" s="3" t="s">
        <v>14</v>
      </c>
      <c r="FJ1" s="4" t="s">
        <v>74</v>
      </c>
      <c r="FK1" s="4" t="s">
        <v>18</v>
      </c>
      <c r="FL1" s="4" t="s">
        <v>19</v>
      </c>
      <c r="FM1" s="4" t="s">
        <v>21</v>
      </c>
      <c r="FN1" s="4" t="s">
        <v>22</v>
      </c>
      <c r="FO1" s="4" t="s">
        <v>23</v>
      </c>
      <c r="FP1" s="9" t="s">
        <v>24</v>
      </c>
      <c r="FQ1" s="9" t="s">
        <v>25</v>
      </c>
      <c r="FR1" s="10" t="s">
        <v>26</v>
      </c>
      <c r="FS1" s="11" t="s">
        <v>27</v>
      </c>
      <c r="FT1" s="11" t="s">
        <v>28</v>
      </c>
      <c r="FU1" s="12" t="s">
        <v>29</v>
      </c>
      <c r="FV1" s="12" t="s">
        <v>30</v>
      </c>
      <c r="FW1" s="12" t="s">
        <v>31</v>
      </c>
      <c r="FX1" s="12" t="s">
        <v>32</v>
      </c>
      <c r="FY1" s="12" t="s">
        <v>33</v>
      </c>
      <c r="FZ1" s="12" t="s">
        <v>34</v>
      </c>
      <c r="GA1" s="12" t="s">
        <v>35</v>
      </c>
      <c r="GB1" s="12" t="s">
        <v>36</v>
      </c>
      <c r="GC1" s="12" t="s">
        <v>37</v>
      </c>
      <c r="GD1" s="12" t="s">
        <v>38</v>
      </c>
      <c r="GE1" s="12" t="s">
        <v>39</v>
      </c>
      <c r="GF1" s="12" t="s">
        <v>40</v>
      </c>
      <c r="GG1" s="13" t="s">
        <v>75</v>
      </c>
      <c r="GH1" s="13" t="s">
        <v>42</v>
      </c>
      <c r="GI1" s="12" t="s">
        <v>43</v>
      </c>
      <c r="GJ1" s="14" t="s">
        <v>44</v>
      </c>
      <c r="GK1" s="14" t="s">
        <v>45</v>
      </c>
      <c r="GL1" s="15" t="s">
        <v>46</v>
      </c>
      <c r="GM1" s="15" t="s">
        <v>47</v>
      </c>
      <c r="GN1" s="15" t="s">
        <v>48</v>
      </c>
      <c r="GO1" s="15" t="s">
        <v>49</v>
      </c>
      <c r="GP1" s="5" t="s">
        <v>50</v>
      </c>
      <c r="GQ1" s="5" t="s">
        <v>51</v>
      </c>
      <c r="GR1" s="5" t="s">
        <v>52</v>
      </c>
      <c r="GS1" s="8" t="s">
        <v>53</v>
      </c>
      <c r="GT1" s="8" t="s">
        <v>54</v>
      </c>
      <c r="GU1" s="8" t="s">
        <v>55</v>
      </c>
      <c r="GV1" s="8" t="s">
        <v>56</v>
      </c>
      <c r="GW1" s="8" t="s">
        <v>57</v>
      </c>
      <c r="GX1" s="16" t="s">
        <v>58</v>
      </c>
      <c r="GY1" s="16" t="s">
        <v>59</v>
      </c>
      <c r="GZ1" s="17" t="s">
        <v>63</v>
      </c>
      <c r="HA1" s="18" t="s">
        <v>64</v>
      </c>
      <c r="HB1" s="18" t="s">
        <v>65</v>
      </c>
      <c r="HC1" s="18" t="s">
        <v>66</v>
      </c>
      <c r="HD1" s="18" t="s">
        <v>67</v>
      </c>
      <c r="HE1" s="18" t="s">
        <v>68</v>
      </c>
      <c r="HF1" s="18" t="s">
        <v>69</v>
      </c>
      <c r="HG1" s="18" t="s">
        <v>70</v>
      </c>
      <c r="HH1" s="18" t="s">
        <v>71</v>
      </c>
      <c r="HI1" s="18" t="s">
        <v>72</v>
      </c>
      <c r="HJ1" s="19" t="s">
        <v>73</v>
      </c>
      <c r="HK1" s="20" t="s">
        <v>76</v>
      </c>
      <c r="HL1" s="56" t="s">
        <v>77</v>
      </c>
    </row>
    <row r="2" spans="1:220" x14ac:dyDescent="0.2">
      <c r="A2" s="58"/>
      <c r="B2" s="59"/>
      <c r="C2" s="60" t="s">
        <v>78</v>
      </c>
      <c r="D2" s="60" t="s">
        <v>79</v>
      </c>
      <c r="E2" s="60" t="s">
        <v>78</v>
      </c>
      <c r="F2" s="60" t="s">
        <v>79</v>
      </c>
      <c r="G2" s="60" t="s">
        <v>78</v>
      </c>
      <c r="H2" s="60" t="s">
        <v>79</v>
      </c>
      <c r="I2" s="60" t="s">
        <v>78</v>
      </c>
      <c r="J2" s="60" t="s">
        <v>79</v>
      </c>
      <c r="K2" s="60" t="s">
        <v>78</v>
      </c>
      <c r="L2" s="60" t="s">
        <v>79</v>
      </c>
      <c r="M2" s="60" t="s">
        <v>78</v>
      </c>
      <c r="N2" s="60" t="s">
        <v>79</v>
      </c>
      <c r="O2" s="60" t="s">
        <v>78</v>
      </c>
      <c r="P2" s="60" t="s">
        <v>79</v>
      </c>
      <c r="Q2" s="60" t="s">
        <v>78</v>
      </c>
      <c r="R2" s="60" t="s">
        <v>79</v>
      </c>
      <c r="S2" s="60" t="s">
        <v>78</v>
      </c>
      <c r="T2" s="60" t="s">
        <v>79</v>
      </c>
      <c r="U2" s="60" t="s">
        <v>78</v>
      </c>
      <c r="V2" s="60" t="s">
        <v>79</v>
      </c>
      <c r="W2" s="60" t="s">
        <v>78</v>
      </c>
      <c r="X2" s="60" t="s">
        <v>79</v>
      </c>
      <c r="Y2" s="60" t="s">
        <v>78</v>
      </c>
      <c r="Z2" s="60" t="s">
        <v>79</v>
      </c>
      <c r="AA2" s="60" t="s">
        <v>78</v>
      </c>
      <c r="AB2" s="60" t="s">
        <v>79</v>
      </c>
      <c r="AC2" s="60"/>
      <c r="AD2" s="60" t="s">
        <v>78</v>
      </c>
      <c r="AE2" s="60" t="s">
        <v>79</v>
      </c>
      <c r="AF2" s="60"/>
      <c r="AG2" s="60" t="s">
        <v>78</v>
      </c>
      <c r="AH2" s="60" t="s">
        <v>79</v>
      </c>
      <c r="AI2" s="60" t="s">
        <v>78</v>
      </c>
      <c r="AJ2" s="60" t="s">
        <v>79</v>
      </c>
      <c r="AK2" s="60" t="s">
        <v>78</v>
      </c>
      <c r="AL2" s="60" t="s">
        <v>80</v>
      </c>
      <c r="AM2" s="60" t="s">
        <v>78</v>
      </c>
      <c r="AN2" s="60" t="s">
        <v>79</v>
      </c>
      <c r="AO2" s="60" t="s">
        <v>78</v>
      </c>
      <c r="AP2" s="60" t="s">
        <v>79</v>
      </c>
      <c r="AQ2" s="60" t="s">
        <v>78</v>
      </c>
      <c r="AR2" s="60" t="s">
        <v>79</v>
      </c>
      <c r="AS2" s="61" t="s">
        <v>78</v>
      </c>
      <c r="AT2" s="62" t="s">
        <v>79</v>
      </c>
      <c r="AU2" s="61" t="s">
        <v>78</v>
      </c>
      <c r="AV2" s="62" t="s">
        <v>79</v>
      </c>
      <c r="AW2" s="61" t="s">
        <v>78</v>
      </c>
      <c r="AX2" s="62" t="s">
        <v>79</v>
      </c>
      <c r="AY2" s="60" t="s">
        <v>78</v>
      </c>
      <c r="AZ2" s="60" t="s">
        <v>79</v>
      </c>
      <c r="BA2" s="60" t="s">
        <v>78</v>
      </c>
      <c r="BB2" s="60" t="s">
        <v>79</v>
      </c>
      <c r="BC2" s="60" t="s">
        <v>78</v>
      </c>
      <c r="BD2" s="60" t="s">
        <v>79</v>
      </c>
      <c r="BE2" s="60" t="s">
        <v>78</v>
      </c>
      <c r="BF2" s="60" t="s">
        <v>79</v>
      </c>
      <c r="BG2" s="60" t="s">
        <v>78</v>
      </c>
      <c r="BH2" s="60" t="s">
        <v>79</v>
      </c>
      <c r="BI2" s="60" t="s">
        <v>78</v>
      </c>
      <c r="BJ2" s="60" t="s">
        <v>79</v>
      </c>
      <c r="BK2" s="60" t="s">
        <v>78</v>
      </c>
      <c r="BL2" s="60" t="s">
        <v>79</v>
      </c>
      <c r="BM2" s="60" t="s">
        <v>78</v>
      </c>
      <c r="BN2" s="60" t="s">
        <v>79</v>
      </c>
      <c r="BO2" s="60" t="s">
        <v>78</v>
      </c>
      <c r="BP2" s="60" t="s">
        <v>79</v>
      </c>
      <c r="BQ2" s="60" t="s">
        <v>78</v>
      </c>
      <c r="BR2" s="60" t="s">
        <v>79</v>
      </c>
      <c r="BS2" s="60" t="s">
        <v>78</v>
      </c>
      <c r="BT2" s="60" t="s">
        <v>79</v>
      </c>
      <c r="BU2" s="60" t="s">
        <v>78</v>
      </c>
      <c r="BV2" s="60" t="s">
        <v>79</v>
      </c>
      <c r="BW2" s="60" t="s">
        <v>78</v>
      </c>
      <c r="BX2" s="60" t="s">
        <v>79</v>
      </c>
      <c r="BY2" s="60" t="s">
        <v>78</v>
      </c>
      <c r="BZ2" s="60" t="s">
        <v>79</v>
      </c>
      <c r="CA2" s="60" t="s">
        <v>78</v>
      </c>
      <c r="CB2" s="60" t="s">
        <v>79</v>
      </c>
      <c r="CC2" s="60" t="s">
        <v>78</v>
      </c>
      <c r="CD2" s="60" t="s">
        <v>79</v>
      </c>
      <c r="CE2" s="60" t="s">
        <v>78</v>
      </c>
      <c r="CF2" s="60" t="s">
        <v>79</v>
      </c>
      <c r="CG2" s="60" t="s">
        <v>78</v>
      </c>
      <c r="CH2" s="60" t="s">
        <v>79</v>
      </c>
      <c r="CI2" s="60" t="s">
        <v>78</v>
      </c>
      <c r="CJ2" s="60" t="s">
        <v>79</v>
      </c>
      <c r="CK2" s="60" t="s">
        <v>78</v>
      </c>
      <c r="CL2" s="60" t="s">
        <v>79</v>
      </c>
      <c r="CM2" s="60" t="s">
        <v>78</v>
      </c>
      <c r="CN2" s="60" t="s">
        <v>79</v>
      </c>
      <c r="CO2" s="60" t="s">
        <v>78</v>
      </c>
      <c r="CP2" s="60" t="s">
        <v>79</v>
      </c>
      <c r="CQ2" s="60" t="s">
        <v>78</v>
      </c>
      <c r="CR2" s="60" t="s">
        <v>79</v>
      </c>
      <c r="CS2" s="60" t="s">
        <v>78</v>
      </c>
      <c r="CT2" s="60" t="s">
        <v>79</v>
      </c>
      <c r="CU2" s="60" t="s">
        <v>78</v>
      </c>
      <c r="CV2" s="60" t="s">
        <v>79</v>
      </c>
      <c r="CW2" s="60" t="s">
        <v>78</v>
      </c>
      <c r="CX2" s="60" t="s">
        <v>79</v>
      </c>
      <c r="CY2" s="60" t="s">
        <v>78</v>
      </c>
      <c r="CZ2" s="60" t="s">
        <v>79</v>
      </c>
      <c r="DA2" s="60" t="s">
        <v>78</v>
      </c>
      <c r="DB2" s="60" t="s">
        <v>79</v>
      </c>
      <c r="DC2" s="60" t="s">
        <v>78</v>
      </c>
      <c r="DD2" s="60" t="s">
        <v>79</v>
      </c>
      <c r="DE2" s="60" t="s">
        <v>78</v>
      </c>
      <c r="DF2" s="60" t="s">
        <v>79</v>
      </c>
      <c r="DG2" s="60" t="s">
        <v>78</v>
      </c>
      <c r="DH2" s="60" t="s">
        <v>79</v>
      </c>
      <c r="DI2" s="60" t="s">
        <v>78</v>
      </c>
      <c r="DJ2" s="60" t="s">
        <v>79</v>
      </c>
      <c r="DK2" s="60" t="s">
        <v>78</v>
      </c>
      <c r="DL2" s="60" t="s">
        <v>79</v>
      </c>
      <c r="DM2" s="60" t="s">
        <v>78</v>
      </c>
      <c r="DN2" s="60" t="s">
        <v>79</v>
      </c>
      <c r="DO2" s="60" t="s">
        <v>78</v>
      </c>
      <c r="DP2" s="60" t="s">
        <v>79</v>
      </c>
      <c r="DQ2" s="60" t="s">
        <v>78</v>
      </c>
      <c r="DR2" s="60" t="s">
        <v>79</v>
      </c>
      <c r="DS2" s="60" t="s">
        <v>78</v>
      </c>
      <c r="DT2" s="60" t="s">
        <v>79</v>
      </c>
      <c r="DU2" s="60" t="s">
        <v>78</v>
      </c>
      <c r="DV2" s="60" t="s">
        <v>79</v>
      </c>
      <c r="DW2" s="60" t="s">
        <v>78</v>
      </c>
      <c r="DX2" s="60" t="s">
        <v>79</v>
      </c>
      <c r="DY2" s="60" t="s">
        <v>78</v>
      </c>
      <c r="DZ2" s="60" t="s">
        <v>79</v>
      </c>
      <c r="EA2" s="60" t="s">
        <v>78</v>
      </c>
      <c r="EB2" s="60" t="s">
        <v>79</v>
      </c>
      <c r="EC2" s="60" t="s">
        <v>78</v>
      </c>
      <c r="ED2" s="60" t="s">
        <v>79</v>
      </c>
      <c r="EE2" s="60" t="s">
        <v>78</v>
      </c>
      <c r="EF2" s="60" t="s">
        <v>79</v>
      </c>
      <c r="EG2" s="60" t="s">
        <v>78</v>
      </c>
      <c r="EH2" s="60" t="s">
        <v>79</v>
      </c>
      <c r="EI2" s="60" t="s">
        <v>78</v>
      </c>
      <c r="EJ2" s="60" t="s">
        <v>79</v>
      </c>
      <c r="EK2" s="60" t="s">
        <v>78</v>
      </c>
      <c r="EL2" s="60" t="s">
        <v>79</v>
      </c>
      <c r="EM2" s="60" t="s">
        <v>78</v>
      </c>
      <c r="EN2" s="60" t="s">
        <v>79</v>
      </c>
      <c r="EO2" s="60" t="s">
        <v>78</v>
      </c>
      <c r="EP2" s="60" t="s">
        <v>79</v>
      </c>
      <c r="EQ2" s="60" t="s">
        <v>78</v>
      </c>
      <c r="ER2" s="60" t="s">
        <v>79</v>
      </c>
      <c r="ES2" s="60" t="s">
        <v>78</v>
      </c>
      <c r="ET2" s="63" t="s">
        <v>79</v>
      </c>
      <c r="EU2" s="64"/>
      <c r="EV2" s="65"/>
      <c r="EW2" s="66"/>
      <c r="EX2" s="66"/>
      <c r="EY2" s="66"/>
      <c r="EZ2" s="66"/>
      <c r="FA2" s="66"/>
      <c r="FB2" s="66"/>
      <c r="FC2" s="66"/>
      <c r="FD2" s="66"/>
      <c r="FE2" s="66"/>
      <c r="FF2" s="66"/>
      <c r="FG2" s="66"/>
      <c r="FH2" s="66"/>
      <c r="FI2" s="66"/>
      <c r="FJ2" s="66"/>
      <c r="FK2" s="66"/>
      <c r="FL2" s="66"/>
      <c r="FM2" s="66"/>
      <c r="FN2" s="66"/>
      <c r="FO2" s="66"/>
      <c r="FP2" s="66"/>
      <c r="FQ2" s="66"/>
      <c r="FR2" s="66"/>
      <c r="FS2" s="66"/>
      <c r="FT2" s="66"/>
      <c r="FU2" s="66"/>
      <c r="FV2" s="66"/>
      <c r="FW2" s="66"/>
      <c r="FX2" s="66"/>
      <c r="FY2" s="66"/>
      <c r="FZ2" s="66"/>
      <c r="GA2" s="66"/>
      <c r="GB2" s="66"/>
      <c r="GC2" s="66"/>
      <c r="GD2" s="66"/>
      <c r="GE2" s="66"/>
      <c r="GF2" s="66"/>
      <c r="GG2" s="65"/>
      <c r="GH2" s="65"/>
      <c r="GI2" s="66"/>
      <c r="GJ2" s="60"/>
      <c r="GK2" s="60"/>
      <c r="GL2" s="60"/>
      <c r="GM2" s="60"/>
      <c r="GN2" s="60"/>
      <c r="GO2" s="60"/>
      <c r="GP2" s="60"/>
      <c r="GQ2" s="60"/>
      <c r="GR2" s="60"/>
      <c r="GS2" s="66"/>
      <c r="GT2" s="66"/>
      <c r="GU2" s="66"/>
      <c r="GV2" s="66"/>
      <c r="GW2" s="66"/>
      <c r="GX2" s="66"/>
      <c r="GY2" s="66"/>
      <c r="GZ2" s="66"/>
      <c r="HA2" s="60"/>
      <c r="HB2" s="60"/>
      <c r="HC2" s="60"/>
      <c r="HD2" s="60"/>
      <c r="HE2" s="60"/>
      <c r="HF2" s="60"/>
      <c r="HG2" s="60"/>
      <c r="HH2" s="60"/>
      <c r="HI2" s="60"/>
      <c r="HJ2" s="67"/>
      <c r="HK2" s="59"/>
      <c r="HL2" s="68"/>
    </row>
    <row r="3" spans="1:220" ht="16" x14ac:dyDescent="0.2">
      <c r="A3" s="69" t="s">
        <v>320</v>
      </c>
      <c r="B3" s="70">
        <v>1996</v>
      </c>
      <c r="C3" s="70">
        <v>68</v>
      </c>
      <c r="D3" s="70">
        <v>68</v>
      </c>
      <c r="E3" s="59">
        <v>43</v>
      </c>
      <c r="F3" s="70">
        <v>43</v>
      </c>
      <c r="G3" s="70" t="s">
        <v>59</v>
      </c>
      <c r="H3" s="70" t="s">
        <v>59</v>
      </c>
      <c r="I3" s="70" t="s">
        <v>59</v>
      </c>
      <c r="J3" s="70" t="s">
        <v>59</v>
      </c>
      <c r="K3" s="70" t="s">
        <v>59</v>
      </c>
      <c r="L3" s="59" t="s">
        <v>59</v>
      </c>
      <c r="M3" s="59" t="s">
        <v>59</v>
      </c>
      <c r="N3" s="59" t="s">
        <v>59</v>
      </c>
      <c r="O3" s="59" t="s">
        <v>59</v>
      </c>
      <c r="P3" s="59" t="s">
        <v>59</v>
      </c>
      <c r="Q3" s="59" t="s">
        <v>59</v>
      </c>
      <c r="R3" s="59" t="s">
        <v>59</v>
      </c>
      <c r="S3" s="59" t="s">
        <v>59</v>
      </c>
      <c r="T3" s="59" t="s">
        <v>59</v>
      </c>
      <c r="U3" s="70">
        <v>0</v>
      </c>
      <c r="V3" s="70">
        <v>0</v>
      </c>
      <c r="W3" s="70">
        <v>111</v>
      </c>
      <c r="X3" s="70">
        <v>111</v>
      </c>
      <c r="Y3" s="70">
        <v>0</v>
      </c>
      <c r="Z3" s="70">
        <v>0</v>
      </c>
      <c r="AA3" s="70">
        <v>0</v>
      </c>
      <c r="AB3" s="70">
        <v>0</v>
      </c>
      <c r="AC3" s="59" t="s">
        <v>101</v>
      </c>
      <c r="AD3" s="59" t="s">
        <v>321</v>
      </c>
      <c r="AE3" s="70" t="s">
        <v>321</v>
      </c>
      <c r="AF3" s="70"/>
      <c r="AG3" s="70" t="s">
        <v>85</v>
      </c>
      <c r="AH3" s="70" t="s">
        <v>85</v>
      </c>
      <c r="AI3" s="70" t="s">
        <v>86</v>
      </c>
      <c r="AJ3" s="70" t="s">
        <v>86</v>
      </c>
      <c r="AK3" s="70" t="s">
        <v>86</v>
      </c>
      <c r="AL3" s="70" t="s">
        <v>86</v>
      </c>
      <c r="AM3" s="70">
        <v>111</v>
      </c>
      <c r="AN3" s="70">
        <v>111</v>
      </c>
      <c r="AO3" s="70">
        <v>0</v>
      </c>
      <c r="AP3" s="70">
        <v>0</v>
      </c>
      <c r="AQ3" s="70">
        <v>0</v>
      </c>
      <c r="AR3" s="70">
        <v>0</v>
      </c>
      <c r="AS3" s="71" t="s">
        <v>59</v>
      </c>
      <c r="AT3" s="72" t="s">
        <v>59</v>
      </c>
      <c r="AU3" s="71" t="s">
        <v>59</v>
      </c>
      <c r="AV3" s="72" t="s">
        <v>59</v>
      </c>
      <c r="AW3" s="71" t="s">
        <v>59</v>
      </c>
      <c r="AX3" s="72" t="s">
        <v>59</v>
      </c>
      <c r="AY3" s="70">
        <v>111</v>
      </c>
      <c r="AZ3" s="70">
        <v>111</v>
      </c>
      <c r="BA3" s="70">
        <v>0</v>
      </c>
      <c r="BB3" s="70">
        <v>0</v>
      </c>
      <c r="BC3" s="70" t="s">
        <v>95</v>
      </c>
      <c r="BD3" s="70" t="s">
        <v>95</v>
      </c>
      <c r="BE3" s="70">
        <f>SUM(BI3,BK3,BQ3,BS3,BU3,BW3,BY3,CA3,CC3,CE3,CG3,CI3,CK3,CM3,CO3)</f>
        <v>0</v>
      </c>
      <c r="BF3" s="70">
        <f>SUM(BJ3,BL3,BR3,BT3,BV3,BX3,BZ3,CB3,CD3,CF3,CH3,CJ3,CL3,CN3,CP3)</f>
        <v>0</v>
      </c>
      <c r="BG3" s="70">
        <f t="shared" ref="BG3:BG36" si="0">SUM(BM3,BO3)</f>
        <v>0</v>
      </c>
      <c r="BH3" s="70">
        <f t="shared" ref="BH3:BH36" si="1">SUM(BN3,BP3)</f>
        <v>0</v>
      </c>
      <c r="BI3" s="70" t="s">
        <v>87</v>
      </c>
      <c r="BJ3" s="70" t="s">
        <v>87</v>
      </c>
      <c r="BK3" s="70" t="s">
        <v>87</v>
      </c>
      <c r="BL3" s="70" t="s">
        <v>87</v>
      </c>
      <c r="BM3" s="70" t="s">
        <v>87</v>
      </c>
      <c r="BN3" s="70" t="s">
        <v>87</v>
      </c>
      <c r="BO3" s="70" t="s">
        <v>87</v>
      </c>
      <c r="BP3" s="70" t="s">
        <v>87</v>
      </c>
      <c r="BQ3" s="70">
        <v>0</v>
      </c>
      <c r="BR3" s="70">
        <v>0</v>
      </c>
      <c r="BS3" s="70">
        <v>0</v>
      </c>
      <c r="BT3" s="70">
        <v>0</v>
      </c>
      <c r="BU3" s="70">
        <v>0</v>
      </c>
      <c r="BV3" s="70">
        <v>0</v>
      </c>
      <c r="BW3" s="70">
        <v>0</v>
      </c>
      <c r="BX3" s="70">
        <v>0</v>
      </c>
      <c r="BY3" s="70" t="s">
        <v>87</v>
      </c>
      <c r="BZ3" s="70" t="s">
        <v>87</v>
      </c>
      <c r="CA3" s="70">
        <v>0</v>
      </c>
      <c r="CB3" s="70">
        <v>0</v>
      </c>
      <c r="CC3" s="70">
        <v>0</v>
      </c>
      <c r="CD3" s="70">
        <v>0</v>
      </c>
      <c r="CE3" s="70" t="s">
        <v>87</v>
      </c>
      <c r="CF3" s="70" t="s">
        <v>87</v>
      </c>
      <c r="CG3" s="70" t="s">
        <v>87</v>
      </c>
      <c r="CH3" s="70" t="s">
        <v>87</v>
      </c>
      <c r="CI3" s="70">
        <v>0</v>
      </c>
      <c r="CJ3" s="70">
        <v>0</v>
      </c>
      <c r="CK3" s="70">
        <v>0</v>
      </c>
      <c r="CL3" s="70">
        <v>0</v>
      </c>
      <c r="CM3" s="70">
        <v>0</v>
      </c>
      <c r="CN3" s="70">
        <v>0</v>
      </c>
      <c r="CO3" s="70">
        <v>0</v>
      </c>
      <c r="CP3" s="70">
        <v>0</v>
      </c>
      <c r="CQ3" s="70" t="s">
        <v>59</v>
      </c>
      <c r="CR3" s="70" t="s">
        <v>59</v>
      </c>
      <c r="CS3" s="70" t="s">
        <v>121</v>
      </c>
      <c r="CT3" s="70" t="s">
        <v>121</v>
      </c>
      <c r="CU3" s="70" t="s">
        <v>121</v>
      </c>
      <c r="CV3" s="70" t="s">
        <v>121</v>
      </c>
      <c r="CW3" s="70" t="s">
        <v>121</v>
      </c>
      <c r="CX3" s="70" t="s">
        <v>121</v>
      </c>
      <c r="CY3" s="70" t="s">
        <v>59</v>
      </c>
      <c r="CZ3" s="70" t="s">
        <v>59</v>
      </c>
      <c r="DA3" s="70" t="s">
        <v>88</v>
      </c>
      <c r="DB3" s="70" t="s">
        <v>88</v>
      </c>
      <c r="DC3" s="70" t="s">
        <v>59</v>
      </c>
      <c r="DD3" s="70" t="s">
        <v>59</v>
      </c>
      <c r="DE3" s="70" t="s">
        <v>88</v>
      </c>
      <c r="DF3" s="70" t="s">
        <v>88</v>
      </c>
      <c r="DG3" s="70" t="s">
        <v>59</v>
      </c>
      <c r="DH3" s="70" t="s">
        <v>59</v>
      </c>
      <c r="DI3" s="70" t="s">
        <v>59</v>
      </c>
      <c r="DJ3" s="70" t="s">
        <v>59</v>
      </c>
      <c r="DK3" s="70" t="s">
        <v>59</v>
      </c>
      <c r="DL3" s="70" t="s">
        <v>59</v>
      </c>
      <c r="DM3" s="70" t="s">
        <v>59</v>
      </c>
      <c r="DN3" s="59" t="s">
        <v>59</v>
      </c>
      <c r="DO3" s="70" t="s">
        <v>59</v>
      </c>
      <c r="DP3" s="70" t="s">
        <v>59</v>
      </c>
      <c r="DQ3" s="70" t="s">
        <v>59</v>
      </c>
      <c r="DR3" s="70" t="s">
        <v>59</v>
      </c>
      <c r="DS3" s="70" t="s">
        <v>305</v>
      </c>
      <c r="DT3" s="70" t="s">
        <v>305</v>
      </c>
      <c r="DU3" s="70" t="s">
        <v>59</v>
      </c>
      <c r="DV3" s="70" t="s">
        <v>59</v>
      </c>
      <c r="DW3" s="70" t="s">
        <v>59</v>
      </c>
      <c r="DX3" s="70" t="s">
        <v>59</v>
      </c>
      <c r="DY3" s="70">
        <v>1</v>
      </c>
      <c r="DZ3" s="70">
        <v>1</v>
      </c>
      <c r="EA3" s="70">
        <v>1</v>
      </c>
      <c r="EB3" s="70">
        <v>1</v>
      </c>
      <c r="EC3" s="70">
        <v>1</v>
      </c>
      <c r="ED3" s="70">
        <v>1</v>
      </c>
      <c r="EE3" s="70">
        <v>1</v>
      </c>
      <c r="EF3" s="70">
        <v>1</v>
      </c>
      <c r="EG3" s="70">
        <v>1</v>
      </c>
      <c r="EH3" s="70">
        <v>1</v>
      </c>
      <c r="EI3" s="70">
        <v>1</v>
      </c>
      <c r="EJ3" s="70">
        <v>1</v>
      </c>
      <c r="EK3" s="70">
        <v>1</v>
      </c>
      <c r="EL3" s="70">
        <v>1</v>
      </c>
      <c r="EM3" s="70">
        <v>1</v>
      </c>
      <c r="EN3" s="70">
        <v>1</v>
      </c>
      <c r="EO3" s="70">
        <v>1</v>
      </c>
      <c r="EP3" s="70">
        <v>1</v>
      </c>
      <c r="EQ3" s="70">
        <v>1</v>
      </c>
      <c r="ER3" s="70">
        <v>1</v>
      </c>
      <c r="ES3" s="70">
        <v>10</v>
      </c>
      <c r="ET3" s="73">
        <v>10</v>
      </c>
      <c r="EU3" s="64"/>
      <c r="EV3" s="65"/>
      <c r="EW3" s="59" t="str">
        <f t="shared" ref="EW3:EW36" si="2">IF(C3=D3,"Y","N")</f>
        <v>Y</v>
      </c>
      <c r="EX3" s="59" t="str">
        <f t="shared" ref="EX3:EX36" si="3">IF(E3=F3,"Y","N")</f>
        <v>Y</v>
      </c>
      <c r="EY3" s="59" t="str">
        <f t="shared" ref="EY3:EY36" si="4">IF(G3=H3,"Y","N")</f>
        <v>Y</v>
      </c>
      <c r="EZ3" s="59" t="str">
        <f t="shared" ref="EZ3:EZ36" si="5">IF(I3=J3,"Y","N")</f>
        <v>Y</v>
      </c>
      <c r="FA3" s="59" t="str">
        <f t="shared" ref="FA3:FA36" si="6">IF(K3=L3,"Y","N")</f>
        <v>Y</v>
      </c>
      <c r="FB3" s="59" t="str">
        <f t="shared" ref="FB3:FB8" si="7">IF(M3=N3,"Y","N")</f>
        <v>Y</v>
      </c>
      <c r="FC3" s="59" t="str">
        <f t="shared" ref="FC3:FC36" si="8">IF(O3=P3,"Y","N")</f>
        <v>Y</v>
      </c>
      <c r="FD3" s="59" t="str">
        <f t="shared" ref="FD3:FD36" si="9">IF(Q3=R3,"Y","N")</f>
        <v>Y</v>
      </c>
      <c r="FE3" s="59" t="str">
        <f t="shared" ref="FE3:FE36" si="10">IF(S3=T3,"Y","N")</f>
        <v>Y</v>
      </c>
      <c r="FF3" s="59" t="str">
        <f t="shared" ref="FF3:FF36" si="11">IF(U3=V3,"Y","N")</f>
        <v>Y</v>
      </c>
      <c r="FG3" s="59" t="str">
        <f t="shared" ref="FG3:FG36" si="12">IF(W3=X3,"Y","N")</f>
        <v>Y</v>
      </c>
      <c r="FH3" s="59" t="str">
        <f t="shared" ref="FH3:FH36" si="13">IF(Y3=Z3,"Y","N")</f>
        <v>Y</v>
      </c>
      <c r="FI3" s="59" t="str">
        <f t="shared" ref="FI3:FI36" si="14">IF(AA3=AB3,"Y","N")</f>
        <v>Y</v>
      </c>
      <c r="FJ3" s="59" t="str">
        <f t="shared" ref="FJ3:FJ36" si="15">IF(AD3=AE3,"Y","N")</f>
        <v>Y</v>
      </c>
      <c r="FK3" s="59" t="str">
        <f t="shared" ref="FK3:FK36" si="16">IF(AG3=AH3,"Y","N")</f>
        <v>Y</v>
      </c>
      <c r="FL3" s="59" t="str">
        <f t="shared" ref="FL3:FL36" si="17">IF(AI3=AJ3,"Y","N")</f>
        <v>Y</v>
      </c>
      <c r="FM3" s="59" t="str">
        <f t="shared" ref="FM3:FM36" si="18">IF(AM3=AN3,"Y","N")</f>
        <v>Y</v>
      </c>
      <c r="FN3" s="59" t="str">
        <f t="shared" ref="FN3:FN36" si="19">IF(AO3=AP3,"Y","N")</f>
        <v>Y</v>
      </c>
      <c r="FO3" s="59" t="str">
        <f t="shared" ref="FO3:FO36" si="20">IF(AQ3=AR3,"Y","N")</f>
        <v>Y</v>
      </c>
      <c r="FP3" s="59" t="str">
        <f t="shared" ref="FP3:FP36" si="21">IF(AY3=AZ3,"Y","N")</f>
        <v>Y</v>
      </c>
      <c r="FQ3" s="59" t="str">
        <f t="shared" ref="FQ3:FQ36" si="22">IF(BA3=BB3,"Y","N")</f>
        <v>Y</v>
      </c>
      <c r="FR3" s="59" t="str">
        <f t="shared" ref="FR3:FR36" si="23">IF(BC3=BD3,"Y","N")</f>
        <v>Y</v>
      </c>
      <c r="FS3" s="59" t="str">
        <f t="shared" ref="FS3:FS36" si="24">IF(BE3=BF3,"Y","N")</f>
        <v>Y</v>
      </c>
      <c r="FT3" s="59" t="str">
        <f t="shared" ref="FT3:FT36" si="25">IF(BG3=BH3,"Y","N")</f>
        <v>Y</v>
      </c>
      <c r="FU3" s="59" t="str">
        <f t="shared" ref="FU3:FU36" si="26">IF(BI3=BJ3,"Y","N")</f>
        <v>Y</v>
      </c>
      <c r="FV3" s="59" t="str">
        <f t="shared" ref="FV3:FV36" si="27">IF(BK3=BL3,"Y","N")</f>
        <v>Y</v>
      </c>
      <c r="FW3" s="59" t="str">
        <f t="shared" ref="FW3:FW36" si="28">IF(BM3=BN3,"Y","N")</f>
        <v>Y</v>
      </c>
      <c r="FX3" s="59" t="str">
        <f t="shared" ref="FX3:FX36" si="29">IF(BO3=BP3,"Y","N")</f>
        <v>Y</v>
      </c>
      <c r="FY3" s="59" t="str">
        <f t="shared" ref="FY3:FY36" si="30">IF(BQ3=BR3,"Y","N")</f>
        <v>Y</v>
      </c>
      <c r="FZ3" s="59" t="str">
        <f t="shared" ref="FZ3:FZ36" si="31">IF(BS3=BT3,"Y","N")</f>
        <v>Y</v>
      </c>
      <c r="GA3" s="59" t="str">
        <f t="shared" ref="GA3:GA36" si="32">IF(BU3=BV3,"Y","N")</f>
        <v>Y</v>
      </c>
      <c r="GB3" s="59" t="str">
        <f t="shared" ref="GB3:GB36" si="33">IF(BW3=BX3,"Y","N")</f>
        <v>Y</v>
      </c>
      <c r="GC3" s="59" t="str">
        <f t="shared" ref="GC3:GC36" si="34">IF(BY3=BZ3,"Y","N")</f>
        <v>Y</v>
      </c>
      <c r="GD3" s="59" t="str">
        <f t="shared" ref="GD3:GD36" si="35">IF(CA3=CB3,"Y","N")</f>
        <v>Y</v>
      </c>
      <c r="GE3" s="59" t="str">
        <f t="shared" ref="GE3:GE36" si="36">IF(CC3=CD3,"Y","N")</f>
        <v>Y</v>
      </c>
      <c r="GF3" s="59" t="str">
        <f t="shared" ref="GF3:GF36" si="37">IF(CE3=CF3,"Y","N")</f>
        <v>Y</v>
      </c>
      <c r="GG3" s="59" t="str">
        <f t="shared" ref="GG3:GG36" si="38">IF(CG3=CH3, "Y", "N")</f>
        <v>Y</v>
      </c>
      <c r="GH3" s="59" t="str">
        <f t="shared" ref="GH3:GH36" si="39">IF(CI3=CJ3, "Y", "N")</f>
        <v>Y</v>
      </c>
      <c r="GI3" s="59" t="str">
        <f t="shared" ref="GI3:GI36" si="40">IF(CK3=CL3,"Y","N")</f>
        <v>Y</v>
      </c>
      <c r="GJ3" s="59" t="str">
        <f t="shared" ref="GJ3:GJ36" si="41">IF(CM3=CN3,"Y","N")</f>
        <v>Y</v>
      </c>
      <c r="GK3" s="59" t="str">
        <f t="shared" ref="GK3:GK36" si="42">IF(CO3=CP3,"Y","N")</f>
        <v>Y</v>
      </c>
      <c r="GL3" s="59" t="str">
        <f t="shared" ref="GL3:GL36" si="43">IF(CQ3=CR3,"Y","N")</f>
        <v>Y</v>
      </c>
      <c r="GM3" s="59" t="str">
        <f t="shared" ref="GM3:GM36" si="44">IF(CS3=CT3,"Y","N")</f>
        <v>Y</v>
      </c>
      <c r="GN3" s="59" t="str">
        <f t="shared" ref="GN3:GN36" si="45">IF(CU3=CV3,"Y","N")</f>
        <v>Y</v>
      </c>
      <c r="GO3" s="59" t="str">
        <f t="shared" ref="GO3:GO36" si="46">IF(CW3=CX3,"Y","N")</f>
        <v>Y</v>
      </c>
      <c r="GP3" s="59" t="str">
        <f t="shared" ref="GP3:GP36" si="47">IF(CY3=CZ3,"Y","N")</f>
        <v>Y</v>
      </c>
      <c r="GQ3" s="59" t="str">
        <f t="shared" ref="GQ3:GQ36" si="48">IF(DA3=DB3,"Y","N")</f>
        <v>Y</v>
      </c>
      <c r="GR3" s="59" t="str">
        <f t="shared" ref="GR3:GR36" si="49">IF(DC3=DD3,"Y","N")</f>
        <v>Y</v>
      </c>
      <c r="GS3" s="59" t="str">
        <f t="shared" ref="GS3:GS36" si="50">IF(DE3=DF3,"Y","N")</f>
        <v>Y</v>
      </c>
      <c r="GT3" s="59" t="str">
        <f t="shared" ref="GT3:GT36" si="51">IF(DG3=DH3,"Y","N")</f>
        <v>Y</v>
      </c>
      <c r="GU3" s="59" t="str">
        <f t="shared" ref="GU3:GU36" si="52">IF(DI3=DJ3,"Y","N")</f>
        <v>Y</v>
      </c>
      <c r="GV3" s="59" t="str">
        <f t="shared" ref="GV3:GV36" si="53">IF(DK3=DL3,"Y","N")</f>
        <v>Y</v>
      </c>
      <c r="GW3" s="59" t="str">
        <f t="shared" ref="GW3:GW36" si="54">IF(DM3=DN3,"Y","N")</f>
        <v>Y</v>
      </c>
      <c r="GX3" s="59" t="str">
        <f t="shared" ref="GX3:GX36" si="55">IF(DO3=DP3,"Y","N")</f>
        <v>Y</v>
      </c>
      <c r="GY3" s="59" t="str">
        <f t="shared" ref="GY3:GY36" si="56">IF(DQ3=DR3,"Y","N")</f>
        <v>Y</v>
      </c>
      <c r="GZ3" s="59" t="str">
        <f t="shared" ref="GZ3:GZ36" si="57">IF(DY3=DZ3,"Y","N")</f>
        <v>Y</v>
      </c>
      <c r="HA3" s="59" t="str">
        <f t="shared" ref="HA3:HA36" si="58">IF(EA3=EB3,"Y","N")</f>
        <v>Y</v>
      </c>
      <c r="HB3" s="59" t="str">
        <f t="shared" ref="HB3:HB36" si="59">IF(EC3=ED3,"Y","N")</f>
        <v>Y</v>
      </c>
      <c r="HC3" s="59" t="str">
        <f t="shared" ref="HC3:HC36" si="60">IF(EE3=EF3,"Y","N")</f>
        <v>Y</v>
      </c>
      <c r="HD3" s="59" t="str">
        <f t="shared" ref="HD3:HD36" si="61">IF(EG3=EH3,"Y","N")</f>
        <v>Y</v>
      </c>
      <c r="HE3" s="59" t="str">
        <f t="shared" ref="HE3:HE36" si="62">IF(EI3=EJ3,"Y","N")</f>
        <v>Y</v>
      </c>
      <c r="HF3" s="59" t="str">
        <f t="shared" ref="HF3:HF36" si="63">IF(EK3=EL3,"Y","N")</f>
        <v>Y</v>
      </c>
      <c r="HG3" s="59" t="str">
        <f t="shared" ref="HG3:HG36" si="64">IF(EM3=EN3,"Y","N")</f>
        <v>Y</v>
      </c>
      <c r="HH3" s="59" t="str">
        <f t="shared" ref="HH3:HH36" si="65">IF(EO3=EP3,"Y","N")</f>
        <v>Y</v>
      </c>
      <c r="HI3" s="59" t="str">
        <f t="shared" ref="HI3:HI36" si="66">IF(EQ3=ER3,"Y","N")</f>
        <v>Y</v>
      </c>
      <c r="HJ3" s="68" t="str">
        <f t="shared" ref="HJ3:HJ36" si="67">IF(ES3=ET3,"Y","N")</f>
        <v>Y</v>
      </c>
      <c r="HK3" s="59"/>
      <c r="HL3" s="68"/>
    </row>
    <row r="4" spans="1:220" ht="16" x14ac:dyDescent="0.2">
      <c r="A4" s="69" t="s">
        <v>81</v>
      </c>
      <c r="B4" s="70">
        <v>2005</v>
      </c>
      <c r="C4" s="70">
        <v>278</v>
      </c>
      <c r="D4" s="70">
        <v>278</v>
      </c>
      <c r="E4" s="59">
        <v>108</v>
      </c>
      <c r="F4" s="70">
        <v>108</v>
      </c>
      <c r="G4" s="70">
        <v>27.1</v>
      </c>
      <c r="H4" s="70">
        <v>27.1</v>
      </c>
      <c r="I4" s="70">
        <v>30.1</v>
      </c>
      <c r="J4" s="70">
        <v>30.1</v>
      </c>
      <c r="K4" s="70">
        <v>28.5</v>
      </c>
      <c r="L4" s="59">
        <v>28.5</v>
      </c>
      <c r="M4" s="59">
        <v>168</v>
      </c>
      <c r="N4" s="59">
        <v>168</v>
      </c>
      <c r="O4" s="59">
        <v>56</v>
      </c>
      <c r="P4" s="59">
        <v>56</v>
      </c>
      <c r="Q4" s="59">
        <v>0</v>
      </c>
      <c r="R4" s="59">
        <v>0</v>
      </c>
      <c r="S4" s="59">
        <v>0</v>
      </c>
      <c r="T4" s="59">
        <v>0</v>
      </c>
      <c r="U4" s="70">
        <v>386</v>
      </c>
      <c r="V4" s="70">
        <v>386</v>
      </c>
      <c r="W4" s="70">
        <v>0</v>
      </c>
      <c r="X4" s="70">
        <v>0</v>
      </c>
      <c r="Y4" s="70">
        <v>0</v>
      </c>
      <c r="Z4" s="70">
        <v>0</v>
      </c>
      <c r="AA4" s="70">
        <v>0</v>
      </c>
      <c r="AB4" s="70">
        <v>0</v>
      </c>
      <c r="AC4" s="59" t="s">
        <v>343</v>
      </c>
      <c r="AD4" s="59" t="s">
        <v>83</v>
      </c>
      <c r="AE4" s="70" t="s">
        <v>83</v>
      </c>
      <c r="AF4" s="70" t="s">
        <v>84</v>
      </c>
      <c r="AG4" s="70" t="s">
        <v>85</v>
      </c>
      <c r="AH4" s="70" t="s">
        <v>85</v>
      </c>
      <c r="AI4" s="70" t="s">
        <v>86</v>
      </c>
      <c r="AJ4" s="70" t="s">
        <v>86</v>
      </c>
      <c r="AK4" s="70" t="s">
        <v>86</v>
      </c>
      <c r="AL4" s="70" t="s">
        <v>86</v>
      </c>
      <c r="AM4" s="70" t="s">
        <v>59</v>
      </c>
      <c r="AN4" s="70" t="s">
        <v>59</v>
      </c>
      <c r="AO4" s="70" t="s">
        <v>59</v>
      </c>
      <c r="AP4" s="70" t="s">
        <v>59</v>
      </c>
      <c r="AQ4" s="70" t="s">
        <v>59</v>
      </c>
      <c r="AR4" s="70" t="s">
        <v>59</v>
      </c>
      <c r="AS4" s="71" t="s">
        <v>59</v>
      </c>
      <c r="AT4" s="72" t="s">
        <v>59</v>
      </c>
      <c r="AU4" s="71" t="s">
        <v>59</v>
      </c>
      <c r="AV4" s="72" t="s">
        <v>59</v>
      </c>
      <c r="AW4" s="71" t="s">
        <v>59</v>
      </c>
      <c r="AX4" s="72" t="s">
        <v>59</v>
      </c>
      <c r="AY4" s="70">
        <v>386</v>
      </c>
      <c r="AZ4" s="70">
        <v>386</v>
      </c>
      <c r="BA4" s="70">
        <v>169</v>
      </c>
      <c r="BB4" s="70">
        <v>169</v>
      </c>
      <c r="BC4" s="70" t="s">
        <v>99</v>
      </c>
      <c r="BD4" s="70" t="s">
        <v>99</v>
      </c>
      <c r="BE4" s="70">
        <f t="shared" ref="BE4:BE36" si="68">SUM(BI4,BK4,BQ4,BS4,BU4,BW4,BY4,CA4,CC4,CE4,CG4,CI4,CK4,CM4,CO4)</f>
        <v>0</v>
      </c>
      <c r="BF4" s="70">
        <f t="shared" ref="BF4:BF36" si="69">SUM(BJ4,BL4,BR4,BT4,BV4,BX4,BZ4,CB4,CD4,CF4,CH4,CJ4,CL4,CN4,CP4)</f>
        <v>0</v>
      </c>
      <c r="BG4" s="70">
        <f>SUM(BM4,BO4)</f>
        <v>169</v>
      </c>
      <c r="BH4" s="70">
        <f>SUM(BN4,BP4)</f>
        <v>169</v>
      </c>
      <c r="BI4" s="70" t="s">
        <v>87</v>
      </c>
      <c r="BJ4" s="70" t="s">
        <v>87</v>
      </c>
      <c r="BK4" s="70" t="s">
        <v>87</v>
      </c>
      <c r="BL4" s="70" t="s">
        <v>87</v>
      </c>
      <c r="BM4" s="70">
        <v>169</v>
      </c>
      <c r="BN4" s="70">
        <v>169</v>
      </c>
      <c r="BO4" s="70" t="s">
        <v>87</v>
      </c>
      <c r="BP4" s="70" t="s">
        <v>87</v>
      </c>
      <c r="BQ4" s="70" t="s">
        <v>87</v>
      </c>
      <c r="BR4" s="70" t="s">
        <v>87</v>
      </c>
      <c r="BS4" s="70" t="s">
        <v>87</v>
      </c>
      <c r="BT4" s="70" t="s">
        <v>87</v>
      </c>
      <c r="BU4" s="70" t="s">
        <v>87</v>
      </c>
      <c r="BV4" s="70" t="s">
        <v>87</v>
      </c>
      <c r="BW4" s="70" t="s">
        <v>87</v>
      </c>
      <c r="BX4" s="70" t="s">
        <v>87</v>
      </c>
      <c r="BY4" s="70" t="s">
        <v>87</v>
      </c>
      <c r="BZ4" s="70" t="s">
        <v>87</v>
      </c>
      <c r="CA4" s="70" t="s">
        <v>87</v>
      </c>
      <c r="CB4" s="70" t="s">
        <v>87</v>
      </c>
      <c r="CC4" s="70" t="s">
        <v>87</v>
      </c>
      <c r="CD4" s="70" t="s">
        <v>87</v>
      </c>
      <c r="CE4" s="70" t="s">
        <v>87</v>
      </c>
      <c r="CF4" s="70" t="s">
        <v>87</v>
      </c>
      <c r="CG4" s="70" t="s">
        <v>87</v>
      </c>
      <c r="CH4" s="70" t="s">
        <v>87</v>
      </c>
      <c r="CI4" s="70" t="s">
        <v>87</v>
      </c>
      <c r="CJ4" s="70" t="s">
        <v>87</v>
      </c>
      <c r="CK4" s="70" t="s">
        <v>87</v>
      </c>
      <c r="CL4" s="70" t="s">
        <v>87</v>
      </c>
      <c r="CM4" s="70" t="s">
        <v>87</v>
      </c>
      <c r="CN4" s="70" t="s">
        <v>87</v>
      </c>
      <c r="CO4" s="70" t="s">
        <v>87</v>
      </c>
      <c r="CP4" s="70" t="s">
        <v>87</v>
      </c>
      <c r="CQ4" s="70" t="s">
        <v>59</v>
      </c>
      <c r="CR4" s="70" t="s">
        <v>59</v>
      </c>
      <c r="CS4" s="70" t="s">
        <v>59</v>
      </c>
      <c r="CT4" s="70" t="s">
        <v>59</v>
      </c>
      <c r="CU4" s="70" t="s">
        <v>59</v>
      </c>
      <c r="CV4" s="70" t="s">
        <v>59</v>
      </c>
      <c r="CW4" s="70" t="s">
        <v>59</v>
      </c>
      <c r="CX4" s="70" t="s">
        <v>59</v>
      </c>
      <c r="CY4" s="70" t="s">
        <v>59</v>
      </c>
      <c r="CZ4" s="70" t="s">
        <v>59</v>
      </c>
      <c r="DA4" s="70" t="s">
        <v>59</v>
      </c>
      <c r="DB4" s="70" t="s">
        <v>59</v>
      </c>
      <c r="DC4" s="70" t="s">
        <v>88</v>
      </c>
      <c r="DD4" s="70" t="s">
        <v>88</v>
      </c>
      <c r="DE4" s="70" t="s">
        <v>88</v>
      </c>
      <c r="DF4" s="70" t="s">
        <v>88</v>
      </c>
      <c r="DG4" s="70" t="s">
        <v>86</v>
      </c>
      <c r="DH4" s="70" t="s">
        <v>86</v>
      </c>
      <c r="DI4" s="70" t="s">
        <v>59</v>
      </c>
      <c r="DJ4" s="70" t="s">
        <v>59</v>
      </c>
      <c r="DK4" s="70" t="s">
        <v>59</v>
      </c>
      <c r="DL4" s="70" t="s">
        <v>59</v>
      </c>
      <c r="DM4" s="70" t="s">
        <v>59</v>
      </c>
      <c r="DN4" s="59" t="s">
        <v>59</v>
      </c>
      <c r="DO4" s="70" t="s">
        <v>59</v>
      </c>
      <c r="DP4" s="70" t="s">
        <v>59</v>
      </c>
      <c r="DQ4" s="70" t="s">
        <v>59</v>
      </c>
      <c r="DR4" s="70" t="s">
        <v>59</v>
      </c>
      <c r="DS4" s="70" t="s">
        <v>305</v>
      </c>
      <c r="DT4" s="70" t="s">
        <v>305</v>
      </c>
      <c r="DU4" s="70" t="s">
        <v>89</v>
      </c>
      <c r="DV4" s="70" t="s">
        <v>89</v>
      </c>
      <c r="DW4" s="70" t="s">
        <v>90</v>
      </c>
      <c r="DX4" s="70" t="s">
        <v>90</v>
      </c>
      <c r="DY4" s="70">
        <v>1</v>
      </c>
      <c r="DZ4" s="70">
        <v>1</v>
      </c>
      <c r="EA4" s="70">
        <v>0</v>
      </c>
      <c r="EB4" s="70">
        <v>0</v>
      </c>
      <c r="EC4" s="70">
        <v>1</v>
      </c>
      <c r="ED4" s="70">
        <v>1</v>
      </c>
      <c r="EE4" s="70">
        <v>1</v>
      </c>
      <c r="EF4" s="70">
        <v>1</v>
      </c>
      <c r="EG4" s="70">
        <v>1</v>
      </c>
      <c r="EH4" s="70">
        <v>1</v>
      </c>
      <c r="EI4" s="70">
        <v>1</v>
      </c>
      <c r="EJ4" s="70">
        <v>1</v>
      </c>
      <c r="EK4" s="70">
        <v>1</v>
      </c>
      <c r="EL4" s="70">
        <v>1</v>
      </c>
      <c r="EM4" s="70">
        <v>1</v>
      </c>
      <c r="EN4" s="70">
        <v>1</v>
      </c>
      <c r="EO4" s="70">
        <v>1</v>
      </c>
      <c r="EP4" s="70">
        <v>1</v>
      </c>
      <c r="EQ4" s="70">
        <v>1</v>
      </c>
      <c r="ER4" s="70">
        <v>1</v>
      </c>
      <c r="ES4" s="70">
        <f t="shared" ref="ES4:ET16" si="70">SUM(DY4,EA4,EC4,EE4,EG4,EI4,EK4,EM4,EO4,EQ4)</f>
        <v>9</v>
      </c>
      <c r="ET4" s="70">
        <f t="shared" si="70"/>
        <v>9</v>
      </c>
      <c r="EU4" s="74" t="s">
        <v>81</v>
      </c>
      <c r="EV4" s="66">
        <v>2005</v>
      </c>
      <c r="EW4" s="59" t="str">
        <f t="shared" si="2"/>
        <v>Y</v>
      </c>
      <c r="EX4" s="59" t="str">
        <f t="shared" si="3"/>
        <v>Y</v>
      </c>
      <c r="EY4" s="59" t="str">
        <f t="shared" si="4"/>
        <v>Y</v>
      </c>
      <c r="EZ4" s="59" t="str">
        <f t="shared" si="5"/>
        <v>Y</v>
      </c>
      <c r="FA4" s="59" t="str">
        <f t="shared" si="6"/>
        <v>Y</v>
      </c>
      <c r="FB4" s="59" t="str">
        <f t="shared" si="7"/>
        <v>Y</v>
      </c>
      <c r="FC4" s="59" t="str">
        <f t="shared" si="8"/>
        <v>Y</v>
      </c>
      <c r="FD4" s="59" t="str">
        <f t="shared" si="9"/>
        <v>Y</v>
      </c>
      <c r="FE4" s="59" t="str">
        <f t="shared" si="10"/>
        <v>Y</v>
      </c>
      <c r="FF4" s="59" t="str">
        <f t="shared" si="11"/>
        <v>Y</v>
      </c>
      <c r="FG4" s="59" t="str">
        <f t="shared" si="12"/>
        <v>Y</v>
      </c>
      <c r="FH4" s="59" t="str">
        <f t="shared" si="13"/>
        <v>Y</v>
      </c>
      <c r="FI4" s="59" t="str">
        <f t="shared" si="14"/>
        <v>Y</v>
      </c>
      <c r="FJ4" s="59" t="str">
        <f t="shared" si="15"/>
        <v>Y</v>
      </c>
      <c r="FK4" s="59" t="str">
        <f t="shared" si="16"/>
        <v>Y</v>
      </c>
      <c r="FL4" s="59" t="str">
        <f t="shared" si="17"/>
        <v>Y</v>
      </c>
      <c r="FM4" s="59" t="str">
        <f t="shared" si="18"/>
        <v>Y</v>
      </c>
      <c r="FN4" s="59" t="str">
        <f t="shared" si="19"/>
        <v>Y</v>
      </c>
      <c r="FO4" s="59" t="str">
        <f t="shared" si="20"/>
        <v>Y</v>
      </c>
      <c r="FP4" s="59" t="str">
        <f t="shared" si="21"/>
        <v>Y</v>
      </c>
      <c r="FQ4" s="59" t="str">
        <f t="shared" si="22"/>
        <v>Y</v>
      </c>
      <c r="FR4" s="59" t="str">
        <f t="shared" si="23"/>
        <v>Y</v>
      </c>
      <c r="FS4" s="59" t="str">
        <f t="shared" si="24"/>
        <v>Y</v>
      </c>
      <c r="FT4" s="59" t="str">
        <f t="shared" si="25"/>
        <v>Y</v>
      </c>
      <c r="FU4" s="59" t="str">
        <f t="shared" si="26"/>
        <v>Y</v>
      </c>
      <c r="FV4" s="59" t="str">
        <f t="shared" si="27"/>
        <v>Y</v>
      </c>
      <c r="FW4" s="59" t="str">
        <f t="shared" si="28"/>
        <v>Y</v>
      </c>
      <c r="FX4" s="59" t="str">
        <f t="shared" si="29"/>
        <v>Y</v>
      </c>
      <c r="FY4" s="59" t="str">
        <f t="shared" si="30"/>
        <v>Y</v>
      </c>
      <c r="FZ4" s="59" t="str">
        <f t="shared" si="31"/>
        <v>Y</v>
      </c>
      <c r="GA4" s="59" t="str">
        <f t="shared" si="32"/>
        <v>Y</v>
      </c>
      <c r="GB4" s="59" t="str">
        <f t="shared" si="33"/>
        <v>Y</v>
      </c>
      <c r="GC4" s="59" t="str">
        <f t="shared" si="34"/>
        <v>Y</v>
      </c>
      <c r="GD4" s="59" t="str">
        <f t="shared" si="35"/>
        <v>Y</v>
      </c>
      <c r="GE4" s="59" t="str">
        <f t="shared" si="36"/>
        <v>Y</v>
      </c>
      <c r="GF4" s="59" t="str">
        <f t="shared" si="37"/>
        <v>Y</v>
      </c>
      <c r="GG4" s="59" t="str">
        <f t="shared" si="38"/>
        <v>Y</v>
      </c>
      <c r="GH4" s="59" t="str">
        <f t="shared" si="39"/>
        <v>Y</v>
      </c>
      <c r="GI4" s="59" t="str">
        <f t="shared" si="40"/>
        <v>Y</v>
      </c>
      <c r="GJ4" s="59" t="str">
        <f t="shared" si="41"/>
        <v>Y</v>
      </c>
      <c r="GK4" s="59" t="str">
        <f t="shared" si="42"/>
        <v>Y</v>
      </c>
      <c r="GL4" s="59" t="str">
        <f t="shared" si="43"/>
        <v>Y</v>
      </c>
      <c r="GM4" s="59" t="str">
        <f t="shared" si="44"/>
        <v>Y</v>
      </c>
      <c r="GN4" s="59" t="str">
        <f t="shared" si="45"/>
        <v>Y</v>
      </c>
      <c r="GO4" s="59" t="str">
        <f t="shared" si="46"/>
        <v>Y</v>
      </c>
      <c r="GP4" s="59" t="str">
        <f t="shared" si="47"/>
        <v>Y</v>
      </c>
      <c r="GQ4" s="59" t="str">
        <f t="shared" si="48"/>
        <v>Y</v>
      </c>
      <c r="GR4" s="59" t="str">
        <f t="shared" si="49"/>
        <v>Y</v>
      </c>
      <c r="GS4" s="59" t="str">
        <f t="shared" si="50"/>
        <v>Y</v>
      </c>
      <c r="GT4" s="59" t="str">
        <f t="shared" si="51"/>
        <v>Y</v>
      </c>
      <c r="GU4" s="59" t="str">
        <f t="shared" si="52"/>
        <v>Y</v>
      </c>
      <c r="GV4" s="59" t="str">
        <f t="shared" si="53"/>
        <v>Y</v>
      </c>
      <c r="GW4" s="59" t="str">
        <f t="shared" si="54"/>
        <v>Y</v>
      </c>
      <c r="GX4" s="59" t="str">
        <f t="shared" si="55"/>
        <v>Y</v>
      </c>
      <c r="GY4" s="59" t="str">
        <f t="shared" si="56"/>
        <v>Y</v>
      </c>
      <c r="GZ4" s="59" t="str">
        <f t="shared" si="57"/>
        <v>Y</v>
      </c>
      <c r="HA4" s="59" t="str">
        <f t="shared" si="58"/>
        <v>Y</v>
      </c>
      <c r="HB4" s="59" t="str">
        <f t="shared" si="59"/>
        <v>Y</v>
      </c>
      <c r="HC4" s="59" t="str">
        <f t="shared" si="60"/>
        <v>Y</v>
      </c>
      <c r="HD4" s="59" t="str">
        <f t="shared" si="61"/>
        <v>Y</v>
      </c>
      <c r="HE4" s="59" t="str">
        <f t="shared" si="62"/>
        <v>Y</v>
      </c>
      <c r="HF4" s="59" t="str">
        <f t="shared" si="63"/>
        <v>Y</v>
      </c>
      <c r="HG4" s="59" t="str">
        <f t="shared" si="64"/>
        <v>Y</v>
      </c>
      <c r="HH4" s="59" t="str">
        <f t="shared" si="65"/>
        <v>Y</v>
      </c>
      <c r="HI4" s="59" t="str">
        <f t="shared" si="66"/>
        <v>Y</v>
      </c>
      <c r="HJ4" s="68" t="str">
        <f t="shared" si="67"/>
        <v>Y</v>
      </c>
      <c r="HK4" s="59"/>
      <c r="HL4" s="68"/>
    </row>
    <row r="5" spans="1:220" ht="32" x14ac:dyDescent="0.2">
      <c r="A5" s="69" t="s">
        <v>91</v>
      </c>
      <c r="B5" s="70">
        <v>2022</v>
      </c>
      <c r="C5" s="70">
        <v>152</v>
      </c>
      <c r="D5" s="70">
        <v>152</v>
      </c>
      <c r="E5" s="59">
        <v>85</v>
      </c>
      <c r="F5" s="70">
        <v>85</v>
      </c>
      <c r="G5" s="70" t="s">
        <v>59</v>
      </c>
      <c r="H5" s="70" t="s">
        <v>59</v>
      </c>
      <c r="I5" s="70" t="s">
        <v>59</v>
      </c>
      <c r="J5" s="70" t="s">
        <v>59</v>
      </c>
      <c r="K5" s="70">
        <v>23.5</v>
      </c>
      <c r="L5" s="59">
        <v>23.5</v>
      </c>
      <c r="M5" s="59" t="s">
        <v>59</v>
      </c>
      <c r="N5" s="59" t="s">
        <v>59</v>
      </c>
      <c r="O5" s="59">
        <v>153</v>
      </c>
      <c r="P5" s="59">
        <v>153</v>
      </c>
      <c r="Q5" s="59" t="s">
        <v>59</v>
      </c>
      <c r="R5" s="59" t="s">
        <v>59</v>
      </c>
      <c r="S5" s="59">
        <v>64</v>
      </c>
      <c r="T5" s="59">
        <v>64</v>
      </c>
      <c r="U5" s="70">
        <v>0</v>
      </c>
      <c r="V5" s="70">
        <v>0</v>
      </c>
      <c r="W5" s="70">
        <v>0</v>
      </c>
      <c r="X5" s="70">
        <v>0</v>
      </c>
      <c r="Y5" s="70">
        <v>237</v>
      </c>
      <c r="Z5" s="70">
        <v>237</v>
      </c>
      <c r="AA5" s="70">
        <v>0</v>
      </c>
      <c r="AB5" s="70">
        <v>0</v>
      </c>
      <c r="AC5" s="75" t="s">
        <v>92</v>
      </c>
      <c r="AD5" s="59" t="s">
        <v>93</v>
      </c>
      <c r="AE5" s="70" t="s">
        <v>93</v>
      </c>
      <c r="AF5" s="70" t="s">
        <v>94</v>
      </c>
      <c r="AG5" s="70" t="s">
        <v>86</v>
      </c>
      <c r="AH5" s="70" t="s">
        <v>86</v>
      </c>
      <c r="AI5" s="70" t="s">
        <v>85</v>
      </c>
      <c r="AJ5" s="70" t="s">
        <v>85</v>
      </c>
      <c r="AK5" s="70" t="s">
        <v>86</v>
      </c>
      <c r="AL5" s="70" t="s">
        <v>86</v>
      </c>
      <c r="AM5" s="70">
        <v>237</v>
      </c>
      <c r="AN5" s="70">
        <v>237</v>
      </c>
      <c r="AO5" s="70">
        <v>0</v>
      </c>
      <c r="AP5" s="70">
        <v>0</v>
      </c>
      <c r="AQ5" s="70">
        <v>0</v>
      </c>
      <c r="AR5" s="70">
        <v>0</v>
      </c>
      <c r="AS5" s="71" t="s">
        <v>59</v>
      </c>
      <c r="AT5" s="72" t="s">
        <v>59</v>
      </c>
      <c r="AU5" s="71" t="s">
        <v>59</v>
      </c>
      <c r="AV5" s="72" t="s">
        <v>59</v>
      </c>
      <c r="AW5" s="71" t="s">
        <v>59</v>
      </c>
      <c r="AX5" s="72" t="s">
        <v>59</v>
      </c>
      <c r="AY5" s="70">
        <v>237</v>
      </c>
      <c r="AZ5" s="70">
        <v>237</v>
      </c>
      <c r="BA5" s="70">
        <v>84</v>
      </c>
      <c r="BB5" s="70">
        <v>84</v>
      </c>
      <c r="BC5" s="70" t="s">
        <v>95</v>
      </c>
      <c r="BD5" s="70" t="s">
        <v>95</v>
      </c>
      <c r="BE5" s="70">
        <f t="shared" si="68"/>
        <v>23</v>
      </c>
      <c r="BF5" s="70">
        <f t="shared" si="69"/>
        <v>23</v>
      </c>
      <c r="BG5" s="70">
        <f t="shared" si="0"/>
        <v>61</v>
      </c>
      <c r="BH5" s="70">
        <f t="shared" si="1"/>
        <v>61</v>
      </c>
      <c r="BI5" s="70" t="s">
        <v>87</v>
      </c>
      <c r="BJ5" s="70" t="s">
        <v>87</v>
      </c>
      <c r="BK5" s="70" t="s">
        <v>87</v>
      </c>
      <c r="BL5" s="70" t="s">
        <v>87</v>
      </c>
      <c r="BM5" s="70">
        <v>61</v>
      </c>
      <c r="BN5" s="70">
        <v>61</v>
      </c>
      <c r="BO5" s="70" t="s">
        <v>87</v>
      </c>
      <c r="BP5" s="70" t="s">
        <v>87</v>
      </c>
      <c r="BQ5" s="70" t="s">
        <v>87</v>
      </c>
      <c r="BR5" s="70" t="s">
        <v>87</v>
      </c>
      <c r="BS5" s="70" t="s">
        <v>87</v>
      </c>
      <c r="BT5" s="70" t="s">
        <v>87</v>
      </c>
      <c r="BU5" s="70" t="s">
        <v>87</v>
      </c>
      <c r="BV5" s="70" t="s">
        <v>87</v>
      </c>
      <c r="BW5" s="70" t="s">
        <v>87</v>
      </c>
      <c r="BX5" s="70" t="s">
        <v>87</v>
      </c>
      <c r="BY5" s="70" t="s">
        <v>87</v>
      </c>
      <c r="BZ5" s="70" t="s">
        <v>87</v>
      </c>
      <c r="CA5" s="70" t="s">
        <v>87</v>
      </c>
      <c r="CB5" s="70" t="s">
        <v>87</v>
      </c>
      <c r="CC5" s="70" t="s">
        <v>87</v>
      </c>
      <c r="CD5" s="70" t="s">
        <v>87</v>
      </c>
      <c r="CE5" s="70" t="s">
        <v>87</v>
      </c>
      <c r="CF5" s="70" t="s">
        <v>87</v>
      </c>
      <c r="CG5" s="70" t="s">
        <v>87</v>
      </c>
      <c r="CH5" s="70" t="s">
        <v>87</v>
      </c>
      <c r="CI5" s="70" t="s">
        <v>87</v>
      </c>
      <c r="CJ5" s="70" t="s">
        <v>87</v>
      </c>
      <c r="CK5" s="70" t="s">
        <v>87</v>
      </c>
      <c r="CL5" s="70" t="s">
        <v>87</v>
      </c>
      <c r="CM5" s="70" t="s">
        <v>87</v>
      </c>
      <c r="CN5" s="70" t="s">
        <v>87</v>
      </c>
      <c r="CO5" s="70">
        <v>23</v>
      </c>
      <c r="CP5" s="70">
        <v>23</v>
      </c>
      <c r="CQ5" s="70" t="s">
        <v>59</v>
      </c>
      <c r="CR5" s="70" t="s">
        <v>59</v>
      </c>
      <c r="CS5" s="70" t="s">
        <v>88</v>
      </c>
      <c r="CT5" s="70" t="s">
        <v>88</v>
      </c>
      <c r="CU5" s="70" t="s">
        <v>88</v>
      </c>
      <c r="CV5" s="70" t="s">
        <v>88</v>
      </c>
      <c r="CW5" s="70" t="s">
        <v>59</v>
      </c>
      <c r="CX5" s="70" t="s">
        <v>59</v>
      </c>
      <c r="CY5" s="70" t="s">
        <v>59</v>
      </c>
      <c r="CZ5" s="70" t="s">
        <v>59</v>
      </c>
      <c r="DA5" s="70" t="s">
        <v>88</v>
      </c>
      <c r="DB5" s="70" t="s">
        <v>88</v>
      </c>
      <c r="DC5" s="70" t="s">
        <v>88</v>
      </c>
      <c r="DD5" s="70" t="s">
        <v>88</v>
      </c>
      <c r="DE5" s="70" t="s">
        <v>88</v>
      </c>
      <c r="DF5" s="70" t="s">
        <v>88</v>
      </c>
      <c r="DG5" s="70" t="s">
        <v>86</v>
      </c>
      <c r="DH5" s="70" t="s">
        <v>86</v>
      </c>
      <c r="DI5" s="70" t="s">
        <v>88</v>
      </c>
      <c r="DJ5" s="70" t="s">
        <v>88</v>
      </c>
      <c r="DK5" s="70" t="s">
        <v>59</v>
      </c>
      <c r="DL5" s="70" t="s">
        <v>59</v>
      </c>
      <c r="DM5" s="70" t="s">
        <v>59</v>
      </c>
      <c r="DN5" s="59" t="s">
        <v>59</v>
      </c>
      <c r="DO5" s="70" t="s">
        <v>59</v>
      </c>
      <c r="DP5" s="70" t="s">
        <v>59</v>
      </c>
      <c r="DQ5" s="70" t="s">
        <v>59</v>
      </c>
      <c r="DR5" s="70" t="s">
        <v>59</v>
      </c>
      <c r="DS5" s="70" t="s">
        <v>305</v>
      </c>
      <c r="DT5" s="70" t="s">
        <v>305</v>
      </c>
      <c r="DU5" s="70" t="s">
        <v>96</v>
      </c>
      <c r="DV5" s="70" t="s">
        <v>96</v>
      </c>
      <c r="DW5" s="70" t="s">
        <v>97</v>
      </c>
      <c r="DX5" s="70" t="s">
        <v>90</v>
      </c>
      <c r="DY5" s="70">
        <v>1</v>
      </c>
      <c r="DZ5" s="70">
        <v>1</v>
      </c>
      <c r="EA5" s="70">
        <v>1</v>
      </c>
      <c r="EB5" s="70">
        <v>1</v>
      </c>
      <c r="EC5" s="70">
        <v>1</v>
      </c>
      <c r="ED5" s="70">
        <v>1</v>
      </c>
      <c r="EE5" s="70">
        <v>1</v>
      </c>
      <c r="EF5" s="70">
        <v>1</v>
      </c>
      <c r="EG5" s="70">
        <v>1</v>
      </c>
      <c r="EH5" s="70">
        <v>1</v>
      </c>
      <c r="EI5" s="70">
        <v>1</v>
      </c>
      <c r="EJ5" s="70">
        <v>1</v>
      </c>
      <c r="EK5" s="70">
        <v>1</v>
      </c>
      <c r="EL5" s="70">
        <v>1</v>
      </c>
      <c r="EM5" s="70">
        <v>1</v>
      </c>
      <c r="EN5" s="70">
        <v>1</v>
      </c>
      <c r="EO5" s="70">
        <v>1</v>
      </c>
      <c r="EP5" s="70">
        <v>1</v>
      </c>
      <c r="EQ5" s="70">
        <v>1</v>
      </c>
      <c r="ER5" s="70">
        <v>1</v>
      </c>
      <c r="ES5" s="70">
        <f t="shared" si="70"/>
        <v>10</v>
      </c>
      <c r="ET5" s="70">
        <f t="shared" si="70"/>
        <v>10</v>
      </c>
      <c r="EU5" s="74" t="s">
        <v>91</v>
      </c>
      <c r="EV5" s="66">
        <v>2022</v>
      </c>
      <c r="EW5" s="59" t="str">
        <f t="shared" si="2"/>
        <v>Y</v>
      </c>
      <c r="EX5" s="59" t="str">
        <f t="shared" si="3"/>
        <v>Y</v>
      </c>
      <c r="EY5" s="59" t="str">
        <f t="shared" si="4"/>
        <v>Y</v>
      </c>
      <c r="EZ5" s="59" t="str">
        <f t="shared" si="5"/>
        <v>Y</v>
      </c>
      <c r="FA5" s="59" t="str">
        <f t="shared" si="6"/>
        <v>Y</v>
      </c>
      <c r="FB5" s="59" t="str">
        <f t="shared" si="7"/>
        <v>Y</v>
      </c>
      <c r="FC5" s="59" t="str">
        <f t="shared" si="8"/>
        <v>Y</v>
      </c>
      <c r="FD5" s="59" t="str">
        <f t="shared" si="9"/>
        <v>Y</v>
      </c>
      <c r="FE5" s="59" t="str">
        <f t="shared" si="10"/>
        <v>Y</v>
      </c>
      <c r="FF5" s="59" t="str">
        <f t="shared" si="11"/>
        <v>Y</v>
      </c>
      <c r="FG5" s="59" t="str">
        <f t="shared" si="12"/>
        <v>Y</v>
      </c>
      <c r="FH5" s="59" t="str">
        <f t="shared" si="13"/>
        <v>Y</v>
      </c>
      <c r="FI5" s="59" t="str">
        <f t="shared" si="14"/>
        <v>Y</v>
      </c>
      <c r="FJ5" s="59" t="str">
        <f t="shared" si="15"/>
        <v>Y</v>
      </c>
      <c r="FK5" s="59" t="str">
        <f t="shared" si="16"/>
        <v>Y</v>
      </c>
      <c r="FL5" s="59" t="str">
        <f t="shared" si="17"/>
        <v>Y</v>
      </c>
      <c r="FM5" s="59" t="str">
        <f t="shared" si="18"/>
        <v>Y</v>
      </c>
      <c r="FN5" s="59" t="str">
        <f t="shared" si="19"/>
        <v>Y</v>
      </c>
      <c r="FO5" s="59" t="str">
        <f t="shared" si="20"/>
        <v>Y</v>
      </c>
      <c r="FP5" s="59" t="str">
        <f t="shared" si="21"/>
        <v>Y</v>
      </c>
      <c r="FQ5" s="59" t="str">
        <f t="shared" si="22"/>
        <v>Y</v>
      </c>
      <c r="FR5" s="59" t="str">
        <f t="shared" si="23"/>
        <v>Y</v>
      </c>
      <c r="FS5" s="59" t="str">
        <f t="shared" si="24"/>
        <v>Y</v>
      </c>
      <c r="FT5" s="59" t="str">
        <f t="shared" si="25"/>
        <v>Y</v>
      </c>
      <c r="FU5" s="59" t="str">
        <f t="shared" si="26"/>
        <v>Y</v>
      </c>
      <c r="FV5" s="59" t="str">
        <f t="shared" si="27"/>
        <v>Y</v>
      </c>
      <c r="FW5" s="59" t="str">
        <f t="shared" si="28"/>
        <v>Y</v>
      </c>
      <c r="FX5" s="59" t="str">
        <f t="shared" si="29"/>
        <v>Y</v>
      </c>
      <c r="FY5" s="59" t="str">
        <f t="shared" si="30"/>
        <v>Y</v>
      </c>
      <c r="FZ5" s="59" t="str">
        <f t="shared" si="31"/>
        <v>Y</v>
      </c>
      <c r="GA5" s="59" t="str">
        <f t="shared" si="32"/>
        <v>Y</v>
      </c>
      <c r="GB5" s="59" t="str">
        <f t="shared" si="33"/>
        <v>Y</v>
      </c>
      <c r="GC5" s="59" t="str">
        <f t="shared" si="34"/>
        <v>Y</v>
      </c>
      <c r="GD5" s="59" t="str">
        <f t="shared" si="35"/>
        <v>Y</v>
      </c>
      <c r="GE5" s="59" t="str">
        <f t="shared" si="36"/>
        <v>Y</v>
      </c>
      <c r="GF5" s="59" t="str">
        <f t="shared" si="37"/>
        <v>Y</v>
      </c>
      <c r="GG5" s="59" t="str">
        <f t="shared" si="38"/>
        <v>Y</v>
      </c>
      <c r="GH5" s="59" t="str">
        <f t="shared" si="39"/>
        <v>Y</v>
      </c>
      <c r="GI5" s="59" t="str">
        <f t="shared" si="40"/>
        <v>Y</v>
      </c>
      <c r="GJ5" s="59" t="str">
        <f t="shared" si="41"/>
        <v>Y</v>
      </c>
      <c r="GK5" s="59" t="str">
        <f t="shared" si="42"/>
        <v>Y</v>
      </c>
      <c r="GL5" s="59" t="str">
        <f t="shared" si="43"/>
        <v>Y</v>
      </c>
      <c r="GM5" s="59" t="str">
        <f t="shared" si="44"/>
        <v>Y</v>
      </c>
      <c r="GN5" s="59" t="str">
        <f t="shared" si="45"/>
        <v>Y</v>
      </c>
      <c r="GO5" s="59" t="str">
        <f t="shared" si="46"/>
        <v>Y</v>
      </c>
      <c r="GP5" s="59" t="str">
        <f t="shared" si="47"/>
        <v>Y</v>
      </c>
      <c r="GQ5" s="59" t="str">
        <f t="shared" si="48"/>
        <v>Y</v>
      </c>
      <c r="GR5" s="59" t="str">
        <f t="shared" si="49"/>
        <v>Y</v>
      </c>
      <c r="GS5" s="59" t="str">
        <f t="shared" si="50"/>
        <v>Y</v>
      </c>
      <c r="GT5" s="59" t="str">
        <f t="shared" si="51"/>
        <v>Y</v>
      </c>
      <c r="GU5" s="59" t="str">
        <f t="shared" si="52"/>
        <v>Y</v>
      </c>
      <c r="GV5" s="59" t="str">
        <f t="shared" si="53"/>
        <v>Y</v>
      </c>
      <c r="GW5" s="59" t="str">
        <f t="shared" si="54"/>
        <v>Y</v>
      </c>
      <c r="GX5" s="59" t="str">
        <f t="shared" si="55"/>
        <v>Y</v>
      </c>
      <c r="GY5" s="59" t="str">
        <f t="shared" si="56"/>
        <v>Y</v>
      </c>
      <c r="GZ5" s="59" t="str">
        <f t="shared" si="57"/>
        <v>Y</v>
      </c>
      <c r="HA5" s="59" t="str">
        <f t="shared" si="58"/>
        <v>Y</v>
      </c>
      <c r="HB5" s="59" t="str">
        <f t="shared" si="59"/>
        <v>Y</v>
      </c>
      <c r="HC5" s="59" t="str">
        <f t="shared" si="60"/>
        <v>Y</v>
      </c>
      <c r="HD5" s="59" t="str">
        <f t="shared" si="61"/>
        <v>Y</v>
      </c>
      <c r="HE5" s="59" t="str">
        <f t="shared" si="62"/>
        <v>Y</v>
      </c>
      <c r="HF5" s="59" t="str">
        <f t="shared" si="63"/>
        <v>Y</v>
      </c>
      <c r="HG5" s="59" t="str">
        <f t="shared" si="64"/>
        <v>Y</v>
      </c>
      <c r="HH5" s="59" t="str">
        <f t="shared" si="65"/>
        <v>Y</v>
      </c>
      <c r="HI5" s="59" t="str">
        <f t="shared" si="66"/>
        <v>Y</v>
      </c>
      <c r="HJ5" s="68" t="str">
        <f t="shared" si="67"/>
        <v>Y</v>
      </c>
      <c r="HK5" s="59">
        <v>1</v>
      </c>
      <c r="HL5" s="68">
        <v>1</v>
      </c>
    </row>
    <row r="6" spans="1:220" ht="16" x14ac:dyDescent="0.2">
      <c r="A6" s="69" t="s">
        <v>98</v>
      </c>
      <c r="B6" s="70">
        <v>2011</v>
      </c>
      <c r="C6" s="70">
        <v>152</v>
      </c>
      <c r="D6" s="70">
        <v>152</v>
      </c>
      <c r="E6" s="59">
        <v>99</v>
      </c>
      <c r="F6" s="70">
        <v>99</v>
      </c>
      <c r="G6" s="70">
        <v>27.2</v>
      </c>
      <c r="H6" s="70">
        <v>27.2</v>
      </c>
      <c r="I6" s="70">
        <v>30.4</v>
      </c>
      <c r="J6" s="70">
        <v>30.4</v>
      </c>
      <c r="K6" s="70" t="s">
        <v>59</v>
      </c>
      <c r="L6" s="59" t="s">
        <v>59</v>
      </c>
      <c r="M6" s="59">
        <v>156</v>
      </c>
      <c r="N6" s="59">
        <v>156</v>
      </c>
      <c r="O6" s="59">
        <v>52</v>
      </c>
      <c r="P6" s="59">
        <v>52</v>
      </c>
      <c r="Q6" s="59">
        <v>0</v>
      </c>
      <c r="R6" s="59">
        <v>0</v>
      </c>
      <c r="S6" s="59">
        <v>147</v>
      </c>
      <c r="T6" s="59">
        <v>147</v>
      </c>
      <c r="U6" s="70">
        <v>351</v>
      </c>
      <c r="V6" s="70">
        <v>351</v>
      </c>
      <c r="W6" s="70">
        <v>0</v>
      </c>
      <c r="X6" s="70">
        <v>0</v>
      </c>
      <c r="Y6" s="70">
        <v>0</v>
      </c>
      <c r="Z6" s="70">
        <v>0</v>
      </c>
      <c r="AA6" s="70">
        <v>0</v>
      </c>
      <c r="AB6" s="70">
        <v>0</v>
      </c>
      <c r="AC6" s="59" t="s">
        <v>343</v>
      </c>
      <c r="AD6" s="59" t="s">
        <v>83</v>
      </c>
      <c r="AE6" s="70" t="s">
        <v>83</v>
      </c>
      <c r="AF6" s="70" t="s">
        <v>84</v>
      </c>
      <c r="AG6" s="70" t="s">
        <v>85</v>
      </c>
      <c r="AH6" s="70" t="s">
        <v>85</v>
      </c>
      <c r="AI6" s="70" t="s">
        <v>86</v>
      </c>
      <c r="AJ6" s="70" t="s">
        <v>86</v>
      </c>
      <c r="AK6" s="70" t="s">
        <v>86</v>
      </c>
      <c r="AL6" s="70" t="s">
        <v>86</v>
      </c>
      <c r="AM6" s="70">
        <v>351</v>
      </c>
      <c r="AN6" s="70">
        <v>351</v>
      </c>
      <c r="AO6" s="70">
        <v>0</v>
      </c>
      <c r="AP6" s="70">
        <v>0</v>
      </c>
      <c r="AQ6" s="70">
        <v>0</v>
      </c>
      <c r="AR6" s="70">
        <v>0</v>
      </c>
      <c r="AS6" s="71" t="s">
        <v>59</v>
      </c>
      <c r="AT6" s="72" t="s">
        <v>59</v>
      </c>
      <c r="AU6" s="71" t="s">
        <v>59</v>
      </c>
      <c r="AV6" s="72" t="s">
        <v>59</v>
      </c>
      <c r="AW6" s="71" t="s">
        <v>59</v>
      </c>
      <c r="AX6" s="72" t="s">
        <v>59</v>
      </c>
      <c r="AY6" s="70">
        <v>351</v>
      </c>
      <c r="AZ6" s="70">
        <v>351</v>
      </c>
      <c r="BA6" s="70">
        <v>134</v>
      </c>
      <c r="BB6" s="70">
        <v>134</v>
      </c>
      <c r="BC6" s="70" t="s">
        <v>99</v>
      </c>
      <c r="BD6" s="70" t="s">
        <v>99</v>
      </c>
      <c r="BE6" s="70">
        <f t="shared" si="68"/>
        <v>0</v>
      </c>
      <c r="BF6" s="70">
        <f t="shared" si="69"/>
        <v>0</v>
      </c>
      <c r="BG6" s="70">
        <f t="shared" si="0"/>
        <v>134</v>
      </c>
      <c r="BH6" s="70">
        <f t="shared" si="1"/>
        <v>134</v>
      </c>
      <c r="BI6" s="70" t="s">
        <v>87</v>
      </c>
      <c r="BJ6" s="70" t="s">
        <v>87</v>
      </c>
      <c r="BK6" s="70" t="s">
        <v>87</v>
      </c>
      <c r="BL6" s="70" t="s">
        <v>87</v>
      </c>
      <c r="BM6" s="70">
        <v>134</v>
      </c>
      <c r="BN6" s="70">
        <v>134</v>
      </c>
      <c r="BO6" s="70" t="s">
        <v>87</v>
      </c>
      <c r="BP6" s="70" t="s">
        <v>87</v>
      </c>
      <c r="BQ6" s="70" t="s">
        <v>87</v>
      </c>
      <c r="BR6" s="70" t="s">
        <v>87</v>
      </c>
      <c r="BS6" s="70" t="s">
        <v>87</v>
      </c>
      <c r="BT6" s="70" t="s">
        <v>87</v>
      </c>
      <c r="BU6" s="70" t="s">
        <v>87</v>
      </c>
      <c r="BV6" s="70" t="s">
        <v>87</v>
      </c>
      <c r="BW6" s="70" t="s">
        <v>87</v>
      </c>
      <c r="BX6" s="70" t="s">
        <v>87</v>
      </c>
      <c r="BY6" s="70" t="s">
        <v>87</v>
      </c>
      <c r="BZ6" s="70" t="s">
        <v>87</v>
      </c>
      <c r="CA6" s="70" t="s">
        <v>87</v>
      </c>
      <c r="CB6" s="70" t="s">
        <v>87</v>
      </c>
      <c r="CC6" s="70" t="s">
        <v>87</v>
      </c>
      <c r="CD6" s="70" t="s">
        <v>87</v>
      </c>
      <c r="CE6" s="70" t="s">
        <v>87</v>
      </c>
      <c r="CF6" s="70" t="s">
        <v>87</v>
      </c>
      <c r="CG6" s="70" t="s">
        <v>87</v>
      </c>
      <c r="CH6" s="70" t="s">
        <v>87</v>
      </c>
      <c r="CI6" s="70" t="s">
        <v>87</v>
      </c>
      <c r="CJ6" s="70" t="s">
        <v>87</v>
      </c>
      <c r="CK6" s="70" t="s">
        <v>87</v>
      </c>
      <c r="CL6" s="70" t="s">
        <v>87</v>
      </c>
      <c r="CM6" s="70" t="s">
        <v>87</v>
      </c>
      <c r="CN6" s="70" t="s">
        <v>87</v>
      </c>
      <c r="CO6" s="70" t="s">
        <v>87</v>
      </c>
      <c r="CP6" s="70" t="s">
        <v>87</v>
      </c>
      <c r="CQ6" s="70" t="s">
        <v>59</v>
      </c>
      <c r="CR6" s="70" t="s">
        <v>59</v>
      </c>
      <c r="CS6" s="70" t="s">
        <v>59</v>
      </c>
      <c r="CT6" s="70" t="s">
        <v>59</v>
      </c>
      <c r="CU6" s="70" t="s">
        <v>59</v>
      </c>
      <c r="CV6" s="70" t="s">
        <v>59</v>
      </c>
      <c r="CW6" s="70" t="s">
        <v>59</v>
      </c>
      <c r="CX6" s="70" t="s">
        <v>59</v>
      </c>
      <c r="CY6" s="70" t="s">
        <v>59</v>
      </c>
      <c r="CZ6" s="70" t="s">
        <v>59</v>
      </c>
      <c r="DA6" s="70" t="s">
        <v>59</v>
      </c>
      <c r="DB6" s="70" t="s">
        <v>59</v>
      </c>
      <c r="DC6" s="70" t="s">
        <v>88</v>
      </c>
      <c r="DD6" s="70" t="s">
        <v>88</v>
      </c>
      <c r="DE6" s="70" t="s">
        <v>88</v>
      </c>
      <c r="DF6" s="70" t="s">
        <v>88</v>
      </c>
      <c r="DG6" s="70" t="s">
        <v>86</v>
      </c>
      <c r="DH6" s="70" t="s">
        <v>86</v>
      </c>
      <c r="DI6" s="70" t="s">
        <v>59</v>
      </c>
      <c r="DJ6" s="70" t="s">
        <v>59</v>
      </c>
      <c r="DK6" s="70" t="s">
        <v>59</v>
      </c>
      <c r="DL6" s="70" t="s">
        <v>59</v>
      </c>
      <c r="DM6" s="70" t="s">
        <v>59</v>
      </c>
      <c r="DN6" s="59" t="s">
        <v>59</v>
      </c>
      <c r="DO6" s="70" t="s">
        <v>59</v>
      </c>
      <c r="DP6" s="70" t="s">
        <v>59</v>
      </c>
      <c r="DQ6" s="70" t="s">
        <v>59</v>
      </c>
      <c r="DR6" s="70" t="s">
        <v>59</v>
      </c>
      <c r="DS6" s="70" t="s">
        <v>305</v>
      </c>
      <c r="DT6" s="70" t="s">
        <v>305</v>
      </c>
      <c r="DU6" s="70" t="s">
        <v>89</v>
      </c>
      <c r="DV6" s="70" t="s">
        <v>89</v>
      </c>
      <c r="DW6" s="70" t="s">
        <v>90</v>
      </c>
      <c r="DX6" s="70" t="s">
        <v>90</v>
      </c>
      <c r="DY6" s="70">
        <v>1</v>
      </c>
      <c r="DZ6" s="70">
        <v>1</v>
      </c>
      <c r="EA6" s="70">
        <v>0</v>
      </c>
      <c r="EB6" s="70">
        <v>0</v>
      </c>
      <c r="EC6" s="70">
        <v>1</v>
      </c>
      <c r="ED6" s="70">
        <v>1</v>
      </c>
      <c r="EE6" s="70">
        <v>1</v>
      </c>
      <c r="EF6" s="70">
        <v>1</v>
      </c>
      <c r="EG6" s="70">
        <v>1</v>
      </c>
      <c r="EH6" s="70">
        <v>1</v>
      </c>
      <c r="EI6" s="70">
        <v>1</v>
      </c>
      <c r="EJ6" s="70">
        <v>1</v>
      </c>
      <c r="EK6" s="70">
        <v>1</v>
      </c>
      <c r="EL6" s="70">
        <v>1</v>
      </c>
      <c r="EM6" s="70">
        <v>1</v>
      </c>
      <c r="EN6" s="70">
        <v>1</v>
      </c>
      <c r="EO6" s="70">
        <v>1</v>
      </c>
      <c r="EP6" s="70">
        <v>1</v>
      </c>
      <c r="EQ6" s="70">
        <v>1</v>
      </c>
      <c r="ER6" s="70">
        <v>1</v>
      </c>
      <c r="ES6" s="70">
        <f t="shared" si="70"/>
        <v>9</v>
      </c>
      <c r="ET6" s="70">
        <f t="shared" si="70"/>
        <v>9</v>
      </c>
      <c r="EU6" s="74" t="s">
        <v>98</v>
      </c>
      <c r="EV6" s="66">
        <v>2011</v>
      </c>
      <c r="EW6" s="59" t="str">
        <f t="shared" si="2"/>
        <v>Y</v>
      </c>
      <c r="EX6" s="59" t="str">
        <f t="shared" si="3"/>
        <v>Y</v>
      </c>
      <c r="EY6" s="59" t="str">
        <f t="shared" si="4"/>
        <v>Y</v>
      </c>
      <c r="EZ6" s="59" t="str">
        <f t="shared" si="5"/>
        <v>Y</v>
      </c>
      <c r="FA6" s="59" t="str">
        <f t="shared" si="6"/>
        <v>Y</v>
      </c>
      <c r="FB6" s="59" t="str">
        <f t="shared" si="7"/>
        <v>Y</v>
      </c>
      <c r="FC6" s="59" t="str">
        <f t="shared" si="8"/>
        <v>Y</v>
      </c>
      <c r="FD6" s="59" t="str">
        <f t="shared" si="9"/>
        <v>Y</v>
      </c>
      <c r="FE6" s="59" t="str">
        <f t="shared" si="10"/>
        <v>Y</v>
      </c>
      <c r="FF6" s="59" t="str">
        <f t="shared" si="11"/>
        <v>Y</v>
      </c>
      <c r="FG6" s="59" t="str">
        <f t="shared" si="12"/>
        <v>Y</v>
      </c>
      <c r="FH6" s="59" t="str">
        <f t="shared" si="13"/>
        <v>Y</v>
      </c>
      <c r="FI6" s="59" t="str">
        <f t="shared" si="14"/>
        <v>Y</v>
      </c>
      <c r="FJ6" s="59" t="str">
        <f t="shared" si="15"/>
        <v>Y</v>
      </c>
      <c r="FK6" s="59" t="str">
        <f t="shared" si="16"/>
        <v>Y</v>
      </c>
      <c r="FL6" s="59" t="str">
        <f t="shared" si="17"/>
        <v>Y</v>
      </c>
      <c r="FM6" s="59" t="str">
        <f t="shared" si="18"/>
        <v>Y</v>
      </c>
      <c r="FN6" s="59" t="str">
        <f t="shared" si="19"/>
        <v>Y</v>
      </c>
      <c r="FO6" s="59" t="str">
        <f t="shared" si="20"/>
        <v>Y</v>
      </c>
      <c r="FP6" s="59" t="str">
        <f t="shared" si="21"/>
        <v>Y</v>
      </c>
      <c r="FQ6" s="59" t="str">
        <f t="shared" si="22"/>
        <v>Y</v>
      </c>
      <c r="FR6" s="59" t="str">
        <f t="shared" si="23"/>
        <v>Y</v>
      </c>
      <c r="FS6" s="59" t="str">
        <f t="shared" si="24"/>
        <v>Y</v>
      </c>
      <c r="FT6" s="59" t="str">
        <f t="shared" si="25"/>
        <v>Y</v>
      </c>
      <c r="FU6" s="59" t="str">
        <f t="shared" si="26"/>
        <v>Y</v>
      </c>
      <c r="FV6" s="59" t="str">
        <f t="shared" si="27"/>
        <v>Y</v>
      </c>
      <c r="FW6" s="59" t="str">
        <f t="shared" si="28"/>
        <v>Y</v>
      </c>
      <c r="FX6" s="59" t="str">
        <f t="shared" si="29"/>
        <v>Y</v>
      </c>
      <c r="FY6" s="59" t="str">
        <f t="shared" si="30"/>
        <v>Y</v>
      </c>
      <c r="FZ6" s="59" t="str">
        <f t="shared" si="31"/>
        <v>Y</v>
      </c>
      <c r="GA6" s="59" t="str">
        <f t="shared" si="32"/>
        <v>Y</v>
      </c>
      <c r="GB6" s="59" t="str">
        <f t="shared" si="33"/>
        <v>Y</v>
      </c>
      <c r="GC6" s="59" t="str">
        <f t="shared" si="34"/>
        <v>Y</v>
      </c>
      <c r="GD6" s="59" t="str">
        <f t="shared" si="35"/>
        <v>Y</v>
      </c>
      <c r="GE6" s="59" t="str">
        <f t="shared" si="36"/>
        <v>Y</v>
      </c>
      <c r="GF6" s="59" t="str">
        <f t="shared" si="37"/>
        <v>Y</v>
      </c>
      <c r="GG6" s="59" t="str">
        <f t="shared" si="38"/>
        <v>Y</v>
      </c>
      <c r="GH6" s="59" t="str">
        <f t="shared" si="39"/>
        <v>Y</v>
      </c>
      <c r="GI6" s="59" t="str">
        <f t="shared" si="40"/>
        <v>Y</v>
      </c>
      <c r="GJ6" s="59" t="str">
        <f t="shared" si="41"/>
        <v>Y</v>
      </c>
      <c r="GK6" s="59" t="str">
        <f t="shared" si="42"/>
        <v>Y</v>
      </c>
      <c r="GL6" s="59" t="str">
        <f t="shared" si="43"/>
        <v>Y</v>
      </c>
      <c r="GM6" s="59" t="str">
        <f t="shared" si="44"/>
        <v>Y</v>
      </c>
      <c r="GN6" s="59" t="str">
        <f t="shared" si="45"/>
        <v>Y</v>
      </c>
      <c r="GO6" s="59" t="str">
        <f t="shared" si="46"/>
        <v>Y</v>
      </c>
      <c r="GP6" s="59" t="str">
        <f t="shared" si="47"/>
        <v>Y</v>
      </c>
      <c r="GQ6" s="59" t="str">
        <f t="shared" si="48"/>
        <v>Y</v>
      </c>
      <c r="GR6" s="59" t="str">
        <f t="shared" si="49"/>
        <v>Y</v>
      </c>
      <c r="GS6" s="59" t="str">
        <f t="shared" si="50"/>
        <v>Y</v>
      </c>
      <c r="GT6" s="59" t="str">
        <f t="shared" si="51"/>
        <v>Y</v>
      </c>
      <c r="GU6" s="59" t="str">
        <f t="shared" si="52"/>
        <v>Y</v>
      </c>
      <c r="GV6" s="59" t="str">
        <f t="shared" si="53"/>
        <v>Y</v>
      </c>
      <c r="GW6" s="59" t="str">
        <f t="shared" si="54"/>
        <v>Y</v>
      </c>
      <c r="GX6" s="59" t="str">
        <f t="shared" si="55"/>
        <v>Y</v>
      </c>
      <c r="GY6" s="59" t="str">
        <f t="shared" si="56"/>
        <v>Y</v>
      </c>
      <c r="GZ6" s="59" t="str">
        <f t="shared" si="57"/>
        <v>Y</v>
      </c>
      <c r="HA6" s="59" t="str">
        <f t="shared" si="58"/>
        <v>Y</v>
      </c>
      <c r="HB6" s="59" t="str">
        <f t="shared" si="59"/>
        <v>Y</v>
      </c>
      <c r="HC6" s="59" t="str">
        <f t="shared" si="60"/>
        <v>Y</v>
      </c>
      <c r="HD6" s="59" t="str">
        <f t="shared" si="61"/>
        <v>Y</v>
      </c>
      <c r="HE6" s="59" t="str">
        <f t="shared" si="62"/>
        <v>Y</v>
      </c>
      <c r="HF6" s="59" t="str">
        <f t="shared" si="63"/>
        <v>Y</v>
      </c>
      <c r="HG6" s="59" t="str">
        <f t="shared" si="64"/>
        <v>Y</v>
      </c>
      <c r="HH6" s="59" t="str">
        <f t="shared" si="65"/>
        <v>Y</v>
      </c>
      <c r="HI6" s="59" t="str">
        <f t="shared" si="66"/>
        <v>Y</v>
      </c>
      <c r="HJ6" s="68" t="str">
        <f t="shared" si="67"/>
        <v>Y</v>
      </c>
      <c r="HK6" s="59"/>
      <c r="HL6" s="68"/>
    </row>
    <row r="7" spans="1:220" ht="16" x14ac:dyDescent="0.2">
      <c r="A7" s="69" t="s">
        <v>100</v>
      </c>
      <c r="B7" s="70">
        <v>2020</v>
      </c>
      <c r="C7" s="70">
        <v>32</v>
      </c>
      <c r="D7" s="70">
        <v>32</v>
      </c>
      <c r="E7" s="59">
        <v>44</v>
      </c>
      <c r="F7" s="70">
        <v>44</v>
      </c>
      <c r="G7" s="70" t="s">
        <v>59</v>
      </c>
      <c r="H7" s="70" t="s">
        <v>59</v>
      </c>
      <c r="I7" s="70" t="s">
        <v>59</v>
      </c>
      <c r="J7" s="70" t="s">
        <v>59</v>
      </c>
      <c r="K7" s="70">
        <v>37.22</v>
      </c>
      <c r="L7" s="59">
        <v>37.22</v>
      </c>
      <c r="M7" s="59" t="s">
        <v>59</v>
      </c>
      <c r="N7" s="59" t="s">
        <v>59</v>
      </c>
      <c r="O7" s="59" t="s">
        <v>59</v>
      </c>
      <c r="P7" s="59" t="s">
        <v>59</v>
      </c>
      <c r="Q7" s="59" t="s">
        <v>59</v>
      </c>
      <c r="R7" s="59" t="s">
        <v>59</v>
      </c>
      <c r="S7" s="59" t="s">
        <v>59</v>
      </c>
      <c r="T7" s="59" t="s">
        <v>59</v>
      </c>
      <c r="U7" s="70">
        <v>0</v>
      </c>
      <c r="V7" s="70">
        <v>0</v>
      </c>
      <c r="W7" s="70">
        <v>76</v>
      </c>
      <c r="X7" s="70">
        <v>76</v>
      </c>
      <c r="Y7" s="70">
        <v>0</v>
      </c>
      <c r="Z7" s="70">
        <v>0</v>
      </c>
      <c r="AA7" s="70">
        <v>0</v>
      </c>
      <c r="AB7" s="70">
        <v>0</v>
      </c>
      <c r="AC7" s="59" t="s">
        <v>101</v>
      </c>
      <c r="AD7" s="59" t="s">
        <v>102</v>
      </c>
      <c r="AE7" s="70" t="s">
        <v>102</v>
      </c>
      <c r="AF7" s="70" t="s">
        <v>103</v>
      </c>
      <c r="AG7" s="70" t="s">
        <v>86</v>
      </c>
      <c r="AH7" s="70" t="s">
        <v>86</v>
      </c>
      <c r="AI7" s="70" t="s">
        <v>85</v>
      </c>
      <c r="AJ7" s="70" t="s">
        <v>85</v>
      </c>
      <c r="AK7" s="70" t="s">
        <v>85</v>
      </c>
      <c r="AL7" s="70" t="s">
        <v>85</v>
      </c>
      <c r="AM7" s="70">
        <v>15</v>
      </c>
      <c r="AN7" s="70">
        <v>15</v>
      </c>
      <c r="AO7" s="70">
        <v>61</v>
      </c>
      <c r="AP7" s="70">
        <v>61</v>
      </c>
      <c r="AQ7" s="70">
        <v>0</v>
      </c>
      <c r="AR7" s="70">
        <v>0</v>
      </c>
      <c r="AS7" s="71" t="s">
        <v>59</v>
      </c>
      <c r="AT7" s="72" t="s">
        <v>59</v>
      </c>
      <c r="AU7" s="71" t="s">
        <v>59</v>
      </c>
      <c r="AV7" s="72" t="s">
        <v>59</v>
      </c>
      <c r="AW7" s="71" t="s">
        <v>59</v>
      </c>
      <c r="AX7" s="72" t="s">
        <v>59</v>
      </c>
      <c r="AY7" s="70">
        <v>76</v>
      </c>
      <c r="AZ7" s="70">
        <v>76</v>
      </c>
      <c r="BA7" s="70">
        <v>4</v>
      </c>
      <c r="BB7" s="70">
        <v>4</v>
      </c>
      <c r="BC7" s="70" t="s">
        <v>95</v>
      </c>
      <c r="BD7" s="70" t="s">
        <v>95</v>
      </c>
      <c r="BE7" s="70">
        <f t="shared" si="68"/>
        <v>3</v>
      </c>
      <c r="BF7" s="70">
        <f t="shared" si="69"/>
        <v>3</v>
      </c>
      <c r="BG7" s="70">
        <f t="shared" si="0"/>
        <v>1</v>
      </c>
      <c r="BH7" s="70">
        <f t="shared" si="1"/>
        <v>1</v>
      </c>
      <c r="BI7" s="70">
        <v>3</v>
      </c>
      <c r="BJ7" s="70">
        <v>3</v>
      </c>
      <c r="BK7" s="70">
        <v>0</v>
      </c>
      <c r="BL7" s="70">
        <v>0</v>
      </c>
      <c r="BM7" s="70">
        <v>1</v>
      </c>
      <c r="BN7" s="70">
        <v>1</v>
      </c>
      <c r="BO7" s="70">
        <v>0</v>
      </c>
      <c r="BP7" s="70">
        <v>0</v>
      </c>
      <c r="BQ7" s="70">
        <v>0</v>
      </c>
      <c r="BR7" s="70">
        <v>0</v>
      </c>
      <c r="BS7" s="70">
        <v>0</v>
      </c>
      <c r="BT7" s="70">
        <v>0</v>
      </c>
      <c r="BU7" s="70">
        <v>0</v>
      </c>
      <c r="BV7" s="70">
        <v>0</v>
      </c>
      <c r="BW7" s="70">
        <v>0</v>
      </c>
      <c r="BX7" s="70">
        <v>0</v>
      </c>
      <c r="BY7" s="70">
        <v>0</v>
      </c>
      <c r="BZ7" s="70">
        <v>0</v>
      </c>
      <c r="CA7" s="70">
        <v>0</v>
      </c>
      <c r="CB7" s="70">
        <v>0</v>
      </c>
      <c r="CC7" s="70">
        <v>0</v>
      </c>
      <c r="CD7" s="70">
        <v>0</v>
      </c>
      <c r="CE7" s="70">
        <v>0</v>
      </c>
      <c r="CF7" s="70">
        <v>0</v>
      </c>
      <c r="CG7" s="70">
        <v>0</v>
      </c>
      <c r="CH7" s="70">
        <v>0</v>
      </c>
      <c r="CI7" s="70">
        <v>0</v>
      </c>
      <c r="CJ7" s="70">
        <v>0</v>
      </c>
      <c r="CK7" s="70">
        <v>0</v>
      </c>
      <c r="CL7" s="70">
        <v>0</v>
      </c>
      <c r="CM7" s="70">
        <v>0</v>
      </c>
      <c r="CN7" s="70">
        <v>0</v>
      </c>
      <c r="CO7" s="70">
        <v>0</v>
      </c>
      <c r="CP7" s="70">
        <v>0</v>
      </c>
      <c r="CQ7" s="70" t="s">
        <v>88</v>
      </c>
      <c r="CR7" s="70" t="s">
        <v>88</v>
      </c>
      <c r="CS7" s="70" t="s">
        <v>59</v>
      </c>
      <c r="CT7" s="70" t="s">
        <v>59</v>
      </c>
      <c r="CU7" s="70" t="s">
        <v>59</v>
      </c>
      <c r="CV7" s="70" t="s">
        <v>59</v>
      </c>
      <c r="CW7" s="70" t="s">
        <v>88</v>
      </c>
      <c r="CX7" s="70" t="s">
        <v>88</v>
      </c>
      <c r="CY7" s="70" t="s">
        <v>88</v>
      </c>
      <c r="CZ7" s="70" t="s">
        <v>88</v>
      </c>
      <c r="DA7" s="70" t="s">
        <v>88</v>
      </c>
      <c r="DB7" s="70" t="s">
        <v>88</v>
      </c>
      <c r="DC7" s="70" t="s">
        <v>88</v>
      </c>
      <c r="DD7" s="70" t="s">
        <v>88</v>
      </c>
      <c r="DE7" s="70" t="s">
        <v>88</v>
      </c>
      <c r="DF7" s="70" t="s">
        <v>88</v>
      </c>
      <c r="DG7" s="70" t="s">
        <v>59</v>
      </c>
      <c r="DH7" s="70" t="s">
        <v>59</v>
      </c>
      <c r="DI7" s="70" t="s">
        <v>59</v>
      </c>
      <c r="DJ7" s="70" t="s">
        <v>59</v>
      </c>
      <c r="DK7" s="70" t="s">
        <v>59</v>
      </c>
      <c r="DL7" s="70" t="s">
        <v>59</v>
      </c>
      <c r="DM7" s="70" t="s">
        <v>59</v>
      </c>
      <c r="DN7" s="59" t="s">
        <v>59</v>
      </c>
      <c r="DO7" s="70" t="s">
        <v>59</v>
      </c>
      <c r="DP7" s="70" t="s">
        <v>59</v>
      </c>
      <c r="DQ7" s="70" t="s">
        <v>59</v>
      </c>
      <c r="DR7" s="70" t="s">
        <v>59</v>
      </c>
      <c r="DS7" s="70" t="s">
        <v>305</v>
      </c>
      <c r="DT7" s="70" t="s">
        <v>305</v>
      </c>
      <c r="DU7" s="70" t="s">
        <v>59</v>
      </c>
      <c r="DV7" s="70" t="s">
        <v>59</v>
      </c>
      <c r="DW7" s="70" t="s">
        <v>104</v>
      </c>
      <c r="DX7" s="70" t="s">
        <v>104</v>
      </c>
      <c r="DY7" s="70">
        <v>1</v>
      </c>
      <c r="DZ7" s="70">
        <v>1</v>
      </c>
      <c r="EA7" s="70">
        <v>1</v>
      </c>
      <c r="EB7" s="70">
        <v>1</v>
      </c>
      <c r="EC7" s="70">
        <v>1</v>
      </c>
      <c r="ED7" s="70">
        <v>1</v>
      </c>
      <c r="EE7" s="70">
        <v>1</v>
      </c>
      <c r="EF7" s="70">
        <v>1</v>
      </c>
      <c r="EG7" s="70">
        <v>1</v>
      </c>
      <c r="EH7" s="70">
        <v>1</v>
      </c>
      <c r="EI7" s="70">
        <v>1</v>
      </c>
      <c r="EJ7" s="70">
        <v>1</v>
      </c>
      <c r="EK7" s="70">
        <v>1</v>
      </c>
      <c r="EL7" s="70">
        <v>1</v>
      </c>
      <c r="EM7" s="70">
        <v>1</v>
      </c>
      <c r="EN7" s="70">
        <v>1</v>
      </c>
      <c r="EO7" s="70">
        <v>1</v>
      </c>
      <c r="EP7" s="70">
        <v>1</v>
      </c>
      <c r="EQ7" s="70">
        <v>1</v>
      </c>
      <c r="ER7" s="70">
        <v>1</v>
      </c>
      <c r="ES7" s="70">
        <f t="shared" si="70"/>
        <v>10</v>
      </c>
      <c r="ET7" s="70">
        <f t="shared" si="70"/>
        <v>10</v>
      </c>
      <c r="EU7" s="74" t="s">
        <v>100</v>
      </c>
      <c r="EV7" s="66">
        <v>2020</v>
      </c>
      <c r="EW7" s="59" t="str">
        <f t="shared" si="2"/>
        <v>Y</v>
      </c>
      <c r="EX7" s="59" t="str">
        <f t="shared" si="3"/>
        <v>Y</v>
      </c>
      <c r="EY7" s="59" t="str">
        <f t="shared" si="4"/>
        <v>Y</v>
      </c>
      <c r="EZ7" s="59" t="str">
        <f t="shared" si="5"/>
        <v>Y</v>
      </c>
      <c r="FA7" s="59" t="str">
        <f t="shared" si="6"/>
        <v>Y</v>
      </c>
      <c r="FB7" s="59" t="str">
        <f t="shared" si="7"/>
        <v>Y</v>
      </c>
      <c r="FC7" s="59" t="str">
        <f t="shared" si="8"/>
        <v>Y</v>
      </c>
      <c r="FD7" s="59" t="str">
        <f t="shared" si="9"/>
        <v>Y</v>
      </c>
      <c r="FE7" s="59" t="str">
        <f t="shared" si="10"/>
        <v>Y</v>
      </c>
      <c r="FF7" s="59" t="str">
        <f t="shared" si="11"/>
        <v>Y</v>
      </c>
      <c r="FG7" s="59" t="str">
        <f t="shared" si="12"/>
        <v>Y</v>
      </c>
      <c r="FH7" s="59" t="str">
        <f t="shared" si="13"/>
        <v>Y</v>
      </c>
      <c r="FI7" s="59" t="str">
        <f t="shared" si="14"/>
        <v>Y</v>
      </c>
      <c r="FJ7" s="59" t="str">
        <f t="shared" si="15"/>
        <v>Y</v>
      </c>
      <c r="FK7" s="59" t="str">
        <f t="shared" si="16"/>
        <v>Y</v>
      </c>
      <c r="FL7" s="59" t="str">
        <f t="shared" si="17"/>
        <v>Y</v>
      </c>
      <c r="FM7" s="59" t="str">
        <f t="shared" si="18"/>
        <v>Y</v>
      </c>
      <c r="FN7" s="59" t="str">
        <f t="shared" si="19"/>
        <v>Y</v>
      </c>
      <c r="FO7" s="59" t="str">
        <f t="shared" si="20"/>
        <v>Y</v>
      </c>
      <c r="FP7" s="59" t="str">
        <f t="shared" si="21"/>
        <v>Y</v>
      </c>
      <c r="FQ7" s="59" t="str">
        <f t="shared" si="22"/>
        <v>Y</v>
      </c>
      <c r="FR7" s="59" t="str">
        <f t="shared" si="23"/>
        <v>Y</v>
      </c>
      <c r="FS7" s="59" t="str">
        <f t="shared" si="24"/>
        <v>Y</v>
      </c>
      <c r="FT7" s="59" t="str">
        <f t="shared" si="25"/>
        <v>Y</v>
      </c>
      <c r="FU7" s="59" t="str">
        <f t="shared" si="26"/>
        <v>Y</v>
      </c>
      <c r="FV7" s="59" t="str">
        <f t="shared" si="27"/>
        <v>Y</v>
      </c>
      <c r="FW7" s="59" t="str">
        <f t="shared" si="28"/>
        <v>Y</v>
      </c>
      <c r="FX7" s="59" t="str">
        <f t="shared" si="29"/>
        <v>Y</v>
      </c>
      <c r="FY7" s="59" t="str">
        <f t="shared" si="30"/>
        <v>Y</v>
      </c>
      <c r="FZ7" s="59" t="str">
        <f t="shared" si="31"/>
        <v>Y</v>
      </c>
      <c r="GA7" s="59" t="str">
        <f t="shared" si="32"/>
        <v>Y</v>
      </c>
      <c r="GB7" s="59" t="str">
        <f t="shared" si="33"/>
        <v>Y</v>
      </c>
      <c r="GC7" s="59" t="str">
        <f t="shared" si="34"/>
        <v>Y</v>
      </c>
      <c r="GD7" s="59" t="str">
        <f t="shared" si="35"/>
        <v>Y</v>
      </c>
      <c r="GE7" s="59" t="str">
        <f t="shared" si="36"/>
        <v>Y</v>
      </c>
      <c r="GF7" s="59" t="str">
        <f t="shared" si="37"/>
        <v>Y</v>
      </c>
      <c r="GG7" s="59" t="str">
        <f t="shared" si="38"/>
        <v>Y</v>
      </c>
      <c r="GH7" s="59" t="str">
        <f t="shared" si="39"/>
        <v>Y</v>
      </c>
      <c r="GI7" s="59" t="str">
        <f t="shared" si="40"/>
        <v>Y</v>
      </c>
      <c r="GJ7" s="59" t="str">
        <f t="shared" si="41"/>
        <v>Y</v>
      </c>
      <c r="GK7" s="59" t="str">
        <f t="shared" si="42"/>
        <v>Y</v>
      </c>
      <c r="GL7" s="59" t="str">
        <f t="shared" si="43"/>
        <v>Y</v>
      </c>
      <c r="GM7" s="59" t="str">
        <f t="shared" si="44"/>
        <v>Y</v>
      </c>
      <c r="GN7" s="59" t="str">
        <f t="shared" si="45"/>
        <v>Y</v>
      </c>
      <c r="GO7" s="59" t="str">
        <f t="shared" si="46"/>
        <v>Y</v>
      </c>
      <c r="GP7" s="59" t="str">
        <f t="shared" si="47"/>
        <v>Y</v>
      </c>
      <c r="GQ7" s="59" t="str">
        <f t="shared" si="48"/>
        <v>Y</v>
      </c>
      <c r="GR7" s="59" t="str">
        <f t="shared" si="49"/>
        <v>Y</v>
      </c>
      <c r="GS7" s="59" t="str">
        <f t="shared" si="50"/>
        <v>Y</v>
      </c>
      <c r="GT7" s="59" t="str">
        <f t="shared" si="51"/>
        <v>Y</v>
      </c>
      <c r="GU7" s="59" t="str">
        <f t="shared" si="52"/>
        <v>Y</v>
      </c>
      <c r="GV7" s="59" t="str">
        <f t="shared" si="53"/>
        <v>Y</v>
      </c>
      <c r="GW7" s="59" t="str">
        <f t="shared" si="54"/>
        <v>Y</v>
      </c>
      <c r="GX7" s="59" t="str">
        <f t="shared" si="55"/>
        <v>Y</v>
      </c>
      <c r="GY7" s="59" t="str">
        <f t="shared" si="56"/>
        <v>Y</v>
      </c>
      <c r="GZ7" s="59" t="str">
        <f t="shared" si="57"/>
        <v>Y</v>
      </c>
      <c r="HA7" s="59" t="str">
        <f t="shared" si="58"/>
        <v>Y</v>
      </c>
      <c r="HB7" s="59" t="str">
        <f t="shared" si="59"/>
        <v>Y</v>
      </c>
      <c r="HC7" s="59" t="str">
        <f t="shared" si="60"/>
        <v>Y</v>
      </c>
      <c r="HD7" s="59" t="str">
        <f t="shared" si="61"/>
        <v>Y</v>
      </c>
      <c r="HE7" s="59" t="str">
        <f t="shared" si="62"/>
        <v>Y</v>
      </c>
      <c r="HF7" s="59" t="str">
        <f t="shared" si="63"/>
        <v>Y</v>
      </c>
      <c r="HG7" s="59" t="str">
        <f t="shared" si="64"/>
        <v>Y</v>
      </c>
      <c r="HH7" s="59" t="str">
        <f t="shared" si="65"/>
        <v>Y</v>
      </c>
      <c r="HI7" s="59" t="str">
        <f t="shared" si="66"/>
        <v>Y</v>
      </c>
      <c r="HJ7" s="68" t="str">
        <f t="shared" si="67"/>
        <v>Y</v>
      </c>
      <c r="HK7" s="59"/>
      <c r="HL7" s="68"/>
    </row>
    <row r="8" spans="1:220" ht="32" x14ac:dyDescent="0.2">
      <c r="A8" s="69" t="s">
        <v>105</v>
      </c>
      <c r="B8" s="70">
        <v>2018</v>
      </c>
      <c r="C8" s="70">
        <v>95</v>
      </c>
      <c r="D8" s="70">
        <v>95</v>
      </c>
      <c r="E8" s="59">
        <v>64</v>
      </c>
      <c r="F8" s="70">
        <v>64</v>
      </c>
      <c r="G8" s="70">
        <v>28.7</v>
      </c>
      <c r="H8" s="70">
        <v>28.7</v>
      </c>
      <c r="I8" s="70">
        <v>36.700000000000003</v>
      </c>
      <c r="J8" s="70">
        <v>36.700000000000003</v>
      </c>
      <c r="K8" s="70">
        <v>34.299999999999997</v>
      </c>
      <c r="L8" s="59">
        <v>34.299999999999997</v>
      </c>
      <c r="M8" s="59">
        <v>142</v>
      </c>
      <c r="N8" s="59">
        <v>142</v>
      </c>
      <c r="O8" s="59">
        <v>5</v>
      </c>
      <c r="P8" s="59">
        <v>5</v>
      </c>
      <c r="Q8" s="59">
        <v>7</v>
      </c>
      <c r="R8" s="59">
        <v>7</v>
      </c>
      <c r="S8" s="59">
        <v>5</v>
      </c>
      <c r="T8" s="59">
        <v>5</v>
      </c>
      <c r="U8" s="70">
        <v>159</v>
      </c>
      <c r="V8" s="70">
        <v>159</v>
      </c>
      <c r="W8" s="70">
        <v>0</v>
      </c>
      <c r="X8" s="70">
        <v>0</v>
      </c>
      <c r="Y8" s="70">
        <v>0</v>
      </c>
      <c r="Z8" s="70">
        <v>0</v>
      </c>
      <c r="AA8" s="70">
        <v>0</v>
      </c>
      <c r="AB8" s="70">
        <v>0</v>
      </c>
      <c r="AC8" s="59" t="s">
        <v>343</v>
      </c>
      <c r="AD8" s="59" t="s">
        <v>106</v>
      </c>
      <c r="AE8" s="70" t="s">
        <v>106</v>
      </c>
      <c r="AF8" s="70" t="s">
        <v>107</v>
      </c>
      <c r="AG8" s="70" t="s">
        <v>86</v>
      </c>
      <c r="AH8" s="70" t="s">
        <v>86</v>
      </c>
      <c r="AI8" s="70" t="s">
        <v>85</v>
      </c>
      <c r="AJ8" s="70" t="s">
        <v>85</v>
      </c>
      <c r="AK8" s="70" t="s">
        <v>86</v>
      </c>
      <c r="AL8" s="70" t="s">
        <v>86</v>
      </c>
      <c r="AM8" s="70">
        <v>159</v>
      </c>
      <c r="AN8" s="70">
        <v>159</v>
      </c>
      <c r="AO8" s="70">
        <v>0</v>
      </c>
      <c r="AP8" s="70">
        <v>0</v>
      </c>
      <c r="AQ8" s="70">
        <v>0</v>
      </c>
      <c r="AR8" s="70">
        <v>0</v>
      </c>
      <c r="AS8" s="71">
        <v>16.600000000000001</v>
      </c>
      <c r="AT8" s="72">
        <v>16.600000000000001</v>
      </c>
      <c r="AU8" s="71">
        <v>37.799999999999997</v>
      </c>
      <c r="AV8" s="72" t="s">
        <v>59</v>
      </c>
      <c r="AW8" s="71"/>
      <c r="AX8" s="72" t="s">
        <v>59</v>
      </c>
      <c r="AY8" s="70">
        <v>159</v>
      </c>
      <c r="AZ8" s="70">
        <v>159</v>
      </c>
      <c r="BA8" s="70">
        <v>124</v>
      </c>
      <c r="BB8" s="70">
        <v>124</v>
      </c>
      <c r="BC8" s="70" t="s">
        <v>95</v>
      </c>
      <c r="BD8" s="70" t="s">
        <v>95</v>
      </c>
      <c r="BE8" s="70">
        <f t="shared" si="68"/>
        <v>87</v>
      </c>
      <c r="BF8" s="70">
        <f t="shared" si="69"/>
        <v>87</v>
      </c>
      <c r="BG8" s="70">
        <f t="shared" si="0"/>
        <v>37</v>
      </c>
      <c r="BH8" s="70">
        <f t="shared" si="1"/>
        <v>37</v>
      </c>
      <c r="BI8" s="70">
        <v>0</v>
      </c>
      <c r="BJ8" s="70">
        <v>0</v>
      </c>
      <c r="BK8" s="70">
        <v>0</v>
      </c>
      <c r="BL8" s="70">
        <v>0</v>
      </c>
      <c r="BM8" s="70">
        <v>37</v>
      </c>
      <c r="BN8" s="70">
        <v>37</v>
      </c>
      <c r="BO8" s="70">
        <v>0</v>
      </c>
      <c r="BP8" s="70">
        <v>0</v>
      </c>
      <c r="BQ8" s="70">
        <v>2</v>
      </c>
      <c r="BR8" s="70">
        <v>2</v>
      </c>
      <c r="BS8" s="70">
        <v>0</v>
      </c>
      <c r="BT8" s="70">
        <v>0</v>
      </c>
      <c r="BU8" s="70">
        <v>4</v>
      </c>
      <c r="BV8" s="70">
        <v>4</v>
      </c>
      <c r="BW8" s="70">
        <v>0</v>
      </c>
      <c r="BX8" s="70">
        <v>0</v>
      </c>
      <c r="BY8" s="70">
        <v>75</v>
      </c>
      <c r="BZ8" s="70">
        <v>75</v>
      </c>
      <c r="CA8" s="70">
        <v>0</v>
      </c>
      <c r="CB8" s="70">
        <v>0</v>
      </c>
      <c r="CC8" s="70">
        <v>0</v>
      </c>
      <c r="CD8" s="70">
        <v>0</v>
      </c>
      <c r="CE8" s="70">
        <v>3</v>
      </c>
      <c r="CF8" s="70">
        <v>3</v>
      </c>
      <c r="CG8" s="70">
        <v>0</v>
      </c>
      <c r="CH8" s="70">
        <v>0</v>
      </c>
      <c r="CI8" s="70">
        <v>0</v>
      </c>
      <c r="CJ8" s="70">
        <v>0</v>
      </c>
      <c r="CK8" s="70">
        <v>2</v>
      </c>
      <c r="CL8" s="70">
        <v>2</v>
      </c>
      <c r="CM8" s="70">
        <v>1</v>
      </c>
      <c r="CN8" s="70">
        <v>1</v>
      </c>
      <c r="CO8" s="70">
        <v>0</v>
      </c>
      <c r="CP8" s="70">
        <v>0</v>
      </c>
      <c r="CQ8" s="70" t="s">
        <v>59</v>
      </c>
      <c r="CR8" s="70" t="s">
        <v>59</v>
      </c>
      <c r="CS8" s="70" t="s">
        <v>108</v>
      </c>
      <c r="CT8" s="70" t="s">
        <v>108</v>
      </c>
      <c r="CU8" s="70" t="s">
        <v>108</v>
      </c>
      <c r="CV8" s="70" t="s">
        <v>108</v>
      </c>
      <c r="CW8" s="70" t="s">
        <v>59</v>
      </c>
      <c r="CX8" s="70" t="s">
        <v>59</v>
      </c>
      <c r="CY8" s="70" t="s">
        <v>108</v>
      </c>
      <c r="CZ8" s="70" t="s">
        <v>108</v>
      </c>
      <c r="DA8" s="70" t="s">
        <v>108</v>
      </c>
      <c r="DB8" s="70" t="s">
        <v>108</v>
      </c>
      <c r="DC8" s="70" t="s">
        <v>108</v>
      </c>
      <c r="DD8" s="70" t="s">
        <v>108</v>
      </c>
      <c r="DE8" s="70" t="s">
        <v>88</v>
      </c>
      <c r="DF8" s="70" t="s">
        <v>88</v>
      </c>
      <c r="DG8" s="70" t="s">
        <v>59</v>
      </c>
      <c r="DH8" s="70" t="s">
        <v>59</v>
      </c>
      <c r="DI8" s="70" t="s">
        <v>88</v>
      </c>
      <c r="DJ8" s="70" t="s">
        <v>88</v>
      </c>
      <c r="DK8" s="70" t="s">
        <v>59</v>
      </c>
      <c r="DL8" s="70" t="s">
        <v>59</v>
      </c>
      <c r="DM8" s="70" t="s">
        <v>59</v>
      </c>
      <c r="DN8" s="59" t="s">
        <v>59</v>
      </c>
      <c r="DO8" s="70" t="s">
        <v>109</v>
      </c>
      <c r="DP8" s="70" t="s">
        <v>109</v>
      </c>
      <c r="DQ8" s="70" t="s">
        <v>59</v>
      </c>
      <c r="DR8" s="70" t="s">
        <v>59</v>
      </c>
      <c r="DS8" s="70" t="s">
        <v>340</v>
      </c>
      <c r="DT8" s="70" t="s">
        <v>341</v>
      </c>
      <c r="DU8" s="70" t="s">
        <v>59</v>
      </c>
      <c r="DV8" s="70" t="s">
        <v>59</v>
      </c>
      <c r="DW8" s="70" t="s">
        <v>59</v>
      </c>
      <c r="DX8" s="70" t="s">
        <v>59</v>
      </c>
      <c r="DY8" s="70">
        <v>1</v>
      </c>
      <c r="DZ8" s="70">
        <v>1</v>
      </c>
      <c r="EA8" s="70">
        <v>1</v>
      </c>
      <c r="EB8" s="70">
        <v>1</v>
      </c>
      <c r="EC8" s="70">
        <v>1</v>
      </c>
      <c r="ED8" s="70">
        <v>1</v>
      </c>
      <c r="EE8" s="70">
        <v>1</v>
      </c>
      <c r="EF8" s="70">
        <v>1</v>
      </c>
      <c r="EG8" s="70">
        <v>1</v>
      </c>
      <c r="EH8" s="70">
        <v>1</v>
      </c>
      <c r="EI8" s="70">
        <v>1</v>
      </c>
      <c r="EJ8" s="70">
        <v>1</v>
      </c>
      <c r="EK8" s="70">
        <v>1</v>
      </c>
      <c r="EL8" s="70">
        <v>1</v>
      </c>
      <c r="EM8" s="70">
        <v>1</v>
      </c>
      <c r="EN8" s="70">
        <v>1</v>
      </c>
      <c r="EO8" s="70">
        <v>1</v>
      </c>
      <c r="EP8" s="70">
        <v>1</v>
      </c>
      <c r="EQ8" s="70">
        <v>1</v>
      </c>
      <c r="ER8" s="70">
        <v>1</v>
      </c>
      <c r="ES8" s="70">
        <f t="shared" si="70"/>
        <v>10</v>
      </c>
      <c r="ET8" s="70">
        <f t="shared" si="70"/>
        <v>10</v>
      </c>
      <c r="EU8" s="74" t="s">
        <v>105</v>
      </c>
      <c r="EV8" s="66">
        <v>2018</v>
      </c>
      <c r="EW8" s="59" t="str">
        <f t="shared" si="2"/>
        <v>Y</v>
      </c>
      <c r="EX8" s="59" t="str">
        <f t="shared" si="3"/>
        <v>Y</v>
      </c>
      <c r="EY8" s="59" t="str">
        <f t="shared" si="4"/>
        <v>Y</v>
      </c>
      <c r="EZ8" s="59" t="str">
        <f t="shared" si="5"/>
        <v>Y</v>
      </c>
      <c r="FA8" s="59" t="str">
        <f t="shared" si="6"/>
        <v>Y</v>
      </c>
      <c r="FB8" s="59" t="str">
        <f t="shared" si="7"/>
        <v>Y</v>
      </c>
      <c r="FC8" s="59" t="str">
        <f t="shared" si="8"/>
        <v>Y</v>
      </c>
      <c r="FD8" s="59" t="str">
        <f t="shared" si="9"/>
        <v>Y</v>
      </c>
      <c r="FE8" s="59" t="str">
        <f t="shared" si="10"/>
        <v>Y</v>
      </c>
      <c r="FF8" s="59" t="str">
        <f t="shared" si="11"/>
        <v>Y</v>
      </c>
      <c r="FG8" s="59" t="str">
        <f t="shared" si="12"/>
        <v>Y</v>
      </c>
      <c r="FH8" s="59" t="str">
        <f t="shared" si="13"/>
        <v>Y</v>
      </c>
      <c r="FI8" s="59" t="str">
        <f t="shared" si="14"/>
        <v>Y</v>
      </c>
      <c r="FJ8" s="59" t="str">
        <f t="shared" si="15"/>
        <v>Y</v>
      </c>
      <c r="FK8" s="59" t="str">
        <f t="shared" si="16"/>
        <v>Y</v>
      </c>
      <c r="FL8" s="59" t="str">
        <f t="shared" si="17"/>
        <v>Y</v>
      </c>
      <c r="FM8" s="59" t="str">
        <f t="shared" si="18"/>
        <v>Y</v>
      </c>
      <c r="FN8" s="59" t="str">
        <f t="shared" si="19"/>
        <v>Y</v>
      </c>
      <c r="FO8" s="59" t="str">
        <f t="shared" si="20"/>
        <v>Y</v>
      </c>
      <c r="FP8" s="59" t="str">
        <f t="shared" si="21"/>
        <v>Y</v>
      </c>
      <c r="FQ8" s="59" t="str">
        <f t="shared" si="22"/>
        <v>Y</v>
      </c>
      <c r="FR8" s="59" t="str">
        <f t="shared" si="23"/>
        <v>Y</v>
      </c>
      <c r="FS8" s="59" t="str">
        <f t="shared" si="24"/>
        <v>Y</v>
      </c>
      <c r="FT8" s="59" t="str">
        <f t="shared" si="25"/>
        <v>Y</v>
      </c>
      <c r="FU8" s="59" t="str">
        <f t="shared" si="26"/>
        <v>Y</v>
      </c>
      <c r="FV8" s="59" t="str">
        <f t="shared" si="27"/>
        <v>Y</v>
      </c>
      <c r="FW8" s="59" t="str">
        <f t="shared" si="28"/>
        <v>Y</v>
      </c>
      <c r="FX8" s="59" t="str">
        <f t="shared" si="29"/>
        <v>Y</v>
      </c>
      <c r="FY8" s="59" t="str">
        <f t="shared" si="30"/>
        <v>Y</v>
      </c>
      <c r="FZ8" s="59" t="str">
        <f t="shared" si="31"/>
        <v>Y</v>
      </c>
      <c r="GA8" s="59" t="str">
        <f t="shared" si="32"/>
        <v>Y</v>
      </c>
      <c r="GB8" s="59" t="str">
        <f t="shared" si="33"/>
        <v>Y</v>
      </c>
      <c r="GC8" s="59" t="str">
        <f t="shared" si="34"/>
        <v>Y</v>
      </c>
      <c r="GD8" s="59" t="str">
        <f t="shared" si="35"/>
        <v>Y</v>
      </c>
      <c r="GE8" s="59" t="str">
        <f t="shared" si="36"/>
        <v>Y</v>
      </c>
      <c r="GF8" s="59" t="str">
        <f t="shared" si="37"/>
        <v>Y</v>
      </c>
      <c r="GG8" s="59" t="str">
        <f t="shared" si="38"/>
        <v>Y</v>
      </c>
      <c r="GH8" s="59" t="str">
        <f t="shared" si="39"/>
        <v>Y</v>
      </c>
      <c r="GI8" s="59" t="str">
        <f t="shared" si="40"/>
        <v>Y</v>
      </c>
      <c r="GJ8" s="59" t="str">
        <f t="shared" si="41"/>
        <v>Y</v>
      </c>
      <c r="GK8" s="59" t="str">
        <f t="shared" si="42"/>
        <v>Y</v>
      </c>
      <c r="GL8" s="59" t="str">
        <f t="shared" si="43"/>
        <v>Y</v>
      </c>
      <c r="GM8" s="59" t="str">
        <f t="shared" si="44"/>
        <v>Y</v>
      </c>
      <c r="GN8" s="59" t="str">
        <f t="shared" si="45"/>
        <v>Y</v>
      </c>
      <c r="GO8" s="59" t="str">
        <f t="shared" si="46"/>
        <v>Y</v>
      </c>
      <c r="GP8" s="59" t="str">
        <f t="shared" si="47"/>
        <v>Y</v>
      </c>
      <c r="GQ8" s="59" t="str">
        <f t="shared" si="48"/>
        <v>Y</v>
      </c>
      <c r="GR8" s="59" t="str">
        <f t="shared" si="49"/>
        <v>Y</v>
      </c>
      <c r="GS8" s="59" t="str">
        <f t="shared" si="50"/>
        <v>Y</v>
      </c>
      <c r="GT8" s="59" t="str">
        <f t="shared" si="51"/>
        <v>Y</v>
      </c>
      <c r="GU8" s="59" t="str">
        <f t="shared" si="52"/>
        <v>Y</v>
      </c>
      <c r="GV8" s="59" t="str">
        <f t="shared" si="53"/>
        <v>Y</v>
      </c>
      <c r="GW8" s="59" t="str">
        <f t="shared" si="54"/>
        <v>Y</v>
      </c>
      <c r="GX8" s="59" t="str">
        <f t="shared" si="55"/>
        <v>Y</v>
      </c>
      <c r="GY8" s="59" t="str">
        <f t="shared" si="56"/>
        <v>Y</v>
      </c>
      <c r="GZ8" s="59" t="str">
        <f t="shared" si="57"/>
        <v>Y</v>
      </c>
      <c r="HA8" s="59" t="str">
        <f t="shared" si="58"/>
        <v>Y</v>
      </c>
      <c r="HB8" s="59" t="str">
        <f t="shared" si="59"/>
        <v>Y</v>
      </c>
      <c r="HC8" s="59" t="str">
        <f t="shared" si="60"/>
        <v>Y</v>
      </c>
      <c r="HD8" s="59" t="str">
        <f t="shared" si="61"/>
        <v>Y</v>
      </c>
      <c r="HE8" s="59" t="str">
        <f t="shared" si="62"/>
        <v>Y</v>
      </c>
      <c r="HF8" s="59" t="str">
        <f t="shared" si="63"/>
        <v>Y</v>
      </c>
      <c r="HG8" s="59" t="str">
        <f t="shared" si="64"/>
        <v>Y</v>
      </c>
      <c r="HH8" s="59" t="str">
        <f t="shared" si="65"/>
        <v>Y</v>
      </c>
      <c r="HI8" s="59" t="str">
        <f t="shared" si="66"/>
        <v>Y</v>
      </c>
      <c r="HJ8" s="68" t="str">
        <f t="shared" si="67"/>
        <v>Y</v>
      </c>
      <c r="HK8" s="59"/>
      <c r="HL8" s="68"/>
    </row>
    <row r="9" spans="1:220" ht="16" x14ac:dyDescent="0.2">
      <c r="A9" s="69" t="s">
        <v>110</v>
      </c>
      <c r="B9" s="70">
        <v>2020</v>
      </c>
      <c r="C9" s="70">
        <v>47</v>
      </c>
      <c r="D9" s="70">
        <v>47</v>
      </c>
      <c r="E9" s="59">
        <v>14</v>
      </c>
      <c r="F9" s="70">
        <v>14</v>
      </c>
      <c r="G9" s="70">
        <v>21.3</v>
      </c>
      <c r="H9" s="70">
        <v>21.3</v>
      </c>
      <c r="I9" s="70">
        <v>20.100000000000001</v>
      </c>
      <c r="J9" s="70">
        <v>20.100000000000001</v>
      </c>
      <c r="K9" s="70">
        <v>20.6</v>
      </c>
      <c r="L9" s="59">
        <v>20.6</v>
      </c>
      <c r="M9" s="59" t="s">
        <v>59</v>
      </c>
      <c r="N9" s="59" t="s">
        <v>111</v>
      </c>
      <c r="O9" s="59" t="s">
        <v>59</v>
      </c>
      <c r="P9" s="59" t="s">
        <v>59</v>
      </c>
      <c r="Q9" s="59" t="s">
        <v>59</v>
      </c>
      <c r="R9" s="59" t="s">
        <v>59</v>
      </c>
      <c r="S9" s="59" t="s">
        <v>59</v>
      </c>
      <c r="T9" s="59" t="s">
        <v>59</v>
      </c>
      <c r="U9" s="70">
        <v>0</v>
      </c>
      <c r="V9" s="70">
        <v>0</v>
      </c>
      <c r="W9" s="70">
        <v>61</v>
      </c>
      <c r="X9" s="70">
        <v>61</v>
      </c>
      <c r="Y9" s="70">
        <v>0</v>
      </c>
      <c r="Z9" s="70">
        <v>0</v>
      </c>
      <c r="AA9" s="70">
        <v>0</v>
      </c>
      <c r="AB9" s="70">
        <v>0</v>
      </c>
      <c r="AC9" s="59" t="s">
        <v>101</v>
      </c>
      <c r="AD9" s="59" t="s">
        <v>112</v>
      </c>
      <c r="AE9" s="70" t="s">
        <v>112</v>
      </c>
      <c r="AF9" s="70" t="s">
        <v>113</v>
      </c>
      <c r="AG9" s="70" t="s">
        <v>85</v>
      </c>
      <c r="AH9" s="70" t="s">
        <v>85</v>
      </c>
      <c r="AI9" s="70" t="s">
        <v>86</v>
      </c>
      <c r="AJ9" s="70" t="s">
        <v>86</v>
      </c>
      <c r="AK9" s="70" t="s">
        <v>86</v>
      </c>
      <c r="AL9" s="70" t="s">
        <v>86</v>
      </c>
      <c r="AM9" s="70">
        <v>61</v>
      </c>
      <c r="AN9" s="70">
        <v>61</v>
      </c>
      <c r="AO9" s="70">
        <v>0</v>
      </c>
      <c r="AP9" s="70">
        <v>0</v>
      </c>
      <c r="AQ9" s="70">
        <v>0</v>
      </c>
      <c r="AR9" s="70">
        <v>0</v>
      </c>
      <c r="AS9" s="71">
        <v>2.9</v>
      </c>
      <c r="AT9" s="72" t="s">
        <v>59</v>
      </c>
      <c r="AU9" s="71">
        <v>3.4</v>
      </c>
      <c r="AV9" s="72" t="s">
        <v>59</v>
      </c>
      <c r="AW9" s="71">
        <v>2.4</v>
      </c>
      <c r="AX9" s="72">
        <v>2.4</v>
      </c>
      <c r="AY9" s="70">
        <v>61</v>
      </c>
      <c r="AZ9" s="70">
        <v>61</v>
      </c>
      <c r="BA9" s="70">
        <v>34</v>
      </c>
      <c r="BB9" s="70">
        <v>34</v>
      </c>
      <c r="BC9" s="70" t="s">
        <v>99</v>
      </c>
      <c r="BD9" s="70" t="s">
        <v>99</v>
      </c>
      <c r="BE9" s="70">
        <f t="shared" si="68"/>
        <v>0</v>
      </c>
      <c r="BF9" s="70">
        <f t="shared" si="69"/>
        <v>0</v>
      </c>
      <c r="BG9" s="70">
        <f t="shared" si="0"/>
        <v>34</v>
      </c>
      <c r="BH9" s="70">
        <f t="shared" si="1"/>
        <v>34</v>
      </c>
      <c r="BI9" s="70" t="s">
        <v>87</v>
      </c>
      <c r="BJ9" s="70" t="s">
        <v>87</v>
      </c>
      <c r="BK9" s="70" t="s">
        <v>87</v>
      </c>
      <c r="BL9" s="70" t="s">
        <v>87</v>
      </c>
      <c r="BM9" s="70">
        <v>34</v>
      </c>
      <c r="BN9" s="70">
        <v>34</v>
      </c>
      <c r="BO9" s="70" t="s">
        <v>87</v>
      </c>
      <c r="BP9" s="70" t="s">
        <v>87</v>
      </c>
      <c r="BQ9" s="70" t="s">
        <v>87</v>
      </c>
      <c r="BR9" s="70" t="s">
        <v>87</v>
      </c>
      <c r="BS9" s="70" t="s">
        <v>87</v>
      </c>
      <c r="BT9" s="70" t="s">
        <v>87</v>
      </c>
      <c r="BU9" s="70" t="s">
        <v>87</v>
      </c>
      <c r="BV9" s="70" t="s">
        <v>87</v>
      </c>
      <c r="BW9" s="70" t="s">
        <v>87</v>
      </c>
      <c r="BX9" s="70" t="s">
        <v>87</v>
      </c>
      <c r="BY9" s="70" t="s">
        <v>87</v>
      </c>
      <c r="BZ9" s="70" t="s">
        <v>87</v>
      </c>
      <c r="CA9" s="70" t="s">
        <v>87</v>
      </c>
      <c r="CB9" s="70" t="s">
        <v>87</v>
      </c>
      <c r="CC9" s="70" t="s">
        <v>87</v>
      </c>
      <c r="CD9" s="70" t="s">
        <v>87</v>
      </c>
      <c r="CE9" s="70" t="s">
        <v>87</v>
      </c>
      <c r="CF9" s="70" t="s">
        <v>87</v>
      </c>
      <c r="CG9" s="70" t="s">
        <v>87</v>
      </c>
      <c r="CH9" s="70" t="s">
        <v>87</v>
      </c>
      <c r="CI9" s="70" t="s">
        <v>87</v>
      </c>
      <c r="CJ9" s="70" t="s">
        <v>87</v>
      </c>
      <c r="CK9" s="70" t="s">
        <v>87</v>
      </c>
      <c r="CL9" s="70" t="s">
        <v>87</v>
      </c>
      <c r="CM9" s="70" t="s">
        <v>87</v>
      </c>
      <c r="CN9" s="70" t="s">
        <v>87</v>
      </c>
      <c r="CO9" s="70" t="s">
        <v>87</v>
      </c>
      <c r="CP9" s="70" t="s">
        <v>87</v>
      </c>
      <c r="CQ9" s="70" t="s">
        <v>59</v>
      </c>
      <c r="CR9" s="70" t="s">
        <v>59</v>
      </c>
      <c r="CS9" s="70" t="s">
        <v>59</v>
      </c>
      <c r="CT9" s="70" t="s">
        <v>59</v>
      </c>
      <c r="CU9" s="70" t="s">
        <v>59</v>
      </c>
      <c r="CV9" s="70" t="s">
        <v>59</v>
      </c>
      <c r="CW9" s="70" t="s">
        <v>59</v>
      </c>
      <c r="CX9" s="70" t="s">
        <v>59</v>
      </c>
      <c r="CY9" s="70" t="s">
        <v>59</v>
      </c>
      <c r="CZ9" s="70" t="s">
        <v>59</v>
      </c>
      <c r="DA9" s="70" t="s">
        <v>59</v>
      </c>
      <c r="DB9" s="70" t="s">
        <v>59</v>
      </c>
      <c r="DC9" s="70" t="s">
        <v>108</v>
      </c>
      <c r="DD9" s="70" t="s">
        <v>108</v>
      </c>
      <c r="DE9" s="70" t="s">
        <v>88</v>
      </c>
      <c r="DF9" s="70" t="s">
        <v>88</v>
      </c>
      <c r="DG9" s="70" t="s">
        <v>86</v>
      </c>
      <c r="DH9" s="70" t="s">
        <v>86</v>
      </c>
      <c r="DI9" s="70" t="s">
        <v>59</v>
      </c>
      <c r="DJ9" s="70" t="s">
        <v>59</v>
      </c>
      <c r="DK9" s="70" t="s">
        <v>59</v>
      </c>
      <c r="DL9" s="70" t="s">
        <v>59</v>
      </c>
      <c r="DM9" s="70" t="s">
        <v>59</v>
      </c>
      <c r="DN9" s="59" t="s">
        <v>59</v>
      </c>
      <c r="DO9" s="70" t="s">
        <v>59</v>
      </c>
      <c r="DP9" s="70" t="s">
        <v>59</v>
      </c>
      <c r="DQ9" s="70" t="s">
        <v>59</v>
      </c>
      <c r="DR9" s="70" t="s">
        <v>59</v>
      </c>
      <c r="DS9" s="70" t="s">
        <v>305</v>
      </c>
      <c r="DT9" s="70" t="s">
        <v>305</v>
      </c>
      <c r="DU9" s="70" t="s">
        <v>89</v>
      </c>
      <c r="DV9" s="70" t="s">
        <v>89</v>
      </c>
      <c r="DW9" s="70" t="s">
        <v>90</v>
      </c>
      <c r="DX9" s="70" t="s">
        <v>90</v>
      </c>
      <c r="DY9" s="70">
        <v>1</v>
      </c>
      <c r="DZ9" s="70">
        <v>1</v>
      </c>
      <c r="EA9" s="70">
        <v>0</v>
      </c>
      <c r="EB9" s="70">
        <v>0</v>
      </c>
      <c r="EC9" s="70">
        <v>1</v>
      </c>
      <c r="ED9" s="70">
        <v>1</v>
      </c>
      <c r="EE9" s="70">
        <v>1</v>
      </c>
      <c r="EF9" s="70">
        <v>1</v>
      </c>
      <c r="EG9" s="70">
        <v>1</v>
      </c>
      <c r="EH9" s="70">
        <v>1</v>
      </c>
      <c r="EI9" s="70">
        <v>1</v>
      </c>
      <c r="EJ9" s="70">
        <v>1</v>
      </c>
      <c r="EK9" s="70">
        <v>1</v>
      </c>
      <c r="EL9" s="70">
        <v>1</v>
      </c>
      <c r="EM9" s="70">
        <v>1</v>
      </c>
      <c r="EN9" s="70">
        <v>1</v>
      </c>
      <c r="EO9" s="70">
        <v>1</v>
      </c>
      <c r="EP9" s="70">
        <v>1</v>
      </c>
      <c r="EQ9" s="70">
        <v>1</v>
      </c>
      <c r="ER9" s="70">
        <v>1</v>
      </c>
      <c r="ES9" s="70">
        <f t="shared" si="70"/>
        <v>9</v>
      </c>
      <c r="ET9" s="70">
        <f t="shared" si="70"/>
        <v>9</v>
      </c>
      <c r="EU9" s="74"/>
      <c r="EV9" s="66"/>
      <c r="EW9" s="59" t="str">
        <f t="shared" si="2"/>
        <v>Y</v>
      </c>
      <c r="EX9" s="59" t="str">
        <f t="shared" si="3"/>
        <v>Y</v>
      </c>
      <c r="EY9" s="59" t="str">
        <f t="shared" si="4"/>
        <v>Y</v>
      </c>
      <c r="EZ9" s="59" t="str">
        <f t="shared" si="5"/>
        <v>Y</v>
      </c>
      <c r="FA9" s="59" t="str">
        <f t="shared" si="6"/>
        <v>Y</v>
      </c>
      <c r="FB9" s="59"/>
      <c r="FC9" s="59" t="str">
        <f t="shared" si="8"/>
        <v>Y</v>
      </c>
      <c r="FD9" s="59" t="str">
        <f t="shared" si="9"/>
        <v>Y</v>
      </c>
      <c r="FE9" s="59" t="str">
        <f t="shared" si="10"/>
        <v>Y</v>
      </c>
      <c r="FF9" s="59" t="str">
        <f t="shared" si="11"/>
        <v>Y</v>
      </c>
      <c r="FG9" s="59" t="str">
        <f t="shared" si="12"/>
        <v>Y</v>
      </c>
      <c r="FH9" s="59" t="str">
        <f t="shared" si="13"/>
        <v>Y</v>
      </c>
      <c r="FI9" s="59" t="str">
        <f t="shared" si="14"/>
        <v>Y</v>
      </c>
      <c r="FJ9" s="59" t="str">
        <f t="shared" si="15"/>
        <v>Y</v>
      </c>
      <c r="FK9" s="59" t="str">
        <f t="shared" si="16"/>
        <v>Y</v>
      </c>
      <c r="FL9" s="59" t="str">
        <f t="shared" si="17"/>
        <v>Y</v>
      </c>
      <c r="FM9" s="59" t="str">
        <f t="shared" si="18"/>
        <v>Y</v>
      </c>
      <c r="FN9" s="59" t="str">
        <f t="shared" si="19"/>
        <v>Y</v>
      </c>
      <c r="FO9" s="59" t="str">
        <f t="shared" si="20"/>
        <v>Y</v>
      </c>
      <c r="FP9" s="59" t="str">
        <f t="shared" si="21"/>
        <v>Y</v>
      </c>
      <c r="FQ9" s="59" t="str">
        <f t="shared" si="22"/>
        <v>Y</v>
      </c>
      <c r="FR9" s="59" t="str">
        <f t="shared" si="23"/>
        <v>Y</v>
      </c>
      <c r="FS9" s="59" t="str">
        <f t="shared" si="24"/>
        <v>Y</v>
      </c>
      <c r="FT9" s="59" t="str">
        <f t="shared" si="25"/>
        <v>Y</v>
      </c>
      <c r="FU9" s="59" t="str">
        <f t="shared" si="26"/>
        <v>Y</v>
      </c>
      <c r="FV9" s="59" t="str">
        <f t="shared" si="27"/>
        <v>Y</v>
      </c>
      <c r="FW9" s="59" t="str">
        <f t="shared" si="28"/>
        <v>Y</v>
      </c>
      <c r="FX9" s="59" t="str">
        <f t="shared" si="29"/>
        <v>Y</v>
      </c>
      <c r="FY9" s="59" t="str">
        <f t="shared" si="30"/>
        <v>Y</v>
      </c>
      <c r="FZ9" s="59" t="str">
        <f t="shared" si="31"/>
        <v>Y</v>
      </c>
      <c r="GA9" s="59" t="str">
        <f t="shared" si="32"/>
        <v>Y</v>
      </c>
      <c r="GB9" s="59" t="str">
        <f t="shared" si="33"/>
        <v>Y</v>
      </c>
      <c r="GC9" s="59" t="str">
        <f t="shared" si="34"/>
        <v>Y</v>
      </c>
      <c r="GD9" s="59" t="str">
        <f t="shared" si="35"/>
        <v>Y</v>
      </c>
      <c r="GE9" s="59" t="str">
        <f t="shared" si="36"/>
        <v>Y</v>
      </c>
      <c r="GF9" s="59" t="str">
        <f t="shared" si="37"/>
        <v>Y</v>
      </c>
      <c r="GG9" s="59" t="str">
        <f t="shared" si="38"/>
        <v>Y</v>
      </c>
      <c r="GH9" s="59" t="str">
        <f t="shared" si="39"/>
        <v>Y</v>
      </c>
      <c r="GI9" s="59" t="str">
        <f t="shared" si="40"/>
        <v>Y</v>
      </c>
      <c r="GJ9" s="59" t="str">
        <f t="shared" si="41"/>
        <v>Y</v>
      </c>
      <c r="GK9" s="59" t="str">
        <f t="shared" si="42"/>
        <v>Y</v>
      </c>
      <c r="GL9" s="59" t="str">
        <f t="shared" si="43"/>
        <v>Y</v>
      </c>
      <c r="GM9" s="59" t="str">
        <f t="shared" si="44"/>
        <v>Y</v>
      </c>
      <c r="GN9" s="59" t="str">
        <f t="shared" si="45"/>
        <v>Y</v>
      </c>
      <c r="GO9" s="59" t="str">
        <f t="shared" si="46"/>
        <v>Y</v>
      </c>
      <c r="GP9" s="59" t="str">
        <f t="shared" si="47"/>
        <v>Y</v>
      </c>
      <c r="GQ9" s="59" t="str">
        <f t="shared" si="48"/>
        <v>Y</v>
      </c>
      <c r="GR9" s="59" t="str">
        <f t="shared" si="49"/>
        <v>Y</v>
      </c>
      <c r="GS9" s="59" t="str">
        <f t="shared" si="50"/>
        <v>Y</v>
      </c>
      <c r="GT9" s="59" t="str">
        <f t="shared" si="51"/>
        <v>Y</v>
      </c>
      <c r="GU9" s="59" t="str">
        <f t="shared" si="52"/>
        <v>Y</v>
      </c>
      <c r="GV9" s="59" t="str">
        <f t="shared" si="53"/>
        <v>Y</v>
      </c>
      <c r="GW9" s="59" t="str">
        <f t="shared" si="54"/>
        <v>Y</v>
      </c>
      <c r="GX9" s="59" t="str">
        <f t="shared" si="55"/>
        <v>Y</v>
      </c>
      <c r="GY9" s="59" t="str">
        <f t="shared" si="56"/>
        <v>Y</v>
      </c>
      <c r="GZ9" s="59" t="str">
        <f t="shared" si="57"/>
        <v>Y</v>
      </c>
      <c r="HA9" s="59" t="str">
        <f t="shared" si="58"/>
        <v>Y</v>
      </c>
      <c r="HB9" s="59" t="str">
        <f t="shared" si="59"/>
        <v>Y</v>
      </c>
      <c r="HC9" s="59" t="str">
        <f t="shared" si="60"/>
        <v>Y</v>
      </c>
      <c r="HD9" s="59" t="str">
        <f t="shared" si="61"/>
        <v>Y</v>
      </c>
      <c r="HE9" s="59" t="str">
        <f t="shared" si="62"/>
        <v>Y</v>
      </c>
      <c r="HF9" s="59" t="str">
        <f t="shared" si="63"/>
        <v>Y</v>
      </c>
      <c r="HG9" s="59" t="str">
        <f t="shared" si="64"/>
        <v>Y</v>
      </c>
      <c r="HH9" s="59" t="str">
        <f t="shared" si="65"/>
        <v>Y</v>
      </c>
      <c r="HI9" s="59" t="str">
        <f t="shared" si="66"/>
        <v>Y</v>
      </c>
      <c r="HJ9" s="68" t="str">
        <f t="shared" si="67"/>
        <v>Y</v>
      </c>
      <c r="HK9" s="59"/>
      <c r="HL9" s="68"/>
    </row>
    <row r="10" spans="1:220" ht="32" x14ac:dyDescent="0.2">
      <c r="A10" s="69" t="s">
        <v>114</v>
      </c>
      <c r="B10" s="70">
        <v>2022</v>
      </c>
      <c r="C10" s="70">
        <v>68</v>
      </c>
      <c r="D10" s="70">
        <v>68</v>
      </c>
      <c r="E10" s="59">
        <v>119</v>
      </c>
      <c r="F10" s="70">
        <v>119</v>
      </c>
      <c r="G10" s="70">
        <v>36.700000000000003</v>
      </c>
      <c r="H10" s="70">
        <v>36.700000000000003</v>
      </c>
      <c r="I10" s="70">
        <v>32.299999999999997</v>
      </c>
      <c r="J10" s="70">
        <v>32.299999999999997</v>
      </c>
      <c r="K10" s="70" t="s">
        <v>59</v>
      </c>
      <c r="L10" s="59" t="s">
        <v>59</v>
      </c>
      <c r="M10" s="59" t="s">
        <v>59</v>
      </c>
      <c r="N10" s="59" t="s">
        <v>59</v>
      </c>
      <c r="O10" s="59" t="s">
        <v>59</v>
      </c>
      <c r="P10" s="59" t="s">
        <v>59</v>
      </c>
      <c r="Q10" s="59" t="s">
        <v>59</v>
      </c>
      <c r="R10" s="59" t="s">
        <v>59</v>
      </c>
      <c r="S10" s="59" t="s">
        <v>59</v>
      </c>
      <c r="T10" s="59" t="s">
        <v>59</v>
      </c>
      <c r="U10" s="70">
        <v>0</v>
      </c>
      <c r="V10" s="70">
        <v>0</v>
      </c>
      <c r="W10" s="70">
        <v>187</v>
      </c>
      <c r="X10" s="70">
        <v>187</v>
      </c>
      <c r="Y10" s="70">
        <v>0</v>
      </c>
      <c r="Z10" s="70">
        <v>0</v>
      </c>
      <c r="AA10" s="70">
        <v>0</v>
      </c>
      <c r="AB10" s="70">
        <v>0</v>
      </c>
      <c r="AC10" s="59" t="s">
        <v>101</v>
      </c>
      <c r="AD10" s="59" t="s">
        <v>115</v>
      </c>
      <c r="AE10" s="70" t="s">
        <v>115</v>
      </c>
      <c r="AF10" s="70" t="s">
        <v>116</v>
      </c>
      <c r="AG10" s="70" t="s">
        <v>86</v>
      </c>
      <c r="AH10" s="70" t="s">
        <v>86</v>
      </c>
      <c r="AI10" s="70" t="s">
        <v>85</v>
      </c>
      <c r="AJ10" s="70" t="s">
        <v>85</v>
      </c>
      <c r="AK10" s="70" t="s">
        <v>86</v>
      </c>
      <c r="AL10" s="70" t="s">
        <v>86</v>
      </c>
      <c r="AM10" s="70">
        <v>187</v>
      </c>
      <c r="AN10" s="70">
        <v>187</v>
      </c>
      <c r="AO10" s="70">
        <v>0</v>
      </c>
      <c r="AP10" s="70">
        <v>0</v>
      </c>
      <c r="AQ10" s="70">
        <v>0</v>
      </c>
      <c r="AR10" s="70">
        <v>0</v>
      </c>
      <c r="AS10" s="71" t="s">
        <v>59</v>
      </c>
      <c r="AT10" s="72" t="s">
        <v>59</v>
      </c>
      <c r="AU10" s="71" t="s">
        <v>59</v>
      </c>
      <c r="AV10" s="72" t="s">
        <v>59</v>
      </c>
      <c r="AW10" s="71" t="s">
        <v>59</v>
      </c>
      <c r="AX10" s="72" t="s">
        <v>59</v>
      </c>
      <c r="AY10" s="70">
        <v>187</v>
      </c>
      <c r="AZ10" s="70">
        <v>187</v>
      </c>
      <c r="BA10" s="70">
        <v>10</v>
      </c>
      <c r="BB10" s="70">
        <v>10</v>
      </c>
      <c r="BC10" s="70" t="s">
        <v>99</v>
      </c>
      <c r="BD10" s="70" t="s">
        <v>99</v>
      </c>
      <c r="BE10" s="70">
        <f t="shared" si="68"/>
        <v>10</v>
      </c>
      <c r="BF10" s="70">
        <f t="shared" si="69"/>
        <v>10</v>
      </c>
      <c r="BG10" s="70">
        <f t="shared" si="0"/>
        <v>0</v>
      </c>
      <c r="BH10" s="70">
        <f t="shared" si="1"/>
        <v>0</v>
      </c>
      <c r="BI10" s="70">
        <v>10</v>
      </c>
      <c r="BJ10" s="70">
        <v>10</v>
      </c>
      <c r="BK10" s="70" t="s">
        <v>87</v>
      </c>
      <c r="BL10" s="70" t="s">
        <v>87</v>
      </c>
      <c r="BM10" s="70" t="s">
        <v>87</v>
      </c>
      <c r="BN10" s="70" t="s">
        <v>87</v>
      </c>
      <c r="BO10" s="70" t="s">
        <v>87</v>
      </c>
      <c r="BP10" s="70" t="s">
        <v>87</v>
      </c>
      <c r="BQ10" s="70" t="s">
        <v>87</v>
      </c>
      <c r="BR10" s="70" t="s">
        <v>87</v>
      </c>
      <c r="BS10" s="70" t="s">
        <v>87</v>
      </c>
      <c r="BT10" s="70" t="s">
        <v>87</v>
      </c>
      <c r="BU10" s="70" t="s">
        <v>87</v>
      </c>
      <c r="BV10" s="70" t="s">
        <v>87</v>
      </c>
      <c r="BW10" s="70" t="s">
        <v>87</v>
      </c>
      <c r="BX10" s="70" t="s">
        <v>87</v>
      </c>
      <c r="BY10" s="70" t="s">
        <v>87</v>
      </c>
      <c r="BZ10" s="70" t="s">
        <v>87</v>
      </c>
      <c r="CA10" s="70" t="s">
        <v>87</v>
      </c>
      <c r="CB10" s="70" t="s">
        <v>87</v>
      </c>
      <c r="CC10" s="70" t="s">
        <v>87</v>
      </c>
      <c r="CD10" s="70" t="s">
        <v>87</v>
      </c>
      <c r="CE10" s="70" t="s">
        <v>87</v>
      </c>
      <c r="CF10" s="70" t="s">
        <v>87</v>
      </c>
      <c r="CG10" s="70" t="s">
        <v>87</v>
      </c>
      <c r="CH10" s="70" t="s">
        <v>87</v>
      </c>
      <c r="CI10" s="70" t="s">
        <v>87</v>
      </c>
      <c r="CJ10" s="70" t="s">
        <v>87</v>
      </c>
      <c r="CK10" s="70" t="s">
        <v>87</v>
      </c>
      <c r="CL10" s="70" t="s">
        <v>87</v>
      </c>
      <c r="CM10" s="70" t="s">
        <v>87</v>
      </c>
      <c r="CN10" s="70" t="s">
        <v>87</v>
      </c>
      <c r="CO10" s="70" t="s">
        <v>87</v>
      </c>
      <c r="CP10" s="70" t="s">
        <v>87</v>
      </c>
      <c r="CQ10" s="70" t="s">
        <v>108</v>
      </c>
      <c r="CR10" s="70" t="s">
        <v>108</v>
      </c>
      <c r="CS10" s="70" t="s">
        <v>59</v>
      </c>
      <c r="CT10" s="70" t="s">
        <v>59</v>
      </c>
      <c r="CU10" s="70" t="s">
        <v>59</v>
      </c>
      <c r="CV10" s="70" t="s">
        <v>59</v>
      </c>
      <c r="CW10" s="70" t="s">
        <v>108</v>
      </c>
      <c r="CX10" s="70" t="s">
        <v>108</v>
      </c>
      <c r="CY10" s="70" t="s">
        <v>108</v>
      </c>
      <c r="CZ10" s="70" t="s">
        <v>108</v>
      </c>
      <c r="DA10" s="70" t="s">
        <v>88</v>
      </c>
      <c r="DB10" s="76" t="s">
        <v>88</v>
      </c>
      <c r="DC10" s="70" t="s">
        <v>59</v>
      </c>
      <c r="DD10" s="70" t="s">
        <v>59</v>
      </c>
      <c r="DE10" s="70" t="s">
        <v>88</v>
      </c>
      <c r="DF10" s="70" t="s">
        <v>88</v>
      </c>
      <c r="DG10" s="70" t="s">
        <v>59</v>
      </c>
      <c r="DH10" s="70" t="s">
        <v>59</v>
      </c>
      <c r="DI10" s="70" t="s">
        <v>88</v>
      </c>
      <c r="DJ10" s="70" t="s">
        <v>88</v>
      </c>
      <c r="DK10" s="70" t="s">
        <v>88</v>
      </c>
      <c r="DL10" s="70" t="s">
        <v>88</v>
      </c>
      <c r="DM10" s="70" t="s">
        <v>85</v>
      </c>
      <c r="DN10" s="59" t="s">
        <v>85</v>
      </c>
      <c r="DO10" s="70" t="s">
        <v>59</v>
      </c>
      <c r="DP10" s="70" t="s">
        <v>59</v>
      </c>
      <c r="DQ10" s="70" t="s">
        <v>59</v>
      </c>
      <c r="DR10" s="70" t="s">
        <v>59</v>
      </c>
      <c r="DS10" s="70" t="s">
        <v>340</v>
      </c>
      <c r="DT10" s="70" t="s">
        <v>341</v>
      </c>
      <c r="DU10" s="70" t="s">
        <v>59</v>
      </c>
      <c r="DV10" s="70" t="s">
        <v>59</v>
      </c>
      <c r="DW10" s="70" t="s">
        <v>104</v>
      </c>
      <c r="DX10" s="70" t="s">
        <v>104</v>
      </c>
      <c r="DY10" s="70">
        <v>1</v>
      </c>
      <c r="DZ10" s="70">
        <v>1</v>
      </c>
      <c r="EA10" s="70">
        <v>1</v>
      </c>
      <c r="EB10" s="70">
        <v>1</v>
      </c>
      <c r="EC10" s="70">
        <v>1</v>
      </c>
      <c r="ED10" s="70">
        <v>1</v>
      </c>
      <c r="EE10" s="70">
        <v>1</v>
      </c>
      <c r="EF10" s="70">
        <v>1</v>
      </c>
      <c r="EG10" s="70">
        <v>1</v>
      </c>
      <c r="EH10" s="70">
        <v>1</v>
      </c>
      <c r="EI10" s="70">
        <v>1</v>
      </c>
      <c r="EJ10" s="70">
        <v>1</v>
      </c>
      <c r="EK10" s="70">
        <v>1</v>
      </c>
      <c r="EL10" s="70">
        <v>1</v>
      </c>
      <c r="EM10" s="70">
        <v>1</v>
      </c>
      <c r="EN10" s="70">
        <v>1</v>
      </c>
      <c r="EO10" s="70">
        <v>1</v>
      </c>
      <c r="EP10" s="70">
        <v>1</v>
      </c>
      <c r="EQ10" s="70">
        <v>1</v>
      </c>
      <c r="ER10" s="70">
        <v>1</v>
      </c>
      <c r="ES10" s="70">
        <f t="shared" si="70"/>
        <v>10</v>
      </c>
      <c r="ET10" s="70">
        <f t="shared" si="70"/>
        <v>10</v>
      </c>
      <c r="EU10" s="74" t="s">
        <v>114</v>
      </c>
      <c r="EV10" s="66">
        <v>2022</v>
      </c>
      <c r="EW10" s="59" t="str">
        <f t="shared" si="2"/>
        <v>Y</v>
      </c>
      <c r="EX10" s="59" t="str">
        <f t="shared" si="3"/>
        <v>Y</v>
      </c>
      <c r="EY10" s="59" t="str">
        <f t="shared" si="4"/>
        <v>Y</v>
      </c>
      <c r="EZ10" s="59" t="str">
        <f t="shared" si="5"/>
        <v>Y</v>
      </c>
      <c r="FA10" s="59" t="str">
        <f t="shared" si="6"/>
        <v>Y</v>
      </c>
      <c r="FB10" s="59" t="str">
        <f t="shared" ref="FB10:FB36" si="71">IF(M10=N10,"Y","N")</f>
        <v>Y</v>
      </c>
      <c r="FC10" s="59" t="str">
        <f t="shared" si="8"/>
        <v>Y</v>
      </c>
      <c r="FD10" s="59" t="str">
        <f t="shared" si="9"/>
        <v>Y</v>
      </c>
      <c r="FE10" s="59" t="str">
        <f t="shared" si="10"/>
        <v>Y</v>
      </c>
      <c r="FF10" s="59" t="str">
        <f t="shared" si="11"/>
        <v>Y</v>
      </c>
      <c r="FG10" s="59" t="str">
        <f t="shared" si="12"/>
        <v>Y</v>
      </c>
      <c r="FH10" s="59" t="str">
        <f t="shared" si="13"/>
        <v>Y</v>
      </c>
      <c r="FI10" s="59" t="str">
        <f t="shared" si="14"/>
        <v>Y</v>
      </c>
      <c r="FJ10" s="59" t="str">
        <f t="shared" si="15"/>
        <v>Y</v>
      </c>
      <c r="FK10" s="59" t="str">
        <f t="shared" si="16"/>
        <v>Y</v>
      </c>
      <c r="FL10" s="59" t="str">
        <f t="shared" si="17"/>
        <v>Y</v>
      </c>
      <c r="FM10" s="59" t="str">
        <f t="shared" si="18"/>
        <v>Y</v>
      </c>
      <c r="FN10" s="59" t="str">
        <f t="shared" si="19"/>
        <v>Y</v>
      </c>
      <c r="FO10" s="59" t="str">
        <f t="shared" si="20"/>
        <v>Y</v>
      </c>
      <c r="FP10" s="59" t="str">
        <f t="shared" si="21"/>
        <v>Y</v>
      </c>
      <c r="FQ10" s="59" t="str">
        <f t="shared" si="22"/>
        <v>Y</v>
      </c>
      <c r="FR10" s="59" t="str">
        <f t="shared" si="23"/>
        <v>Y</v>
      </c>
      <c r="FS10" s="59" t="str">
        <f t="shared" si="24"/>
        <v>Y</v>
      </c>
      <c r="FT10" s="59" t="str">
        <f t="shared" si="25"/>
        <v>Y</v>
      </c>
      <c r="FU10" s="59" t="str">
        <f t="shared" si="26"/>
        <v>Y</v>
      </c>
      <c r="FV10" s="59" t="str">
        <f t="shared" si="27"/>
        <v>Y</v>
      </c>
      <c r="FW10" s="59" t="str">
        <f t="shared" si="28"/>
        <v>Y</v>
      </c>
      <c r="FX10" s="59" t="str">
        <f t="shared" si="29"/>
        <v>Y</v>
      </c>
      <c r="FY10" s="59" t="str">
        <f t="shared" si="30"/>
        <v>Y</v>
      </c>
      <c r="FZ10" s="59" t="str">
        <f t="shared" si="31"/>
        <v>Y</v>
      </c>
      <c r="GA10" s="59" t="str">
        <f t="shared" si="32"/>
        <v>Y</v>
      </c>
      <c r="GB10" s="59" t="str">
        <f t="shared" si="33"/>
        <v>Y</v>
      </c>
      <c r="GC10" s="59" t="str">
        <f t="shared" si="34"/>
        <v>Y</v>
      </c>
      <c r="GD10" s="59" t="str">
        <f t="shared" si="35"/>
        <v>Y</v>
      </c>
      <c r="GE10" s="59" t="str">
        <f t="shared" si="36"/>
        <v>Y</v>
      </c>
      <c r="GF10" s="59" t="str">
        <f t="shared" si="37"/>
        <v>Y</v>
      </c>
      <c r="GG10" s="59" t="str">
        <f t="shared" si="38"/>
        <v>Y</v>
      </c>
      <c r="GH10" s="59" t="str">
        <f t="shared" si="39"/>
        <v>Y</v>
      </c>
      <c r="GI10" s="59" t="str">
        <f t="shared" si="40"/>
        <v>Y</v>
      </c>
      <c r="GJ10" s="59" t="str">
        <f t="shared" si="41"/>
        <v>Y</v>
      </c>
      <c r="GK10" s="59" t="str">
        <f t="shared" si="42"/>
        <v>Y</v>
      </c>
      <c r="GL10" s="59" t="str">
        <f t="shared" si="43"/>
        <v>Y</v>
      </c>
      <c r="GM10" s="59" t="str">
        <f t="shared" si="44"/>
        <v>Y</v>
      </c>
      <c r="GN10" s="59" t="str">
        <f t="shared" si="45"/>
        <v>Y</v>
      </c>
      <c r="GO10" s="59" t="str">
        <f t="shared" si="46"/>
        <v>Y</v>
      </c>
      <c r="GP10" s="59" t="str">
        <f t="shared" si="47"/>
        <v>Y</v>
      </c>
      <c r="GQ10" s="59" t="str">
        <f t="shared" si="48"/>
        <v>Y</v>
      </c>
      <c r="GR10" s="59" t="str">
        <f t="shared" si="49"/>
        <v>Y</v>
      </c>
      <c r="GS10" s="59" t="str">
        <f t="shared" si="50"/>
        <v>Y</v>
      </c>
      <c r="GT10" s="59" t="str">
        <f t="shared" si="51"/>
        <v>Y</v>
      </c>
      <c r="GU10" s="59" t="str">
        <f t="shared" si="52"/>
        <v>Y</v>
      </c>
      <c r="GV10" s="59" t="str">
        <f t="shared" si="53"/>
        <v>Y</v>
      </c>
      <c r="GW10" s="59" t="str">
        <f t="shared" si="54"/>
        <v>Y</v>
      </c>
      <c r="GX10" s="59" t="str">
        <f t="shared" si="55"/>
        <v>Y</v>
      </c>
      <c r="GY10" s="59" t="str">
        <f t="shared" si="56"/>
        <v>Y</v>
      </c>
      <c r="GZ10" s="59" t="str">
        <f t="shared" si="57"/>
        <v>Y</v>
      </c>
      <c r="HA10" s="59" t="str">
        <f t="shared" si="58"/>
        <v>Y</v>
      </c>
      <c r="HB10" s="59" t="str">
        <f t="shared" si="59"/>
        <v>Y</v>
      </c>
      <c r="HC10" s="59" t="str">
        <f t="shared" si="60"/>
        <v>Y</v>
      </c>
      <c r="HD10" s="59" t="str">
        <f t="shared" si="61"/>
        <v>Y</v>
      </c>
      <c r="HE10" s="59" t="str">
        <f t="shared" si="62"/>
        <v>Y</v>
      </c>
      <c r="HF10" s="59" t="str">
        <f t="shared" si="63"/>
        <v>Y</v>
      </c>
      <c r="HG10" s="59" t="str">
        <f t="shared" si="64"/>
        <v>Y</v>
      </c>
      <c r="HH10" s="59" t="str">
        <f t="shared" si="65"/>
        <v>Y</v>
      </c>
      <c r="HI10" s="59" t="str">
        <f t="shared" si="66"/>
        <v>Y</v>
      </c>
      <c r="HJ10" s="68" t="str">
        <f t="shared" si="67"/>
        <v>Y</v>
      </c>
      <c r="HK10" s="59"/>
      <c r="HL10" s="68"/>
    </row>
    <row r="11" spans="1:220" ht="16" x14ac:dyDescent="0.2">
      <c r="A11" s="77" t="s">
        <v>117</v>
      </c>
      <c r="B11" s="70">
        <v>2018</v>
      </c>
      <c r="C11" s="70" t="s">
        <v>59</v>
      </c>
      <c r="D11" s="70" t="s">
        <v>59</v>
      </c>
      <c r="E11" s="59" t="s">
        <v>59</v>
      </c>
      <c r="F11" s="70" t="s">
        <v>59</v>
      </c>
      <c r="G11" s="70" t="s">
        <v>59</v>
      </c>
      <c r="H11" s="70" t="s">
        <v>59</v>
      </c>
      <c r="I11" s="70" t="s">
        <v>59</v>
      </c>
      <c r="J11" s="70" t="s">
        <v>59</v>
      </c>
      <c r="K11" s="70" t="s">
        <v>59</v>
      </c>
      <c r="L11" s="59" t="s">
        <v>59</v>
      </c>
      <c r="M11" s="59" t="s">
        <v>59</v>
      </c>
      <c r="N11" s="59" t="s">
        <v>59</v>
      </c>
      <c r="O11" s="59" t="s">
        <v>59</v>
      </c>
      <c r="P11" s="59" t="s">
        <v>59</v>
      </c>
      <c r="Q11" s="59" t="s">
        <v>59</v>
      </c>
      <c r="R11" s="59" t="s">
        <v>59</v>
      </c>
      <c r="S11" s="59" t="s">
        <v>59</v>
      </c>
      <c r="T11" s="59" t="s">
        <v>59</v>
      </c>
      <c r="U11" s="70">
        <v>160</v>
      </c>
      <c r="V11" s="70">
        <v>160</v>
      </c>
      <c r="W11" s="70" t="s">
        <v>59</v>
      </c>
      <c r="X11" s="70" t="s">
        <v>59</v>
      </c>
      <c r="Y11" s="70" t="s">
        <v>59</v>
      </c>
      <c r="Z11" s="70" t="s">
        <v>59</v>
      </c>
      <c r="AA11" s="70" t="s">
        <v>59</v>
      </c>
      <c r="AB11" s="70" t="s">
        <v>59</v>
      </c>
      <c r="AC11" s="59" t="s">
        <v>343</v>
      </c>
      <c r="AD11" s="59" t="s">
        <v>118</v>
      </c>
      <c r="AE11" s="70" t="s">
        <v>118</v>
      </c>
      <c r="AF11" s="70" t="s">
        <v>103</v>
      </c>
      <c r="AG11" s="70" t="s">
        <v>86</v>
      </c>
      <c r="AH11" s="70" t="s">
        <v>86</v>
      </c>
      <c r="AI11" s="70" t="s">
        <v>85</v>
      </c>
      <c r="AJ11" s="70" t="s">
        <v>85</v>
      </c>
      <c r="AK11" s="70" t="s">
        <v>59</v>
      </c>
      <c r="AL11" s="70" t="s">
        <v>59</v>
      </c>
      <c r="AM11" s="70" t="s">
        <v>59</v>
      </c>
      <c r="AN11" s="70" t="s">
        <v>59</v>
      </c>
      <c r="AO11" s="70" t="s">
        <v>59</v>
      </c>
      <c r="AP11" s="70" t="s">
        <v>59</v>
      </c>
      <c r="AQ11" s="70" t="s">
        <v>59</v>
      </c>
      <c r="AR11" s="70" t="s">
        <v>59</v>
      </c>
      <c r="AS11" s="71" t="s">
        <v>59</v>
      </c>
      <c r="AT11" s="72" t="s">
        <v>59</v>
      </c>
      <c r="AU11" s="71" t="s">
        <v>59</v>
      </c>
      <c r="AV11" s="72" t="s">
        <v>59</v>
      </c>
      <c r="AW11" s="71" t="s">
        <v>59</v>
      </c>
      <c r="AX11" s="72" t="s">
        <v>59</v>
      </c>
      <c r="AY11" s="70">
        <v>160</v>
      </c>
      <c r="AZ11" s="70">
        <v>160</v>
      </c>
      <c r="BA11" s="70">
        <v>20</v>
      </c>
      <c r="BB11" s="70">
        <v>20</v>
      </c>
      <c r="BC11" s="70" t="s">
        <v>95</v>
      </c>
      <c r="BD11" s="70" t="s">
        <v>95</v>
      </c>
      <c r="BE11" s="70">
        <f t="shared" si="68"/>
        <v>20</v>
      </c>
      <c r="BF11" s="70">
        <f t="shared" si="69"/>
        <v>20</v>
      </c>
      <c r="BG11" s="70">
        <f t="shared" si="0"/>
        <v>0</v>
      </c>
      <c r="BH11" s="70">
        <f t="shared" si="1"/>
        <v>0</v>
      </c>
      <c r="BI11" s="70">
        <v>3</v>
      </c>
      <c r="BJ11" s="70">
        <v>3</v>
      </c>
      <c r="BK11" s="70">
        <v>15</v>
      </c>
      <c r="BL11" s="70">
        <v>15</v>
      </c>
      <c r="BM11" s="70">
        <v>0</v>
      </c>
      <c r="BN11" s="70">
        <v>0</v>
      </c>
      <c r="BO11" s="70">
        <v>0</v>
      </c>
      <c r="BP11" s="70">
        <v>0</v>
      </c>
      <c r="BQ11" s="70">
        <v>0</v>
      </c>
      <c r="BR11" s="70">
        <v>0</v>
      </c>
      <c r="BS11" s="70">
        <v>2</v>
      </c>
      <c r="BT11" s="70">
        <v>2</v>
      </c>
      <c r="BU11" s="70">
        <v>0</v>
      </c>
      <c r="BV11" s="70">
        <v>0</v>
      </c>
      <c r="BW11" s="70">
        <v>0</v>
      </c>
      <c r="BX11" s="70">
        <v>0</v>
      </c>
      <c r="BY11" s="70">
        <v>0</v>
      </c>
      <c r="BZ11" s="70">
        <v>0</v>
      </c>
      <c r="CA11" s="70">
        <v>0</v>
      </c>
      <c r="CB11" s="70">
        <v>0</v>
      </c>
      <c r="CC11" s="70">
        <v>0</v>
      </c>
      <c r="CD11" s="70">
        <v>0</v>
      </c>
      <c r="CE11" s="70">
        <v>0</v>
      </c>
      <c r="CF11" s="70">
        <v>0</v>
      </c>
      <c r="CG11" s="70">
        <v>0</v>
      </c>
      <c r="CH11" s="70">
        <v>0</v>
      </c>
      <c r="CI11" s="70">
        <v>0</v>
      </c>
      <c r="CJ11" s="70">
        <v>0</v>
      </c>
      <c r="CK11" s="70">
        <v>0</v>
      </c>
      <c r="CL11" s="70">
        <v>0</v>
      </c>
      <c r="CM11" s="70">
        <v>0</v>
      </c>
      <c r="CN11" s="70">
        <v>0</v>
      </c>
      <c r="CO11" s="70">
        <v>0</v>
      </c>
      <c r="CP11" s="70">
        <v>0</v>
      </c>
      <c r="CQ11" s="70" t="s">
        <v>59</v>
      </c>
      <c r="CR11" s="70" t="s">
        <v>59</v>
      </c>
      <c r="CS11" s="70" t="s">
        <v>59</v>
      </c>
      <c r="CT11" s="70" t="s">
        <v>59</v>
      </c>
      <c r="CU11" s="70" t="s">
        <v>59</v>
      </c>
      <c r="CV11" s="70" t="s">
        <v>59</v>
      </c>
      <c r="CW11" s="70" t="s">
        <v>108</v>
      </c>
      <c r="CX11" s="70" t="s">
        <v>108</v>
      </c>
      <c r="CY11" s="70" t="s">
        <v>59</v>
      </c>
      <c r="CZ11" s="70" t="s">
        <v>59</v>
      </c>
      <c r="DA11" s="70" t="s">
        <v>108</v>
      </c>
      <c r="DB11" s="70" t="s">
        <v>108</v>
      </c>
      <c r="DC11" s="70" t="s">
        <v>59</v>
      </c>
      <c r="DD11" s="70" t="s">
        <v>59</v>
      </c>
      <c r="DE11" s="70" t="s">
        <v>59</v>
      </c>
      <c r="DF11" s="70" t="s">
        <v>59</v>
      </c>
      <c r="DG11" s="70" t="s">
        <v>59</v>
      </c>
      <c r="DH11" s="70" t="s">
        <v>59</v>
      </c>
      <c r="DI11" s="70" t="s">
        <v>59</v>
      </c>
      <c r="DJ11" s="70" t="s">
        <v>59</v>
      </c>
      <c r="DK11" s="70" t="s">
        <v>59</v>
      </c>
      <c r="DL11" s="70" t="s">
        <v>59</v>
      </c>
      <c r="DM11" s="70" t="s">
        <v>59</v>
      </c>
      <c r="DN11" s="59" t="s">
        <v>59</v>
      </c>
      <c r="DO11" s="70" t="s">
        <v>59</v>
      </c>
      <c r="DP11" s="70" t="s">
        <v>59</v>
      </c>
      <c r="DQ11" s="70" t="s">
        <v>59</v>
      </c>
      <c r="DR11" s="70" t="s">
        <v>59</v>
      </c>
      <c r="DS11" s="70" t="s">
        <v>305</v>
      </c>
      <c r="DT11" s="70" t="s">
        <v>305</v>
      </c>
      <c r="DU11" s="70" t="s">
        <v>59</v>
      </c>
      <c r="DV11" s="70" t="s">
        <v>59</v>
      </c>
      <c r="DW11" s="70" t="s">
        <v>59</v>
      </c>
      <c r="DX11" s="70" t="s">
        <v>59</v>
      </c>
      <c r="DY11" s="70">
        <v>1</v>
      </c>
      <c r="DZ11" s="70">
        <v>1</v>
      </c>
      <c r="EA11" s="70">
        <v>1</v>
      </c>
      <c r="EB11" s="70">
        <v>1</v>
      </c>
      <c r="EC11" s="70">
        <v>1</v>
      </c>
      <c r="ED11" s="70">
        <v>1</v>
      </c>
      <c r="EE11" s="70">
        <v>1</v>
      </c>
      <c r="EF11" s="70">
        <v>1</v>
      </c>
      <c r="EG11" s="70">
        <v>1</v>
      </c>
      <c r="EH11" s="70">
        <v>1</v>
      </c>
      <c r="EI11" s="70">
        <v>1</v>
      </c>
      <c r="EJ11" s="70">
        <v>1</v>
      </c>
      <c r="EK11" s="70">
        <v>1</v>
      </c>
      <c r="EL11" s="70">
        <v>1</v>
      </c>
      <c r="EM11" s="70">
        <v>1</v>
      </c>
      <c r="EN11" s="70">
        <v>1</v>
      </c>
      <c r="EO11" s="70">
        <v>1</v>
      </c>
      <c r="EP11" s="70">
        <v>1</v>
      </c>
      <c r="EQ11" s="70">
        <v>1</v>
      </c>
      <c r="ER11" s="70">
        <v>1</v>
      </c>
      <c r="ES11" s="70">
        <f t="shared" si="70"/>
        <v>10</v>
      </c>
      <c r="ET11" s="70">
        <f t="shared" si="70"/>
        <v>10</v>
      </c>
      <c r="EU11" s="77" t="s">
        <v>117</v>
      </c>
      <c r="EV11" s="75">
        <v>2018</v>
      </c>
      <c r="EW11" s="59" t="str">
        <f t="shared" si="2"/>
        <v>Y</v>
      </c>
      <c r="EX11" s="59" t="str">
        <f t="shared" si="3"/>
        <v>Y</v>
      </c>
      <c r="EY11" s="59" t="str">
        <f t="shared" si="4"/>
        <v>Y</v>
      </c>
      <c r="EZ11" s="59" t="str">
        <f t="shared" si="5"/>
        <v>Y</v>
      </c>
      <c r="FA11" s="59" t="str">
        <f t="shared" si="6"/>
        <v>Y</v>
      </c>
      <c r="FB11" s="59" t="str">
        <f t="shared" si="71"/>
        <v>Y</v>
      </c>
      <c r="FC11" s="59" t="str">
        <f t="shared" si="8"/>
        <v>Y</v>
      </c>
      <c r="FD11" s="59" t="str">
        <f t="shared" si="9"/>
        <v>Y</v>
      </c>
      <c r="FE11" s="59" t="str">
        <f t="shared" si="10"/>
        <v>Y</v>
      </c>
      <c r="FF11" s="59" t="str">
        <f t="shared" si="11"/>
        <v>Y</v>
      </c>
      <c r="FG11" s="59" t="str">
        <f t="shared" si="12"/>
        <v>Y</v>
      </c>
      <c r="FH11" s="59" t="str">
        <f t="shared" si="13"/>
        <v>Y</v>
      </c>
      <c r="FI11" s="59" t="str">
        <f t="shared" si="14"/>
        <v>Y</v>
      </c>
      <c r="FJ11" s="59" t="str">
        <f t="shared" si="15"/>
        <v>Y</v>
      </c>
      <c r="FK11" s="59" t="str">
        <f t="shared" si="16"/>
        <v>Y</v>
      </c>
      <c r="FL11" s="59" t="str">
        <f t="shared" si="17"/>
        <v>Y</v>
      </c>
      <c r="FM11" s="59" t="str">
        <f t="shared" si="18"/>
        <v>Y</v>
      </c>
      <c r="FN11" s="59" t="str">
        <f t="shared" si="19"/>
        <v>Y</v>
      </c>
      <c r="FO11" s="59" t="str">
        <f t="shared" si="20"/>
        <v>Y</v>
      </c>
      <c r="FP11" s="59" t="str">
        <f t="shared" si="21"/>
        <v>Y</v>
      </c>
      <c r="FQ11" s="59" t="str">
        <f t="shared" si="22"/>
        <v>Y</v>
      </c>
      <c r="FR11" s="59" t="str">
        <f t="shared" si="23"/>
        <v>Y</v>
      </c>
      <c r="FS11" s="59" t="str">
        <f t="shared" si="24"/>
        <v>Y</v>
      </c>
      <c r="FT11" s="59" t="str">
        <f t="shared" si="25"/>
        <v>Y</v>
      </c>
      <c r="FU11" s="59" t="str">
        <f t="shared" si="26"/>
        <v>Y</v>
      </c>
      <c r="FV11" s="59" t="str">
        <f t="shared" si="27"/>
        <v>Y</v>
      </c>
      <c r="FW11" s="59" t="str">
        <f t="shared" si="28"/>
        <v>Y</v>
      </c>
      <c r="FX11" s="59" t="str">
        <f t="shared" si="29"/>
        <v>Y</v>
      </c>
      <c r="FY11" s="59" t="str">
        <f t="shared" si="30"/>
        <v>Y</v>
      </c>
      <c r="FZ11" s="59" t="str">
        <f t="shared" si="31"/>
        <v>Y</v>
      </c>
      <c r="GA11" s="59" t="str">
        <f t="shared" si="32"/>
        <v>Y</v>
      </c>
      <c r="GB11" s="59" t="str">
        <f t="shared" si="33"/>
        <v>Y</v>
      </c>
      <c r="GC11" s="59" t="str">
        <f t="shared" si="34"/>
        <v>Y</v>
      </c>
      <c r="GD11" s="59" t="str">
        <f t="shared" si="35"/>
        <v>Y</v>
      </c>
      <c r="GE11" s="59" t="str">
        <f t="shared" si="36"/>
        <v>Y</v>
      </c>
      <c r="GF11" s="59" t="str">
        <f t="shared" si="37"/>
        <v>Y</v>
      </c>
      <c r="GG11" s="59" t="str">
        <f t="shared" si="38"/>
        <v>Y</v>
      </c>
      <c r="GH11" s="59" t="str">
        <f t="shared" si="39"/>
        <v>Y</v>
      </c>
      <c r="GI11" s="59" t="str">
        <f t="shared" si="40"/>
        <v>Y</v>
      </c>
      <c r="GJ11" s="59" t="str">
        <f t="shared" si="41"/>
        <v>Y</v>
      </c>
      <c r="GK11" s="59" t="str">
        <f t="shared" si="42"/>
        <v>Y</v>
      </c>
      <c r="GL11" s="59" t="str">
        <f t="shared" si="43"/>
        <v>Y</v>
      </c>
      <c r="GM11" s="59" t="str">
        <f t="shared" si="44"/>
        <v>Y</v>
      </c>
      <c r="GN11" s="59" t="str">
        <f t="shared" si="45"/>
        <v>Y</v>
      </c>
      <c r="GO11" s="59" t="str">
        <f t="shared" si="46"/>
        <v>Y</v>
      </c>
      <c r="GP11" s="59" t="str">
        <f t="shared" si="47"/>
        <v>Y</v>
      </c>
      <c r="GQ11" s="59" t="str">
        <f t="shared" si="48"/>
        <v>Y</v>
      </c>
      <c r="GR11" s="59" t="str">
        <f t="shared" si="49"/>
        <v>Y</v>
      </c>
      <c r="GS11" s="59" t="str">
        <f t="shared" si="50"/>
        <v>Y</v>
      </c>
      <c r="GT11" s="59" t="str">
        <f t="shared" si="51"/>
        <v>Y</v>
      </c>
      <c r="GU11" s="59" t="str">
        <f t="shared" si="52"/>
        <v>Y</v>
      </c>
      <c r="GV11" s="59" t="str">
        <f t="shared" si="53"/>
        <v>Y</v>
      </c>
      <c r="GW11" s="59" t="str">
        <f t="shared" si="54"/>
        <v>Y</v>
      </c>
      <c r="GX11" s="59" t="str">
        <f t="shared" si="55"/>
        <v>Y</v>
      </c>
      <c r="GY11" s="59" t="str">
        <f t="shared" si="56"/>
        <v>Y</v>
      </c>
      <c r="GZ11" s="59" t="str">
        <f t="shared" si="57"/>
        <v>Y</v>
      </c>
      <c r="HA11" s="59" t="str">
        <f t="shared" si="58"/>
        <v>Y</v>
      </c>
      <c r="HB11" s="59" t="str">
        <f t="shared" si="59"/>
        <v>Y</v>
      </c>
      <c r="HC11" s="59" t="str">
        <f t="shared" si="60"/>
        <v>Y</v>
      </c>
      <c r="HD11" s="59" t="str">
        <f t="shared" si="61"/>
        <v>Y</v>
      </c>
      <c r="HE11" s="59" t="str">
        <f t="shared" si="62"/>
        <v>Y</v>
      </c>
      <c r="HF11" s="59" t="str">
        <f t="shared" si="63"/>
        <v>Y</v>
      </c>
      <c r="HG11" s="59" t="str">
        <f t="shared" si="64"/>
        <v>Y</v>
      </c>
      <c r="HH11" s="59" t="str">
        <f t="shared" si="65"/>
        <v>Y</v>
      </c>
      <c r="HI11" s="59" t="str">
        <f t="shared" si="66"/>
        <v>Y</v>
      </c>
      <c r="HJ11" s="68" t="str">
        <f t="shared" si="67"/>
        <v>Y</v>
      </c>
      <c r="HK11" s="59"/>
      <c r="HL11" s="68"/>
    </row>
    <row r="12" spans="1:220" ht="32" x14ac:dyDescent="0.2">
      <c r="A12" s="69" t="s">
        <v>119</v>
      </c>
      <c r="B12" s="70">
        <v>2021</v>
      </c>
      <c r="C12" s="70">
        <v>61</v>
      </c>
      <c r="D12" s="70">
        <v>61</v>
      </c>
      <c r="E12" s="59">
        <v>44</v>
      </c>
      <c r="F12" s="70">
        <v>44</v>
      </c>
      <c r="G12" s="70" t="s">
        <v>59</v>
      </c>
      <c r="H12" s="70" t="s">
        <v>59</v>
      </c>
      <c r="I12" s="70" t="s">
        <v>59</v>
      </c>
      <c r="J12" s="70" t="s">
        <v>59</v>
      </c>
      <c r="K12" s="70" t="s">
        <v>59</v>
      </c>
      <c r="L12" s="59" t="s">
        <v>59</v>
      </c>
      <c r="M12" s="59" t="s">
        <v>59</v>
      </c>
      <c r="N12" s="59" t="s">
        <v>59</v>
      </c>
      <c r="O12" s="59" t="s">
        <v>59</v>
      </c>
      <c r="P12" s="59" t="s">
        <v>59</v>
      </c>
      <c r="Q12" s="59" t="s">
        <v>59</v>
      </c>
      <c r="R12" s="59" t="s">
        <v>59</v>
      </c>
      <c r="S12" s="59" t="s">
        <v>59</v>
      </c>
      <c r="T12" s="59" t="s">
        <v>59</v>
      </c>
      <c r="U12" s="70">
        <v>0</v>
      </c>
      <c r="V12" s="70">
        <v>0</v>
      </c>
      <c r="W12" s="70">
        <v>105</v>
      </c>
      <c r="X12" s="70">
        <v>105</v>
      </c>
      <c r="Y12" s="70">
        <v>0</v>
      </c>
      <c r="Z12" s="70">
        <v>0</v>
      </c>
      <c r="AA12" s="70">
        <v>0</v>
      </c>
      <c r="AB12" s="70">
        <v>0</v>
      </c>
      <c r="AC12" s="59" t="s">
        <v>101</v>
      </c>
      <c r="AD12" s="59" t="s">
        <v>120</v>
      </c>
      <c r="AE12" s="70" t="s">
        <v>120</v>
      </c>
      <c r="AF12" s="70" t="s">
        <v>103</v>
      </c>
      <c r="AG12" s="70" t="s">
        <v>85</v>
      </c>
      <c r="AH12" s="70" t="s">
        <v>85</v>
      </c>
      <c r="AI12" s="70" t="s">
        <v>86</v>
      </c>
      <c r="AJ12" s="70" t="s">
        <v>86</v>
      </c>
      <c r="AK12" s="70" t="s">
        <v>86</v>
      </c>
      <c r="AL12" s="70" t="s">
        <v>86</v>
      </c>
      <c r="AM12" s="70">
        <v>105</v>
      </c>
      <c r="AN12" s="70">
        <v>105</v>
      </c>
      <c r="AO12" s="70">
        <v>0</v>
      </c>
      <c r="AP12" s="70">
        <v>0</v>
      </c>
      <c r="AQ12" s="70">
        <v>0</v>
      </c>
      <c r="AR12" s="70">
        <v>0</v>
      </c>
      <c r="AS12" s="71">
        <v>79</v>
      </c>
      <c r="AT12" s="72">
        <v>79</v>
      </c>
      <c r="AU12" s="71" t="s">
        <v>59</v>
      </c>
      <c r="AV12" s="72" t="s">
        <v>59</v>
      </c>
      <c r="AW12" s="71" t="s">
        <v>59</v>
      </c>
      <c r="AX12" s="72" t="s">
        <v>59</v>
      </c>
      <c r="AY12" s="70">
        <v>105</v>
      </c>
      <c r="AZ12" s="70">
        <v>105</v>
      </c>
      <c r="BA12" s="70">
        <v>4</v>
      </c>
      <c r="BB12" s="70">
        <v>4</v>
      </c>
      <c r="BC12" s="70" t="s">
        <v>95</v>
      </c>
      <c r="BD12" s="70" t="s">
        <v>95</v>
      </c>
      <c r="BE12" s="70">
        <f t="shared" si="68"/>
        <v>4</v>
      </c>
      <c r="BF12" s="70">
        <f t="shared" si="69"/>
        <v>4</v>
      </c>
      <c r="BG12" s="70">
        <f t="shared" si="0"/>
        <v>0</v>
      </c>
      <c r="BH12" s="70">
        <f t="shared" si="1"/>
        <v>0</v>
      </c>
      <c r="BI12" s="70">
        <v>0</v>
      </c>
      <c r="BJ12" s="70">
        <v>0</v>
      </c>
      <c r="BK12" s="70">
        <v>0</v>
      </c>
      <c r="BL12" s="70">
        <v>0</v>
      </c>
      <c r="BM12" s="70">
        <v>0</v>
      </c>
      <c r="BN12" s="70">
        <v>0</v>
      </c>
      <c r="BO12" s="70">
        <v>0</v>
      </c>
      <c r="BP12" s="70">
        <v>0</v>
      </c>
      <c r="BQ12" s="70">
        <v>0</v>
      </c>
      <c r="BR12" s="70">
        <v>0</v>
      </c>
      <c r="BS12" s="70">
        <v>0</v>
      </c>
      <c r="BT12" s="70">
        <v>0</v>
      </c>
      <c r="BU12" s="70">
        <v>1</v>
      </c>
      <c r="BV12" s="70">
        <v>1</v>
      </c>
      <c r="BW12" s="70">
        <v>0</v>
      </c>
      <c r="BX12" s="70">
        <v>0</v>
      </c>
      <c r="BY12" s="70">
        <v>1</v>
      </c>
      <c r="BZ12" s="70">
        <v>1</v>
      </c>
      <c r="CA12" s="70">
        <v>1</v>
      </c>
      <c r="CB12" s="70">
        <v>1</v>
      </c>
      <c r="CC12" s="70">
        <v>0</v>
      </c>
      <c r="CD12" s="70">
        <v>0</v>
      </c>
      <c r="CE12" s="70">
        <v>0</v>
      </c>
      <c r="CF12" s="70">
        <v>0</v>
      </c>
      <c r="CG12" s="70">
        <v>0</v>
      </c>
      <c r="CH12" s="70">
        <v>0</v>
      </c>
      <c r="CI12" s="70">
        <v>0</v>
      </c>
      <c r="CJ12" s="70">
        <v>0</v>
      </c>
      <c r="CK12" s="70">
        <v>1</v>
      </c>
      <c r="CL12" s="70">
        <v>1</v>
      </c>
      <c r="CM12" s="70">
        <v>0</v>
      </c>
      <c r="CN12" s="70">
        <v>0</v>
      </c>
      <c r="CO12" s="70">
        <v>0</v>
      </c>
      <c r="CP12" s="70">
        <v>0</v>
      </c>
      <c r="CQ12" s="70" t="s">
        <v>88</v>
      </c>
      <c r="CR12" s="70" t="s">
        <v>88</v>
      </c>
      <c r="CS12" s="70" t="s">
        <v>59</v>
      </c>
      <c r="CT12" s="70" t="s">
        <v>59</v>
      </c>
      <c r="CU12" s="70" t="s">
        <v>59</v>
      </c>
      <c r="CV12" s="70" t="s">
        <v>59</v>
      </c>
      <c r="CW12" s="70" t="s">
        <v>121</v>
      </c>
      <c r="CX12" s="70" t="s">
        <v>121</v>
      </c>
      <c r="CY12" s="70" t="s">
        <v>88</v>
      </c>
      <c r="CZ12" s="70" t="s">
        <v>88</v>
      </c>
      <c r="DA12" s="70" t="s">
        <v>88</v>
      </c>
      <c r="DB12" s="70" t="s">
        <v>88</v>
      </c>
      <c r="DC12" s="70" t="s">
        <v>88</v>
      </c>
      <c r="DD12" s="70" t="s">
        <v>88</v>
      </c>
      <c r="DE12" s="70" t="s">
        <v>88</v>
      </c>
      <c r="DF12" s="70" t="s">
        <v>88</v>
      </c>
      <c r="DG12" s="70" t="s">
        <v>59</v>
      </c>
      <c r="DH12" s="70" t="s">
        <v>59</v>
      </c>
      <c r="DI12" s="70" t="s">
        <v>88</v>
      </c>
      <c r="DJ12" s="70" t="s">
        <v>88</v>
      </c>
      <c r="DK12" s="70" t="s">
        <v>59</v>
      </c>
      <c r="DL12" s="70" t="s">
        <v>59</v>
      </c>
      <c r="DM12" s="70" t="s">
        <v>59</v>
      </c>
      <c r="DN12" s="59" t="s">
        <v>59</v>
      </c>
      <c r="DO12" s="70" t="s">
        <v>59</v>
      </c>
      <c r="DP12" s="70" t="s">
        <v>59</v>
      </c>
      <c r="DQ12" s="70" t="s">
        <v>59</v>
      </c>
      <c r="DR12" s="70" t="s">
        <v>59</v>
      </c>
      <c r="DS12" s="70" t="s">
        <v>305</v>
      </c>
      <c r="DT12" s="70" t="s">
        <v>305</v>
      </c>
      <c r="DU12" s="70" t="s">
        <v>96</v>
      </c>
      <c r="DV12" s="70" t="s">
        <v>123</v>
      </c>
      <c r="DW12" s="70" t="s">
        <v>90</v>
      </c>
      <c r="DX12" s="70" t="s">
        <v>90</v>
      </c>
      <c r="DY12" s="70">
        <v>1</v>
      </c>
      <c r="DZ12" s="70">
        <v>1</v>
      </c>
      <c r="EA12" s="70">
        <v>1</v>
      </c>
      <c r="EB12" s="70">
        <v>1</v>
      </c>
      <c r="EC12" s="70">
        <v>1</v>
      </c>
      <c r="ED12" s="70">
        <v>1</v>
      </c>
      <c r="EE12" s="70">
        <v>1</v>
      </c>
      <c r="EF12" s="70">
        <v>1</v>
      </c>
      <c r="EG12" s="70">
        <v>1</v>
      </c>
      <c r="EH12" s="70">
        <v>1</v>
      </c>
      <c r="EI12" s="70">
        <v>1</v>
      </c>
      <c r="EJ12" s="70">
        <v>1</v>
      </c>
      <c r="EK12" s="70">
        <v>1</v>
      </c>
      <c r="EL12" s="70">
        <v>1</v>
      </c>
      <c r="EM12" s="70">
        <v>1</v>
      </c>
      <c r="EN12" s="70">
        <v>1</v>
      </c>
      <c r="EO12" s="70">
        <v>1</v>
      </c>
      <c r="EP12" s="70">
        <v>1</v>
      </c>
      <c r="EQ12" s="70">
        <v>1</v>
      </c>
      <c r="ER12" s="70">
        <v>1</v>
      </c>
      <c r="ES12" s="70">
        <f t="shared" si="70"/>
        <v>10</v>
      </c>
      <c r="ET12" s="70">
        <f t="shared" si="70"/>
        <v>10</v>
      </c>
      <c r="EU12" s="74" t="s">
        <v>119</v>
      </c>
      <c r="EV12" s="78">
        <v>2021</v>
      </c>
      <c r="EW12" s="59" t="str">
        <f t="shared" si="2"/>
        <v>Y</v>
      </c>
      <c r="EX12" s="59" t="str">
        <f t="shared" si="3"/>
        <v>Y</v>
      </c>
      <c r="EY12" s="59" t="str">
        <f t="shared" si="4"/>
        <v>Y</v>
      </c>
      <c r="EZ12" s="59" t="str">
        <f t="shared" si="5"/>
        <v>Y</v>
      </c>
      <c r="FA12" s="59" t="str">
        <f t="shared" si="6"/>
        <v>Y</v>
      </c>
      <c r="FB12" s="59" t="str">
        <f t="shared" si="71"/>
        <v>Y</v>
      </c>
      <c r="FC12" s="59" t="str">
        <f t="shared" si="8"/>
        <v>Y</v>
      </c>
      <c r="FD12" s="59" t="str">
        <f t="shared" si="9"/>
        <v>Y</v>
      </c>
      <c r="FE12" s="59" t="str">
        <f t="shared" si="10"/>
        <v>Y</v>
      </c>
      <c r="FF12" s="59" t="str">
        <f t="shared" si="11"/>
        <v>Y</v>
      </c>
      <c r="FG12" s="59" t="str">
        <f t="shared" si="12"/>
        <v>Y</v>
      </c>
      <c r="FH12" s="59" t="str">
        <f t="shared" si="13"/>
        <v>Y</v>
      </c>
      <c r="FI12" s="59" t="str">
        <f t="shared" si="14"/>
        <v>Y</v>
      </c>
      <c r="FJ12" s="59" t="str">
        <f t="shared" si="15"/>
        <v>Y</v>
      </c>
      <c r="FK12" s="59" t="str">
        <f t="shared" si="16"/>
        <v>Y</v>
      </c>
      <c r="FL12" s="59" t="str">
        <f t="shared" si="17"/>
        <v>Y</v>
      </c>
      <c r="FM12" s="59" t="str">
        <f t="shared" si="18"/>
        <v>Y</v>
      </c>
      <c r="FN12" s="59" t="str">
        <f t="shared" si="19"/>
        <v>Y</v>
      </c>
      <c r="FO12" s="59" t="str">
        <f t="shared" si="20"/>
        <v>Y</v>
      </c>
      <c r="FP12" s="59" t="str">
        <f t="shared" si="21"/>
        <v>Y</v>
      </c>
      <c r="FQ12" s="59" t="str">
        <f t="shared" si="22"/>
        <v>Y</v>
      </c>
      <c r="FR12" s="59" t="str">
        <f t="shared" si="23"/>
        <v>Y</v>
      </c>
      <c r="FS12" s="59" t="str">
        <f t="shared" si="24"/>
        <v>Y</v>
      </c>
      <c r="FT12" s="59" t="str">
        <f t="shared" si="25"/>
        <v>Y</v>
      </c>
      <c r="FU12" s="59" t="str">
        <f t="shared" si="26"/>
        <v>Y</v>
      </c>
      <c r="FV12" s="59" t="str">
        <f t="shared" si="27"/>
        <v>Y</v>
      </c>
      <c r="FW12" s="59" t="str">
        <f t="shared" si="28"/>
        <v>Y</v>
      </c>
      <c r="FX12" s="59" t="str">
        <f t="shared" si="29"/>
        <v>Y</v>
      </c>
      <c r="FY12" s="59" t="str">
        <f t="shared" si="30"/>
        <v>Y</v>
      </c>
      <c r="FZ12" s="59" t="str">
        <f t="shared" si="31"/>
        <v>Y</v>
      </c>
      <c r="GA12" s="59" t="str">
        <f t="shared" si="32"/>
        <v>Y</v>
      </c>
      <c r="GB12" s="59" t="str">
        <f t="shared" si="33"/>
        <v>Y</v>
      </c>
      <c r="GC12" s="59" t="str">
        <f t="shared" si="34"/>
        <v>Y</v>
      </c>
      <c r="GD12" s="59" t="str">
        <f t="shared" si="35"/>
        <v>Y</v>
      </c>
      <c r="GE12" s="59" t="str">
        <f t="shared" si="36"/>
        <v>Y</v>
      </c>
      <c r="GF12" s="59" t="str">
        <f t="shared" si="37"/>
        <v>Y</v>
      </c>
      <c r="GG12" s="59" t="str">
        <f t="shared" si="38"/>
        <v>Y</v>
      </c>
      <c r="GH12" s="59" t="str">
        <f t="shared" si="39"/>
        <v>Y</v>
      </c>
      <c r="GI12" s="59" t="str">
        <f t="shared" si="40"/>
        <v>Y</v>
      </c>
      <c r="GJ12" s="59" t="str">
        <f t="shared" si="41"/>
        <v>Y</v>
      </c>
      <c r="GK12" s="59" t="str">
        <f t="shared" si="42"/>
        <v>Y</v>
      </c>
      <c r="GL12" s="59" t="str">
        <f t="shared" si="43"/>
        <v>Y</v>
      </c>
      <c r="GM12" s="59" t="str">
        <f t="shared" si="44"/>
        <v>Y</v>
      </c>
      <c r="GN12" s="59" t="str">
        <f t="shared" si="45"/>
        <v>Y</v>
      </c>
      <c r="GO12" s="59" t="str">
        <f t="shared" si="46"/>
        <v>Y</v>
      </c>
      <c r="GP12" s="59" t="str">
        <f t="shared" si="47"/>
        <v>Y</v>
      </c>
      <c r="GQ12" s="59" t="str">
        <f t="shared" si="48"/>
        <v>Y</v>
      </c>
      <c r="GR12" s="59" t="str">
        <f t="shared" si="49"/>
        <v>Y</v>
      </c>
      <c r="GS12" s="59" t="str">
        <f t="shared" si="50"/>
        <v>Y</v>
      </c>
      <c r="GT12" s="59" t="str">
        <f t="shared" si="51"/>
        <v>Y</v>
      </c>
      <c r="GU12" s="59" t="str">
        <f t="shared" si="52"/>
        <v>Y</v>
      </c>
      <c r="GV12" s="59" t="str">
        <f t="shared" si="53"/>
        <v>Y</v>
      </c>
      <c r="GW12" s="59" t="str">
        <f t="shared" si="54"/>
        <v>Y</v>
      </c>
      <c r="GX12" s="59" t="str">
        <f t="shared" si="55"/>
        <v>Y</v>
      </c>
      <c r="GY12" s="59" t="str">
        <f t="shared" si="56"/>
        <v>Y</v>
      </c>
      <c r="GZ12" s="59" t="str">
        <f t="shared" si="57"/>
        <v>Y</v>
      </c>
      <c r="HA12" s="59" t="str">
        <f t="shared" si="58"/>
        <v>Y</v>
      </c>
      <c r="HB12" s="59" t="str">
        <f t="shared" si="59"/>
        <v>Y</v>
      </c>
      <c r="HC12" s="59" t="str">
        <f t="shared" si="60"/>
        <v>Y</v>
      </c>
      <c r="HD12" s="59" t="str">
        <f t="shared" si="61"/>
        <v>Y</v>
      </c>
      <c r="HE12" s="59" t="str">
        <f t="shared" si="62"/>
        <v>Y</v>
      </c>
      <c r="HF12" s="59" t="str">
        <f t="shared" si="63"/>
        <v>Y</v>
      </c>
      <c r="HG12" s="59" t="str">
        <f t="shared" si="64"/>
        <v>Y</v>
      </c>
      <c r="HH12" s="59" t="str">
        <f t="shared" si="65"/>
        <v>Y</v>
      </c>
      <c r="HI12" s="59" t="str">
        <f t="shared" si="66"/>
        <v>Y</v>
      </c>
      <c r="HJ12" s="68" t="str">
        <f t="shared" si="67"/>
        <v>Y</v>
      </c>
      <c r="HK12" s="59"/>
      <c r="HL12" s="68"/>
    </row>
    <row r="13" spans="1:220" ht="16" x14ac:dyDescent="0.2">
      <c r="A13" s="69" t="s">
        <v>124</v>
      </c>
      <c r="B13" s="70">
        <v>2019</v>
      </c>
      <c r="C13" s="70">
        <v>480</v>
      </c>
      <c r="D13" s="70">
        <v>480</v>
      </c>
      <c r="E13" s="59">
        <v>325</v>
      </c>
      <c r="F13" s="70">
        <v>325</v>
      </c>
      <c r="G13" s="70" t="s">
        <v>59</v>
      </c>
      <c r="H13" s="70" t="s">
        <v>59</v>
      </c>
      <c r="I13" s="70" t="s">
        <v>59</v>
      </c>
      <c r="J13" s="70" t="s">
        <v>59</v>
      </c>
      <c r="K13" s="70">
        <v>32</v>
      </c>
      <c r="L13" s="59">
        <v>32</v>
      </c>
      <c r="M13" s="59" t="s">
        <v>59</v>
      </c>
      <c r="N13" s="59" t="s">
        <v>59</v>
      </c>
      <c r="O13" s="59" t="s">
        <v>59</v>
      </c>
      <c r="P13" s="59" t="s">
        <v>59</v>
      </c>
      <c r="Q13" s="59" t="s">
        <v>59</v>
      </c>
      <c r="R13" s="59" t="s">
        <v>59</v>
      </c>
      <c r="S13" s="59" t="s">
        <v>59</v>
      </c>
      <c r="T13" s="59" t="s">
        <v>59</v>
      </c>
      <c r="U13" s="70" t="s">
        <v>59</v>
      </c>
      <c r="V13" s="70" t="s">
        <v>59</v>
      </c>
      <c r="W13" s="70" t="s">
        <v>59</v>
      </c>
      <c r="X13" s="70" t="s">
        <v>59</v>
      </c>
      <c r="Y13" s="70">
        <v>0</v>
      </c>
      <c r="Z13" s="70">
        <v>0</v>
      </c>
      <c r="AA13" s="70">
        <v>0</v>
      </c>
      <c r="AB13" s="70">
        <v>0</v>
      </c>
      <c r="AC13" s="59" t="s">
        <v>59</v>
      </c>
      <c r="AD13" s="59" t="s">
        <v>112</v>
      </c>
      <c r="AE13" s="70" t="s">
        <v>112</v>
      </c>
      <c r="AF13" s="70" t="s">
        <v>113</v>
      </c>
      <c r="AG13" s="70" t="s">
        <v>86</v>
      </c>
      <c r="AH13" s="70" t="s">
        <v>86</v>
      </c>
      <c r="AI13" s="70" t="s">
        <v>85</v>
      </c>
      <c r="AJ13" s="70" t="s">
        <v>85</v>
      </c>
      <c r="AK13" s="70" t="s">
        <v>85</v>
      </c>
      <c r="AL13" s="70" t="s">
        <v>85</v>
      </c>
      <c r="AM13" s="70" t="s">
        <v>59</v>
      </c>
      <c r="AN13" s="70" t="s">
        <v>59</v>
      </c>
      <c r="AO13" s="70" t="s">
        <v>59</v>
      </c>
      <c r="AP13" s="70" t="s">
        <v>59</v>
      </c>
      <c r="AQ13" s="70" t="s">
        <v>59</v>
      </c>
      <c r="AR13" s="70" t="s">
        <v>59</v>
      </c>
      <c r="AS13" s="71" t="s">
        <v>59</v>
      </c>
      <c r="AT13" s="72" t="s">
        <v>59</v>
      </c>
      <c r="AU13" s="71" t="s">
        <v>59</v>
      </c>
      <c r="AV13" s="72" t="s">
        <v>59</v>
      </c>
      <c r="AW13" s="71" t="s">
        <v>59</v>
      </c>
      <c r="AX13" s="72" t="s">
        <v>59</v>
      </c>
      <c r="AY13" s="70">
        <v>805</v>
      </c>
      <c r="AZ13" s="70">
        <v>805</v>
      </c>
      <c r="BA13" s="70">
        <v>3</v>
      </c>
      <c r="BB13" s="70">
        <v>3</v>
      </c>
      <c r="BC13" s="70" t="s">
        <v>95</v>
      </c>
      <c r="BD13" s="70" t="s">
        <v>95</v>
      </c>
      <c r="BE13" s="70">
        <f t="shared" si="68"/>
        <v>3</v>
      </c>
      <c r="BF13" s="70">
        <f t="shared" si="69"/>
        <v>3</v>
      </c>
      <c r="BG13" s="70">
        <f t="shared" si="0"/>
        <v>0</v>
      </c>
      <c r="BH13" s="70">
        <f t="shared" si="1"/>
        <v>0</v>
      </c>
      <c r="BI13" s="70" t="s">
        <v>87</v>
      </c>
      <c r="BJ13" s="70" t="s">
        <v>87</v>
      </c>
      <c r="BK13" s="70" t="s">
        <v>87</v>
      </c>
      <c r="BL13" s="70" t="s">
        <v>87</v>
      </c>
      <c r="BM13" s="70" t="s">
        <v>87</v>
      </c>
      <c r="BN13" s="70" t="s">
        <v>87</v>
      </c>
      <c r="BO13" s="70" t="s">
        <v>87</v>
      </c>
      <c r="BP13" s="70" t="s">
        <v>87</v>
      </c>
      <c r="BQ13" s="70" t="s">
        <v>87</v>
      </c>
      <c r="BR13" s="70" t="s">
        <v>87</v>
      </c>
      <c r="BS13" s="70" t="s">
        <v>87</v>
      </c>
      <c r="BT13" s="70" t="s">
        <v>87</v>
      </c>
      <c r="BU13" s="70" t="s">
        <v>87</v>
      </c>
      <c r="BV13" s="70" t="s">
        <v>87</v>
      </c>
      <c r="BW13" s="70" t="s">
        <v>87</v>
      </c>
      <c r="BX13" s="70" t="s">
        <v>87</v>
      </c>
      <c r="BY13" s="70" t="s">
        <v>87</v>
      </c>
      <c r="BZ13" s="70" t="s">
        <v>87</v>
      </c>
      <c r="CA13" s="70" t="s">
        <v>87</v>
      </c>
      <c r="CB13" s="70" t="s">
        <v>87</v>
      </c>
      <c r="CC13" s="70" t="s">
        <v>87</v>
      </c>
      <c r="CD13" s="70" t="s">
        <v>87</v>
      </c>
      <c r="CE13" s="70" t="s">
        <v>87</v>
      </c>
      <c r="CF13" s="70" t="s">
        <v>87</v>
      </c>
      <c r="CG13" s="70" t="s">
        <v>87</v>
      </c>
      <c r="CH13" s="70" t="s">
        <v>87</v>
      </c>
      <c r="CI13" s="70" t="s">
        <v>87</v>
      </c>
      <c r="CJ13" s="70" t="s">
        <v>87</v>
      </c>
      <c r="CK13" s="70" t="s">
        <v>87</v>
      </c>
      <c r="CL13" s="70" t="s">
        <v>87</v>
      </c>
      <c r="CM13" s="70" t="s">
        <v>87</v>
      </c>
      <c r="CN13" s="70" t="s">
        <v>87</v>
      </c>
      <c r="CO13" s="70">
        <v>3</v>
      </c>
      <c r="CP13" s="70">
        <v>3</v>
      </c>
      <c r="CQ13" s="70" t="s">
        <v>121</v>
      </c>
      <c r="CR13" s="70" t="s">
        <v>121</v>
      </c>
      <c r="CS13" s="70" t="s">
        <v>88</v>
      </c>
      <c r="CT13" s="70" t="s">
        <v>88</v>
      </c>
      <c r="CU13" s="70" t="s">
        <v>121</v>
      </c>
      <c r="CV13" s="70" t="s">
        <v>121</v>
      </c>
      <c r="CW13" s="70" t="s">
        <v>121</v>
      </c>
      <c r="CX13" s="70" t="s">
        <v>121</v>
      </c>
      <c r="CY13" s="70" t="s">
        <v>121</v>
      </c>
      <c r="CZ13" s="70" t="s">
        <v>121</v>
      </c>
      <c r="DA13" s="70" t="s">
        <v>121</v>
      </c>
      <c r="DB13" s="70" t="s">
        <v>121</v>
      </c>
      <c r="DC13" s="70" t="s">
        <v>59</v>
      </c>
      <c r="DD13" s="70" t="s">
        <v>59</v>
      </c>
      <c r="DE13" s="70" t="s">
        <v>59</v>
      </c>
      <c r="DF13" s="70" t="s">
        <v>59</v>
      </c>
      <c r="DG13" s="70" t="s">
        <v>59</v>
      </c>
      <c r="DH13" s="70" t="s">
        <v>59</v>
      </c>
      <c r="DI13" s="70" t="s">
        <v>121</v>
      </c>
      <c r="DJ13" s="70" t="s">
        <v>121</v>
      </c>
      <c r="DK13" s="70" t="s">
        <v>59</v>
      </c>
      <c r="DL13" s="70" t="s">
        <v>59</v>
      </c>
      <c r="DM13" s="70" t="s">
        <v>59</v>
      </c>
      <c r="DN13" s="59" t="s">
        <v>59</v>
      </c>
      <c r="DO13" s="70" t="s">
        <v>59</v>
      </c>
      <c r="DP13" s="70" t="s">
        <v>59</v>
      </c>
      <c r="DQ13" s="70" t="s">
        <v>59</v>
      </c>
      <c r="DR13" s="70" t="s">
        <v>59</v>
      </c>
      <c r="DS13" s="70" t="s">
        <v>59</v>
      </c>
      <c r="DT13" s="70" t="s">
        <v>59</v>
      </c>
      <c r="DU13" s="70" t="s">
        <v>59</v>
      </c>
      <c r="DV13" s="70" t="s">
        <v>59</v>
      </c>
      <c r="DW13" s="70" t="s">
        <v>59</v>
      </c>
      <c r="DX13" s="70" t="s">
        <v>59</v>
      </c>
      <c r="DY13" s="70">
        <v>1</v>
      </c>
      <c r="DZ13" s="70">
        <v>1</v>
      </c>
      <c r="EA13" s="70">
        <v>1</v>
      </c>
      <c r="EB13" s="70">
        <v>1</v>
      </c>
      <c r="EC13" s="70">
        <v>1</v>
      </c>
      <c r="ED13" s="70">
        <v>1</v>
      </c>
      <c r="EE13" s="70">
        <v>1</v>
      </c>
      <c r="EF13" s="70">
        <v>1</v>
      </c>
      <c r="EG13" s="70">
        <v>1</v>
      </c>
      <c r="EH13" s="70">
        <v>1</v>
      </c>
      <c r="EI13" s="70">
        <v>1</v>
      </c>
      <c r="EJ13" s="70">
        <v>1</v>
      </c>
      <c r="EK13" s="70">
        <v>1</v>
      </c>
      <c r="EL13" s="70">
        <v>1</v>
      </c>
      <c r="EM13" s="70">
        <v>1</v>
      </c>
      <c r="EN13" s="70">
        <v>1</v>
      </c>
      <c r="EO13" s="70">
        <v>1</v>
      </c>
      <c r="EP13" s="70">
        <v>1</v>
      </c>
      <c r="EQ13" s="70">
        <v>1</v>
      </c>
      <c r="ER13" s="70">
        <v>1</v>
      </c>
      <c r="ES13" s="70">
        <f t="shared" si="70"/>
        <v>10</v>
      </c>
      <c r="ET13" s="70">
        <f t="shared" si="70"/>
        <v>10</v>
      </c>
      <c r="EU13" s="74" t="s">
        <v>124</v>
      </c>
      <c r="EV13" s="78">
        <v>2019</v>
      </c>
      <c r="EW13" s="59" t="str">
        <f t="shared" si="2"/>
        <v>Y</v>
      </c>
      <c r="EX13" s="59" t="str">
        <f t="shared" si="3"/>
        <v>Y</v>
      </c>
      <c r="EY13" s="59" t="str">
        <f t="shared" si="4"/>
        <v>Y</v>
      </c>
      <c r="EZ13" s="59" t="str">
        <f t="shared" si="5"/>
        <v>Y</v>
      </c>
      <c r="FA13" s="59" t="str">
        <f t="shared" si="6"/>
        <v>Y</v>
      </c>
      <c r="FB13" s="59" t="str">
        <f t="shared" si="71"/>
        <v>Y</v>
      </c>
      <c r="FC13" s="59" t="str">
        <f t="shared" si="8"/>
        <v>Y</v>
      </c>
      <c r="FD13" s="59" t="str">
        <f t="shared" si="9"/>
        <v>Y</v>
      </c>
      <c r="FE13" s="59" t="str">
        <f t="shared" si="10"/>
        <v>Y</v>
      </c>
      <c r="FF13" s="59" t="str">
        <f t="shared" si="11"/>
        <v>Y</v>
      </c>
      <c r="FG13" s="59" t="str">
        <f t="shared" si="12"/>
        <v>Y</v>
      </c>
      <c r="FH13" s="59" t="str">
        <f t="shared" si="13"/>
        <v>Y</v>
      </c>
      <c r="FI13" s="59" t="str">
        <f t="shared" si="14"/>
        <v>Y</v>
      </c>
      <c r="FJ13" s="59" t="str">
        <f t="shared" si="15"/>
        <v>Y</v>
      </c>
      <c r="FK13" s="59" t="str">
        <f t="shared" si="16"/>
        <v>Y</v>
      </c>
      <c r="FL13" s="59" t="str">
        <f t="shared" si="17"/>
        <v>Y</v>
      </c>
      <c r="FM13" s="59" t="str">
        <f t="shared" si="18"/>
        <v>Y</v>
      </c>
      <c r="FN13" s="59" t="str">
        <f t="shared" si="19"/>
        <v>Y</v>
      </c>
      <c r="FO13" s="59" t="str">
        <f t="shared" si="20"/>
        <v>Y</v>
      </c>
      <c r="FP13" s="59" t="str">
        <f t="shared" si="21"/>
        <v>Y</v>
      </c>
      <c r="FQ13" s="59" t="str">
        <f t="shared" si="22"/>
        <v>Y</v>
      </c>
      <c r="FR13" s="59" t="str">
        <f t="shared" si="23"/>
        <v>Y</v>
      </c>
      <c r="FS13" s="59" t="str">
        <f t="shared" si="24"/>
        <v>Y</v>
      </c>
      <c r="FT13" s="59" t="str">
        <f t="shared" si="25"/>
        <v>Y</v>
      </c>
      <c r="FU13" s="59" t="str">
        <f t="shared" si="26"/>
        <v>Y</v>
      </c>
      <c r="FV13" s="59" t="str">
        <f t="shared" si="27"/>
        <v>Y</v>
      </c>
      <c r="FW13" s="59" t="str">
        <f t="shared" si="28"/>
        <v>Y</v>
      </c>
      <c r="FX13" s="59" t="str">
        <f t="shared" si="29"/>
        <v>Y</v>
      </c>
      <c r="FY13" s="59" t="str">
        <f t="shared" si="30"/>
        <v>Y</v>
      </c>
      <c r="FZ13" s="59" t="str">
        <f t="shared" si="31"/>
        <v>Y</v>
      </c>
      <c r="GA13" s="59" t="str">
        <f t="shared" si="32"/>
        <v>Y</v>
      </c>
      <c r="GB13" s="59" t="str">
        <f t="shared" si="33"/>
        <v>Y</v>
      </c>
      <c r="GC13" s="59" t="str">
        <f t="shared" si="34"/>
        <v>Y</v>
      </c>
      <c r="GD13" s="59" t="str">
        <f t="shared" si="35"/>
        <v>Y</v>
      </c>
      <c r="GE13" s="59" t="str">
        <f t="shared" si="36"/>
        <v>Y</v>
      </c>
      <c r="GF13" s="59" t="str">
        <f t="shared" si="37"/>
        <v>Y</v>
      </c>
      <c r="GG13" s="59" t="str">
        <f t="shared" si="38"/>
        <v>Y</v>
      </c>
      <c r="GH13" s="59" t="str">
        <f t="shared" si="39"/>
        <v>Y</v>
      </c>
      <c r="GI13" s="59" t="str">
        <f t="shared" si="40"/>
        <v>Y</v>
      </c>
      <c r="GJ13" s="59" t="str">
        <f t="shared" si="41"/>
        <v>Y</v>
      </c>
      <c r="GK13" s="59" t="str">
        <f t="shared" si="42"/>
        <v>Y</v>
      </c>
      <c r="GL13" s="59" t="str">
        <f t="shared" si="43"/>
        <v>Y</v>
      </c>
      <c r="GM13" s="59" t="str">
        <f t="shared" si="44"/>
        <v>Y</v>
      </c>
      <c r="GN13" s="59" t="str">
        <f t="shared" si="45"/>
        <v>Y</v>
      </c>
      <c r="GO13" s="59" t="str">
        <f t="shared" si="46"/>
        <v>Y</v>
      </c>
      <c r="GP13" s="59" t="str">
        <f t="shared" si="47"/>
        <v>Y</v>
      </c>
      <c r="GQ13" s="59" t="str">
        <f t="shared" si="48"/>
        <v>Y</v>
      </c>
      <c r="GR13" s="59" t="str">
        <f t="shared" si="49"/>
        <v>Y</v>
      </c>
      <c r="GS13" s="59" t="str">
        <f t="shared" si="50"/>
        <v>Y</v>
      </c>
      <c r="GT13" s="59" t="str">
        <f t="shared" si="51"/>
        <v>Y</v>
      </c>
      <c r="GU13" s="59" t="str">
        <f t="shared" si="52"/>
        <v>Y</v>
      </c>
      <c r="GV13" s="59" t="str">
        <f t="shared" si="53"/>
        <v>Y</v>
      </c>
      <c r="GW13" s="59" t="str">
        <f t="shared" si="54"/>
        <v>Y</v>
      </c>
      <c r="GX13" s="59" t="str">
        <f t="shared" si="55"/>
        <v>Y</v>
      </c>
      <c r="GY13" s="59" t="str">
        <f t="shared" si="56"/>
        <v>Y</v>
      </c>
      <c r="GZ13" s="59" t="str">
        <f t="shared" si="57"/>
        <v>Y</v>
      </c>
      <c r="HA13" s="59" t="str">
        <f t="shared" si="58"/>
        <v>Y</v>
      </c>
      <c r="HB13" s="59" t="str">
        <f t="shared" si="59"/>
        <v>Y</v>
      </c>
      <c r="HC13" s="59" t="str">
        <f t="shared" si="60"/>
        <v>Y</v>
      </c>
      <c r="HD13" s="59" t="str">
        <f t="shared" si="61"/>
        <v>Y</v>
      </c>
      <c r="HE13" s="59" t="str">
        <f t="shared" si="62"/>
        <v>Y</v>
      </c>
      <c r="HF13" s="59" t="str">
        <f t="shared" si="63"/>
        <v>Y</v>
      </c>
      <c r="HG13" s="59" t="str">
        <f t="shared" si="64"/>
        <v>Y</v>
      </c>
      <c r="HH13" s="59" t="str">
        <f t="shared" si="65"/>
        <v>Y</v>
      </c>
      <c r="HI13" s="59" t="str">
        <f t="shared" si="66"/>
        <v>Y</v>
      </c>
      <c r="HJ13" s="68" t="str">
        <f t="shared" si="67"/>
        <v>Y</v>
      </c>
      <c r="HK13" s="59"/>
      <c r="HL13" s="68"/>
    </row>
    <row r="14" spans="1:220" ht="48" x14ac:dyDescent="0.2">
      <c r="A14" s="69" t="s">
        <v>125</v>
      </c>
      <c r="B14" s="70">
        <v>1987</v>
      </c>
      <c r="C14" s="70" t="s">
        <v>59</v>
      </c>
      <c r="D14" s="70" t="s">
        <v>59</v>
      </c>
      <c r="E14" s="59" t="s">
        <v>59</v>
      </c>
      <c r="F14" s="70" t="s">
        <v>59</v>
      </c>
      <c r="G14" s="70" t="s">
        <v>59</v>
      </c>
      <c r="H14" s="70" t="s">
        <v>59</v>
      </c>
      <c r="I14" s="70" t="s">
        <v>59</v>
      </c>
      <c r="J14" s="70" t="s">
        <v>59</v>
      </c>
      <c r="K14" s="70" t="s">
        <v>59</v>
      </c>
      <c r="L14" s="59" t="s">
        <v>59</v>
      </c>
      <c r="M14" s="59" t="s">
        <v>59</v>
      </c>
      <c r="N14" s="59" t="s">
        <v>59</v>
      </c>
      <c r="O14" s="59" t="s">
        <v>59</v>
      </c>
      <c r="P14" s="59" t="s">
        <v>59</v>
      </c>
      <c r="Q14" s="59" t="s">
        <v>59</v>
      </c>
      <c r="R14" s="59" t="s">
        <v>59</v>
      </c>
      <c r="S14" s="59" t="s">
        <v>59</v>
      </c>
      <c r="T14" s="59" t="s">
        <v>59</v>
      </c>
      <c r="U14" s="70">
        <v>0</v>
      </c>
      <c r="V14" s="70">
        <v>0</v>
      </c>
      <c r="W14" s="70">
        <v>268</v>
      </c>
      <c r="X14" s="70">
        <v>268</v>
      </c>
      <c r="Y14" s="70">
        <v>0</v>
      </c>
      <c r="Z14" s="70">
        <v>0</v>
      </c>
      <c r="AA14" s="70">
        <v>0</v>
      </c>
      <c r="AB14" s="70">
        <v>0</v>
      </c>
      <c r="AC14" s="59" t="s">
        <v>101</v>
      </c>
      <c r="AD14" s="59" t="s">
        <v>126</v>
      </c>
      <c r="AE14" s="70" t="s">
        <v>126</v>
      </c>
      <c r="AF14" s="70" t="s">
        <v>103</v>
      </c>
      <c r="AG14" s="70" t="s">
        <v>85</v>
      </c>
      <c r="AH14" s="70" t="s">
        <v>85</v>
      </c>
      <c r="AI14" s="70" t="s">
        <v>86</v>
      </c>
      <c r="AJ14" s="70" t="s">
        <v>86</v>
      </c>
      <c r="AK14" s="70" t="s">
        <v>86</v>
      </c>
      <c r="AL14" s="70" t="s">
        <v>86</v>
      </c>
      <c r="AM14" s="70">
        <v>268</v>
      </c>
      <c r="AN14" s="70">
        <v>268</v>
      </c>
      <c r="AO14" s="70">
        <v>0</v>
      </c>
      <c r="AP14" s="70">
        <v>0</v>
      </c>
      <c r="AQ14" s="70">
        <v>0</v>
      </c>
      <c r="AR14" s="70">
        <v>0</v>
      </c>
      <c r="AS14" s="71" t="s">
        <v>59</v>
      </c>
      <c r="AT14" s="72" t="s">
        <v>59</v>
      </c>
      <c r="AU14" s="71" t="s">
        <v>59</v>
      </c>
      <c r="AV14" s="72" t="s">
        <v>59</v>
      </c>
      <c r="AW14" s="71" t="s">
        <v>59</v>
      </c>
      <c r="AX14" s="72" t="s">
        <v>59</v>
      </c>
      <c r="AY14" s="70">
        <v>268</v>
      </c>
      <c r="AZ14" s="70">
        <v>268</v>
      </c>
      <c r="BA14" s="70">
        <v>15</v>
      </c>
      <c r="BB14" s="70">
        <v>15</v>
      </c>
      <c r="BC14" s="70" t="s">
        <v>95</v>
      </c>
      <c r="BD14" s="70" t="s">
        <v>95</v>
      </c>
      <c r="BE14" s="70">
        <f t="shared" si="68"/>
        <v>10</v>
      </c>
      <c r="BF14" s="70">
        <f t="shared" si="69"/>
        <v>10</v>
      </c>
      <c r="BG14" s="70">
        <f t="shared" si="0"/>
        <v>5</v>
      </c>
      <c r="BH14" s="70">
        <f t="shared" si="1"/>
        <v>5</v>
      </c>
      <c r="BI14" s="70">
        <v>0</v>
      </c>
      <c r="BJ14" s="70">
        <v>0</v>
      </c>
      <c r="BK14" s="70">
        <v>0</v>
      </c>
      <c r="BL14" s="70">
        <v>0</v>
      </c>
      <c r="BM14" s="70">
        <v>5</v>
      </c>
      <c r="BN14" s="70">
        <v>5</v>
      </c>
      <c r="BO14" s="70">
        <v>0</v>
      </c>
      <c r="BP14" s="70">
        <v>0</v>
      </c>
      <c r="BQ14" s="70">
        <v>0</v>
      </c>
      <c r="BR14" s="70">
        <v>0</v>
      </c>
      <c r="BS14" s="70">
        <v>0</v>
      </c>
      <c r="BT14" s="70">
        <v>0</v>
      </c>
      <c r="BU14" s="70">
        <v>0</v>
      </c>
      <c r="BV14" s="70">
        <v>0</v>
      </c>
      <c r="BW14" s="70">
        <v>0</v>
      </c>
      <c r="BX14" s="70">
        <v>0</v>
      </c>
      <c r="BY14" s="70">
        <v>4</v>
      </c>
      <c r="BZ14" s="70">
        <v>4</v>
      </c>
      <c r="CA14" s="70">
        <v>0</v>
      </c>
      <c r="CB14" s="70">
        <v>0</v>
      </c>
      <c r="CC14" s="70">
        <v>0</v>
      </c>
      <c r="CD14" s="70">
        <v>0</v>
      </c>
      <c r="CE14" s="70">
        <v>0</v>
      </c>
      <c r="CF14" s="70">
        <v>0</v>
      </c>
      <c r="CG14" s="70">
        <v>0</v>
      </c>
      <c r="CH14" s="70">
        <v>0</v>
      </c>
      <c r="CI14" s="70">
        <v>0</v>
      </c>
      <c r="CJ14" s="70">
        <v>0</v>
      </c>
      <c r="CK14" s="70">
        <v>1</v>
      </c>
      <c r="CL14" s="70">
        <v>1</v>
      </c>
      <c r="CM14" s="70">
        <v>5</v>
      </c>
      <c r="CN14" s="70">
        <v>5</v>
      </c>
      <c r="CO14" s="70">
        <v>0</v>
      </c>
      <c r="CP14" s="70">
        <v>0</v>
      </c>
      <c r="CQ14" s="70" t="s">
        <v>59</v>
      </c>
      <c r="CR14" s="70" t="s">
        <v>59</v>
      </c>
      <c r="CS14" s="70" t="s">
        <v>121</v>
      </c>
      <c r="CT14" s="70" t="s">
        <v>121</v>
      </c>
      <c r="CU14" s="70">
        <v>0</v>
      </c>
      <c r="CV14" s="70">
        <v>0</v>
      </c>
      <c r="CW14" s="70" t="s">
        <v>121</v>
      </c>
      <c r="CX14" s="70" t="s">
        <v>121</v>
      </c>
      <c r="CY14" s="70" t="s">
        <v>121</v>
      </c>
      <c r="CZ14" s="70" t="s">
        <v>121</v>
      </c>
      <c r="DA14" s="70" t="s">
        <v>121</v>
      </c>
      <c r="DB14" s="70" t="s">
        <v>121</v>
      </c>
      <c r="DC14" s="70">
        <v>0</v>
      </c>
      <c r="DD14" s="70">
        <v>0</v>
      </c>
      <c r="DE14" s="70" t="s">
        <v>88</v>
      </c>
      <c r="DF14" s="70" t="s">
        <v>88</v>
      </c>
      <c r="DG14" s="70" t="s">
        <v>59</v>
      </c>
      <c r="DH14" s="70" t="s">
        <v>59</v>
      </c>
      <c r="DI14" s="70" t="s">
        <v>121</v>
      </c>
      <c r="DJ14" s="70" t="s">
        <v>121</v>
      </c>
      <c r="DK14" s="70" t="s">
        <v>121</v>
      </c>
      <c r="DL14" s="70" t="s">
        <v>121</v>
      </c>
      <c r="DM14" s="70" t="s">
        <v>59</v>
      </c>
      <c r="DN14" s="59" t="s">
        <v>59</v>
      </c>
      <c r="DO14" s="70" t="s">
        <v>127</v>
      </c>
      <c r="DP14" s="70" t="s">
        <v>127</v>
      </c>
      <c r="DQ14" s="70" t="s">
        <v>59</v>
      </c>
      <c r="DR14" s="70" t="s">
        <v>59</v>
      </c>
      <c r="DS14" s="70" t="s">
        <v>305</v>
      </c>
      <c r="DT14" s="70" t="s">
        <v>305</v>
      </c>
      <c r="DU14" s="70" t="s">
        <v>59</v>
      </c>
      <c r="DV14" s="70" t="s">
        <v>59</v>
      </c>
      <c r="DW14" s="70" t="s">
        <v>59</v>
      </c>
      <c r="DX14" s="70" t="s">
        <v>59</v>
      </c>
      <c r="DY14" s="70">
        <v>1</v>
      </c>
      <c r="DZ14" s="70">
        <v>1</v>
      </c>
      <c r="EA14" s="70">
        <v>1</v>
      </c>
      <c r="EB14" s="70">
        <v>1</v>
      </c>
      <c r="EC14" s="70">
        <v>1</v>
      </c>
      <c r="ED14" s="70">
        <v>1</v>
      </c>
      <c r="EE14" s="70">
        <v>1</v>
      </c>
      <c r="EF14" s="70">
        <v>1</v>
      </c>
      <c r="EG14" s="70">
        <v>1</v>
      </c>
      <c r="EH14" s="70">
        <v>1</v>
      </c>
      <c r="EI14" s="70">
        <v>1</v>
      </c>
      <c r="EJ14" s="70">
        <v>1</v>
      </c>
      <c r="EK14" s="70">
        <v>1</v>
      </c>
      <c r="EL14" s="70">
        <v>1</v>
      </c>
      <c r="EM14" s="70">
        <v>0</v>
      </c>
      <c r="EN14" s="70">
        <v>0</v>
      </c>
      <c r="EO14" s="70">
        <v>1</v>
      </c>
      <c r="EP14" s="70">
        <v>1</v>
      </c>
      <c r="EQ14" s="70">
        <v>1</v>
      </c>
      <c r="ER14" s="70">
        <v>1</v>
      </c>
      <c r="ES14" s="70">
        <f t="shared" si="70"/>
        <v>9</v>
      </c>
      <c r="ET14" s="70">
        <f t="shared" si="70"/>
        <v>9</v>
      </c>
      <c r="EU14" s="74" t="s">
        <v>125</v>
      </c>
      <c r="EV14" s="78">
        <v>1987</v>
      </c>
      <c r="EW14" s="59" t="str">
        <f t="shared" si="2"/>
        <v>Y</v>
      </c>
      <c r="EX14" s="59" t="str">
        <f t="shared" si="3"/>
        <v>Y</v>
      </c>
      <c r="EY14" s="59" t="str">
        <f t="shared" si="4"/>
        <v>Y</v>
      </c>
      <c r="EZ14" s="59" t="str">
        <f t="shared" si="5"/>
        <v>Y</v>
      </c>
      <c r="FA14" s="59" t="str">
        <f t="shared" si="6"/>
        <v>Y</v>
      </c>
      <c r="FB14" s="59" t="str">
        <f t="shared" si="71"/>
        <v>Y</v>
      </c>
      <c r="FC14" s="59" t="str">
        <f t="shared" si="8"/>
        <v>Y</v>
      </c>
      <c r="FD14" s="59" t="str">
        <f t="shared" si="9"/>
        <v>Y</v>
      </c>
      <c r="FE14" s="59" t="str">
        <f t="shared" si="10"/>
        <v>Y</v>
      </c>
      <c r="FF14" s="59" t="str">
        <f t="shared" si="11"/>
        <v>Y</v>
      </c>
      <c r="FG14" s="59" t="str">
        <f t="shared" si="12"/>
        <v>Y</v>
      </c>
      <c r="FH14" s="59" t="str">
        <f t="shared" si="13"/>
        <v>Y</v>
      </c>
      <c r="FI14" s="59" t="str">
        <f t="shared" si="14"/>
        <v>Y</v>
      </c>
      <c r="FJ14" s="59" t="str">
        <f t="shared" si="15"/>
        <v>Y</v>
      </c>
      <c r="FK14" s="59" t="str">
        <f t="shared" si="16"/>
        <v>Y</v>
      </c>
      <c r="FL14" s="59" t="str">
        <f t="shared" si="17"/>
        <v>Y</v>
      </c>
      <c r="FM14" s="59" t="str">
        <f t="shared" si="18"/>
        <v>Y</v>
      </c>
      <c r="FN14" s="59" t="str">
        <f t="shared" si="19"/>
        <v>Y</v>
      </c>
      <c r="FO14" s="59" t="str">
        <f t="shared" si="20"/>
        <v>Y</v>
      </c>
      <c r="FP14" s="59" t="str">
        <f t="shared" si="21"/>
        <v>Y</v>
      </c>
      <c r="FQ14" s="59" t="str">
        <f t="shared" si="22"/>
        <v>Y</v>
      </c>
      <c r="FR14" s="59" t="str">
        <f t="shared" si="23"/>
        <v>Y</v>
      </c>
      <c r="FS14" s="59" t="str">
        <f t="shared" si="24"/>
        <v>Y</v>
      </c>
      <c r="FT14" s="59" t="str">
        <f t="shared" si="25"/>
        <v>Y</v>
      </c>
      <c r="FU14" s="59" t="str">
        <f t="shared" si="26"/>
        <v>Y</v>
      </c>
      <c r="FV14" s="59" t="str">
        <f t="shared" si="27"/>
        <v>Y</v>
      </c>
      <c r="FW14" s="59" t="str">
        <f t="shared" si="28"/>
        <v>Y</v>
      </c>
      <c r="FX14" s="59" t="str">
        <f t="shared" si="29"/>
        <v>Y</v>
      </c>
      <c r="FY14" s="59" t="str">
        <f t="shared" si="30"/>
        <v>Y</v>
      </c>
      <c r="FZ14" s="59" t="str">
        <f t="shared" si="31"/>
        <v>Y</v>
      </c>
      <c r="GA14" s="59" t="str">
        <f t="shared" si="32"/>
        <v>Y</v>
      </c>
      <c r="GB14" s="59" t="str">
        <f t="shared" si="33"/>
        <v>Y</v>
      </c>
      <c r="GC14" s="59" t="str">
        <f t="shared" si="34"/>
        <v>Y</v>
      </c>
      <c r="GD14" s="59" t="str">
        <f t="shared" si="35"/>
        <v>Y</v>
      </c>
      <c r="GE14" s="59" t="str">
        <f t="shared" si="36"/>
        <v>Y</v>
      </c>
      <c r="GF14" s="59" t="str">
        <f t="shared" si="37"/>
        <v>Y</v>
      </c>
      <c r="GG14" s="59" t="str">
        <f t="shared" si="38"/>
        <v>Y</v>
      </c>
      <c r="GH14" s="59" t="str">
        <f t="shared" si="39"/>
        <v>Y</v>
      </c>
      <c r="GI14" s="59" t="str">
        <f t="shared" si="40"/>
        <v>Y</v>
      </c>
      <c r="GJ14" s="59" t="str">
        <f t="shared" si="41"/>
        <v>Y</v>
      </c>
      <c r="GK14" s="59" t="str">
        <f t="shared" si="42"/>
        <v>Y</v>
      </c>
      <c r="GL14" s="59" t="str">
        <f t="shared" si="43"/>
        <v>Y</v>
      </c>
      <c r="GM14" s="59" t="str">
        <f t="shared" si="44"/>
        <v>Y</v>
      </c>
      <c r="GN14" s="59" t="str">
        <f t="shared" si="45"/>
        <v>Y</v>
      </c>
      <c r="GO14" s="59" t="str">
        <f t="shared" si="46"/>
        <v>Y</v>
      </c>
      <c r="GP14" s="59" t="str">
        <f t="shared" si="47"/>
        <v>Y</v>
      </c>
      <c r="GQ14" s="59" t="str">
        <f t="shared" si="48"/>
        <v>Y</v>
      </c>
      <c r="GR14" s="59" t="str">
        <f t="shared" si="49"/>
        <v>Y</v>
      </c>
      <c r="GS14" s="59" t="str">
        <f t="shared" si="50"/>
        <v>Y</v>
      </c>
      <c r="GT14" s="59" t="str">
        <f t="shared" si="51"/>
        <v>Y</v>
      </c>
      <c r="GU14" s="59" t="str">
        <f t="shared" si="52"/>
        <v>Y</v>
      </c>
      <c r="GV14" s="59" t="str">
        <f t="shared" si="53"/>
        <v>Y</v>
      </c>
      <c r="GW14" s="59" t="str">
        <f t="shared" si="54"/>
        <v>Y</v>
      </c>
      <c r="GX14" s="59" t="str">
        <f t="shared" si="55"/>
        <v>Y</v>
      </c>
      <c r="GY14" s="59" t="str">
        <f t="shared" si="56"/>
        <v>Y</v>
      </c>
      <c r="GZ14" s="59" t="str">
        <f t="shared" si="57"/>
        <v>Y</v>
      </c>
      <c r="HA14" s="59" t="str">
        <f t="shared" si="58"/>
        <v>Y</v>
      </c>
      <c r="HB14" s="59" t="str">
        <f t="shared" si="59"/>
        <v>Y</v>
      </c>
      <c r="HC14" s="59" t="str">
        <f t="shared" si="60"/>
        <v>Y</v>
      </c>
      <c r="HD14" s="59" t="str">
        <f t="shared" si="61"/>
        <v>Y</v>
      </c>
      <c r="HE14" s="59" t="str">
        <f t="shared" si="62"/>
        <v>Y</v>
      </c>
      <c r="HF14" s="59" t="str">
        <f t="shared" si="63"/>
        <v>Y</v>
      </c>
      <c r="HG14" s="59" t="str">
        <f t="shared" si="64"/>
        <v>Y</v>
      </c>
      <c r="HH14" s="59" t="str">
        <f t="shared" si="65"/>
        <v>Y</v>
      </c>
      <c r="HI14" s="59" t="str">
        <f t="shared" si="66"/>
        <v>Y</v>
      </c>
      <c r="HJ14" s="68" t="str">
        <f t="shared" si="67"/>
        <v>Y</v>
      </c>
      <c r="HK14" s="59"/>
      <c r="HL14" s="68"/>
    </row>
    <row r="15" spans="1:220" ht="16" x14ac:dyDescent="0.2">
      <c r="A15" s="77" t="s">
        <v>128</v>
      </c>
      <c r="B15" s="70">
        <v>2012</v>
      </c>
      <c r="C15" s="70" t="s">
        <v>59</v>
      </c>
      <c r="D15" s="70" t="s">
        <v>59</v>
      </c>
      <c r="E15" s="59" t="s">
        <v>59</v>
      </c>
      <c r="F15" s="70" t="s">
        <v>59</v>
      </c>
      <c r="G15" s="70" t="s">
        <v>59</v>
      </c>
      <c r="H15" s="70" t="s">
        <v>59</v>
      </c>
      <c r="I15" s="70">
        <v>30.6</v>
      </c>
      <c r="J15" s="70">
        <v>30.6</v>
      </c>
      <c r="K15" s="70" t="s">
        <v>59</v>
      </c>
      <c r="L15" s="59" t="s">
        <v>59</v>
      </c>
      <c r="M15" s="59" t="s">
        <v>59</v>
      </c>
      <c r="N15" s="59" t="s">
        <v>59</v>
      </c>
      <c r="O15" s="59" t="s">
        <v>59</v>
      </c>
      <c r="P15" s="59" t="s">
        <v>59</v>
      </c>
      <c r="Q15" s="59" t="s">
        <v>59</v>
      </c>
      <c r="R15" s="59" t="s">
        <v>59</v>
      </c>
      <c r="S15" s="59" t="s">
        <v>59</v>
      </c>
      <c r="T15" s="59" t="s">
        <v>59</v>
      </c>
      <c r="U15" s="70">
        <v>0</v>
      </c>
      <c r="V15" s="70">
        <v>0</v>
      </c>
      <c r="W15" s="70">
        <v>51</v>
      </c>
      <c r="X15" s="70">
        <v>51</v>
      </c>
      <c r="Y15" s="70">
        <v>0</v>
      </c>
      <c r="Z15" s="70">
        <v>0</v>
      </c>
      <c r="AA15" s="70">
        <v>0</v>
      </c>
      <c r="AB15" s="70">
        <v>0</v>
      </c>
      <c r="AC15" s="59" t="s">
        <v>101</v>
      </c>
      <c r="AD15" s="59" t="s">
        <v>115</v>
      </c>
      <c r="AE15" s="70" t="s">
        <v>115</v>
      </c>
      <c r="AF15" s="70" t="s">
        <v>116</v>
      </c>
      <c r="AG15" s="70" t="s">
        <v>85</v>
      </c>
      <c r="AH15" s="70" t="s">
        <v>85</v>
      </c>
      <c r="AI15" s="70" t="s">
        <v>86</v>
      </c>
      <c r="AJ15" s="70" t="s">
        <v>86</v>
      </c>
      <c r="AK15" s="70" t="s">
        <v>85</v>
      </c>
      <c r="AL15" s="70" t="s">
        <v>85</v>
      </c>
      <c r="AM15" s="70" t="s">
        <v>59</v>
      </c>
      <c r="AN15" s="70" t="s">
        <v>59</v>
      </c>
      <c r="AO15" s="70" t="s">
        <v>59</v>
      </c>
      <c r="AP15" s="70" t="s">
        <v>59</v>
      </c>
      <c r="AQ15" s="70" t="s">
        <v>59</v>
      </c>
      <c r="AR15" s="70" t="s">
        <v>59</v>
      </c>
      <c r="AS15" s="71" t="s">
        <v>59</v>
      </c>
      <c r="AT15" s="72" t="s">
        <v>59</v>
      </c>
      <c r="AU15" s="71" t="s">
        <v>59</v>
      </c>
      <c r="AV15" s="72" t="s">
        <v>59</v>
      </c>
      <c r="AW15" s="71" t="s">
        <v>59</v>
      </c>
      <c r="AX15" s="72" t="s">
        <v>59</v>
      </c>
      <c r="AY15" s="70">
        <v>51</v>
      </c>
      <c r="AZ15" s="70">
        <v>51</v>
      </c>
      <c r="BA15" s="70">
        <v>4</v>
      </c>
      <c r="BB15" s="70">
        <v>4</v>
      </c>
      <c r="BC15" s="70" t="s">
        <v>99</v>
      </c>
      <c r="BD15" s="70" t="s">
        <v>99</v>
      </c>
      <c r="BE15" s="70">
        <f t="shared" si="68"/>
        <v>4</v>
      </c>
      <c r="BF15" s="70">
        <f t="shared" si="69"/>
        <v>4</v>
      </c>
      <c r="BG15" s="70">
        <f t="shared" si="0"/>
        <v>0</v>
      </c>
      <c r="BH15" s="70">
        <f t="shared" si="1"/>
        <v>0</v>
      </c>
      <c r="BI15" s="70">
        <v>4</v>
      </c>
      <c r="BJ15" s="70">
        <v>4</v>
      </c>
      <c r="BK15" s="70" t="s">
        <v>87</v>
      </c>
      <c r="BL15" s="70" t="s">
        <v>87</v>
      </c>
      <c r="BM15" s="70" t="s">
        <v>87</v>
      </c>
      <c r="BN15" s="70" t="s">
        <v>87</v>
      </c>
      <c r="BO15" s="70" t="s">
        <v>87</v>
      </c>
      <c r="BP15" s="70" t="s">
        <v>87</v>
      </c>
      <c r="BQ15" s="70" t="s">
        <v>87</v>
      </c>
      <c r="BR15" s="70" t="s">
        <v>87</v>
      </c>
      <c r="BS15" s="70" t="s">
        <v>87</v>
      </c>
      <c r="BT15" s="70" t="s">
        <v>87</v>
      </c>
      <c r="BU15" s="70" t="s">
        <v>87</v>
      </c>
      <c r="BV15" s="70" t="s">
        <v>87</v>
      </c>
      <c r="BW15" s="70" t="s">
        <v>87</v>
      </c>
      <c r="BX15" s="70" t="s">
        <v>87</v>
      </c>
      <c r="BY15" s="70" t="s">
        <v>87</v>
      </c>
      <c r="BZ15" s="70" t="s">
        <v>87</v>
      </c>
      <c r="CA15" s="70" t="s">
        <v>87</v>
      </c>
      <c r="CB15" s="70" t="s">
        <v>87</v>
      </c>
      <c r="CC15" s="70" t="s">
        <v>87</v>
      </c>
      <c r="CD15" s="70" t="s">
        <v>87</v>
      </c>
      <c r="CE15" s="70" t="s">
        <v>87</v>
      </c>
      <c r="CF15" s="70" t="s">
        <v>87</v>
      </c>
      <c r="CG15" s="70" t="s">
        <v>87</v>
      </c>
      <c r="CH15" s="70" t="s">
        <v>87</v>
      </c>
      <c r="CI15" s="70" t="s">
        <v>87</v>
      </c>
      <c r="CJ15" s="70" t="s">
        <v>87</v>
      </c>
      <c r="CK15" s="70" t="s">
        <v>87</v>
      </c>
      <c r="CL15" s="70" t="s">
        <v>87</v>
      </c>
      <c r="CM15" s="70" t="s">
        <v>87</v>
      </c>
      <c r="CN15" s="70" t="s">
        <v>87</v>
      </c>
      <c r="CO15" s="70" t="s">
        <v>87</v>
      </c>
      <c r="CP15" s="70" t="s">
        <v>87</v>
      </c>
      <c r="CQ15" s="70" t="s">
        <v>108</v>
      </c>
      <c r="CR15" s="70" t="s">
        <v>108</v>
      </c>
      <c r="CS15" s="70" t="s">
        <v>59</v>
      </c>
      <c r="CT15" s="70" t="s">
        <v>59</v>
      </c>
      <c r="CU15" s="70" t="s">
        <v>59</v>
      </c>
      <c r="CV15" s="70" t="s">
        <v>59</v>
      </c>
      <c r="CW15" s="70" t="s">
        <v>108</v>
      </c>
      <c r="CX15" s="70" t="s">
        <v>108</v>
      </c>
      <c r="CY15" s="70" t="s">
        <v>121</v>
      </c>
      <c r="CZ15" s="70" t="s">
        <v>121</v>
      </c>
      <c r="DA15" s="70" t="s">
        <v>108</v>
      </c>
      <c r="DB15" s="70" t="s">
        <v>108</v>
      </c>
      <c r="DC15" s="70" t="s">
        <v>59</v>
      </c>
      <c r="DD15" s="70" t="s">
        <v>59</v>
      </c>
      <c r="DE15" s="70" t="s">
        <v>59</v>
      </c>
      <c r="DF15" s="70" t="s">
        <v>59</v>
      </c>
      <c r="DG15" s="70" t="s">
        <v>59</v>
      </c>
      <c r="DH15" s="70" t="s">
        <v>59</v>
      </c>
      <c r="DI15" s="70" t="s">
        <v>59</v>
      </c>
      <c r="DJ15" s="70" t="s">
        <v>59</v>
      </c>
      <c r="DK15" s="70" t="s">
        <v>59</v>
      </c>
      <c r="DL15" s="70" t="s">
        <v>59</v>
      </c>
      <c r="DM15" s="70" t="s">
        <v>59</v>
      </c>
      <c r="DN15" s="59" t="s">
        <v>59</v>
      </c>
      <c r="DO15" s="70" t="s">
        <v>59</v>
      </c>
      <c r="DP15" s="70" t="s">
        <v>59</v>
      </c>
      <c r="DQ15" s="70" t="s">
        <v>59</v>
      </c>
      <c r="DR15" s="70" t="s">
        <v>59</v>
      </c>
      <c r="DS15" s="70" t="s">
        <v>305</v>
      </c>
      <c r="DT15" s="70" t="s">
        <v>305</v>
      </c>
      <c r="DU15" s="70" t="s">
        <v>59</v>
      </c>
      <c r="DV15" s="70" t="s">
        <v>59</v>
      </c>
      <c r="DW15" s="70" t="s">
        <v>90</v>
      </c>
      <c r="DX15" s="70" t="s">
        <v>90</v>
      </c>
      <c r="DY15" s="70">
        <v>1</v>
      </c>
      <c r="DZ15" s="70">
        <v>1</v>
      </c>
      <c r="EA15" s="70">
        <v>1</v>
      </c>
      <c r="EB15" s="70">
        <v>1</v>
      </c>
      <c r="EC15" s="70">
        <v>1</v>
      </c>
      <c r="ED15" s="70">
        <v>1</v>
      </c>
      <c r="EE15" s="70">
        <v>1</v>
      </c>
      <c r="EF15" s="70">
        <v>1</v>
      </c>
      <c r="EG15" s="70">
        <v>1</v>
      </c>
      <c r="EH15" s="70">
        <v>1</v>
      </c>
      <c r="EI15" s="70">
        <v>1</v>
      </c>
      <c r="EJ15" s="70">
        <v>1</v>
      </c>
      <c r="EK15" s="70">
        <v>1</v>
      </c>
      <c r="EL15" s="70">
        <v>1</v>
      </c>
      <c r="EM15" s="70">
        <v>1</v>
      </c>
      <c r="EN15" s="70">
        <v>1</v>
      </c>
      <c r="EO15" s="70">
        <v>1</v>
      </c>
      <c r="EP15" s="70">
        <v>1</v>
      </c>
      <c r="EQ15" s="70">
        <v>1</v>
      </c>
      <c r="ER15" s="70">
        <v>1</v>
      </c>
      <c r="ES15" s="70">
        <f t="shared" si="70"/>
        <v>10</v>
      </c>
      <c r="ET15" s="70">
        <f t="shared" si="70"/>
        <v>10</v>
      </c>
      <c r="EU15" s="77" t="s">
        <v>128</v>
      </c>
      <c r="EV15" s="78">
        <v>2012</v>
      </c>
      <c r="EW15" s="59" t="str">
        <f t="shared" si="2"/>
        <v>Y</v>
      </c>
      <c r="EX15" s="59" t="str">
        <f t="shared" si="3"/>
        <v>Y</v>
      </c>
      <c r="EY15" s="59" t="str">
        <f t="shared" si="4"/>
        <v>Y</v>
      </c>
      <c r="EZ15" s="59" t="str">
        <f t="shared" si="5"/>
        <v>Y</v>
      </c>
      <c r="FA15" s="59" t="str">
        <f t="shared" si="6"/>
        <v>Y</v>
      </c>
      <c r="FB15" s="59" t="str">
        <f t="shared" si="71"/>
        <v>Y</v>
      </c>
      <c r="FC15" s="59" t="str">
        <f t="shared" si="8"/>
        <v>Y</v>
      </c>
      <c r="FD15" s="59" t="str">
        <f t="shared" si="9"/>
        <v>Y</v>
      </c>
      <c r="FE15" s="59" t="str">
        <f t="shared" si="10"/>
        <v>Y</v>
      </c>
      <c r="FF15" s="59" t="str">
        <f t="shared" si="11"/>
        <v>Y</v>
      </c>
      <c r="FG15" s="59" t="str">
        <f t="shared" si="12"/>
        <v>Y</v>
      </c>
      <c r="FH15" s="59" t="str">
        <f t="shared" si="13"/>
        <v>Y</v>
      </c>
      <c r="FI15" s="59" t="str">
        <f t="shared" si="14"/>
        <v>Y</v>
      </c>
      <c r="FJ15" s="59" t="str">
        <f t="shared" si="15"/>
        <v>Y</v>
      </c>
      <c r="FK15" s="59" t="str">
        <f t="shared" si="16"/>
        <v>Y</v>
      </c>
      <c r="FL15" s="59" t="str">
        <f t="shared" si="17"/>
        <v>Y</v>
      </c>
      <c r="FM15" s="59" t="str">
        <f t="shared" si="18"/>
        <v>Y</v>
      </c>
      <c r="FN15" s="59" t="str">
        <f t="shared" si="19"/>
        <v>Y</v>
      </c>
      <c r="FO15" s="59" t="str">
        <f t="shared" si="20"/>
        <v>Y</v>
      </c>
      <c r="FP15" s="59" t="str">
        <f t="shared" si="21"/>
        <v>Y</v>
      </c>
      <c r="FQ15" s="59" t="str">
        <f t="shared" si="22"/>
        <v>Y</v>
      </c>
      <c r="FR15" s="59" t="str">
        <f t="shared" si="23"/>
        <v>Y</v>
      </c>
      <c r="FS15" s="59" t="str">
        <f t="shared" si="24"/>
        <v>Y</v>
      </c>
      <c r="FT15" s="59" t="str">
        <f t="shared" si="25"/>
        <v>Y</v>
      </c>
      <c r="FU15" s="59" t="str">
        <f t="shared" si="26"/>
        <v>Y</v>
      </c>
      <c r="FV15" s="59" t="str">
        <f t="shared" si="27"/>
        <v>Y</v>
      </c>
      <c r="FW15" s="59" t="str">
        <f t="shared" si="28"/>
        <v>Y</v>
      </c>
      <c r="FX15" s="59" t="str">
        <f t="shared" si="29"/>
        <v>Y</v>
      </c>
      <c r="FY15" s="59" t="str">
        <f t="shared" si="30"/>
        <v>Y</v>
      </c>
      <c r="FZ15" s="59" t="str">
        <f t="shared" si="31"/>
        <v>Y</v>
      </c>
      <c r="GA15" s="59" t="str">
        <f t="shared" si="32"/>
        <v>Y</v>
      </c>
      <c r="GB15" s="59" t="str">
        <f t="shared" si="33"/>
        <v>Y</v>
      </c>
      <c r="GC15" s="59" t="str">
        <f t="shared" si="34"/>
        <v>Y</v>
      </c>
      <c r="GD15" s="59" t="str">
        <f t="shared" si="35"/>
        <v>Y</v>
      </c>
      <c r="GE15" s="59" t="str">
        <f t="shared" si="36"/>
        <v>Y</v>
      </c>
      <c r="GF15" s="59" t="str">
        <f t="shared" si="37"/>
        <v>Y</v>
      </c>
      <c r="GG15" s="59" t="str">
        <f t="shared" si="38"/>
        <v>Y</v>
      </c>
      <c r="GH15" s="59" t="str">
        <f t="shared" si="39"/>
        <v>Y</v>
      </c>
      <c r="GI15" s="59" t="str">
        <f t="shared" si="40"/>
        <v>Y</v>
      </c>
      <c r="GJ15" s="59" t="str">
        <f t="shared" si="41"/>
        <v>Y</v>
      </c>
      <c r="GK15" s="59" t="str">
        <f t="shared" si="42"/>
        <v>Y</v>
      </c>
      <c r="GL15" s="59" t="str">
        <f t="shared" si="43"/>
        <v>Y</v>
      </c>
      <c r="GM15" s="59" t="str">
        <f t="shared" si="44"/>
        <v>Y</v>
      </c>
      <c r="GN15" s="59" t="str">
        <f t="shared" si="45"/>
        <v>Y</v>
      </c>
      <c r="GO15" s="59" t="str">
        <f t="shared" si="46"/>
        <v>Y</v>
      </c>
      <c r="GP15" s="59" t="str">
        <f t="shared" si="47"/>
        <v>Y</v>
      </c>
      <c r="GQ15" s="59" t="str">
        <f t="shared" si="48"/>
        <v>Y</v>
      </c>
      <c r="GR15" s="59" t="str">
        <f t="shared" si="49"/>
        <v>Y</v>
      </c>
      <c r="GS15" s="59" t="str">
        <f t="shared" si="50"/>
        <v>Y</v>
      </c>
      <c r="GT15" s="59" t="str">
        <f t="shared" si="51"/>
        <v>Y</v>
      </c>
      <c r="GU15" s="59" t="str">
        <f t="shared" si="52"/>
        <v>Y</v>
      </c>
      <c r="GV15" s="59" t="str">
        <f t="shared" si="53"/>
        <v>Y</v>
      </c>
      <c r="GW15" s="59" t="str">
        <f t="shared" si="54"/>
        <v>Y</v>
      </c>
      <c r="GX15" s="59" t="str">
        <f t="shared" si="55"/>
        <v>Y</v>
      </c>
      <c r="GY15" s="59" t="str">
        <f t="shared" si="56"/>
        <v>Y</v>
      </c>
      <c r="GZ15" s="59" t="str">
        <f t="shared" si="57"/>
        <v>Y</v>
      </c>
      <c r="HA15" s="59" t="str">
        <f t="shared" si="58"/>
        <v>Y</v>
      </c>
      <c r="HB15" s="59" t="str">
        <f t="shared" si="59"/>
        <v>Y</v>
      </c>
      <c r="HC15" s="59" t="str">
        <f t="shared" si="60"/>
        <v>Y</v>
      </c>
      <c r="HD15" s="59" t="str">
        <f t="shared" si="61"/>
        <v>Y</v>
      </c>
      <c r="HE15" s="59" t="str">
        <f t="shared" si="62"/>
        <v>Y</v>
      </c>
      <c r="HF15" s="59" t="str">
        <f t="shared" si="63"/>
        <v>Y</v>
      </c>
      <c r="HG15" s="59" t="str">
        <f t="shared" si="64"/>
        <v>Y</v>
      </c>
      <c r="HH15" s="59" t="str">
        <f t="shared" si="65"/>
        <v>Y</v>
      </c>
      <c r="HI15" s="59" t="str">
        <f t="shared" si="66"/>
        <v>Y</v>
      </c>
      <c r="HJ15" s="68" t="str">
        <f t="shared" si="67"/>
        <v>Y</v>
      </c>
      <c r="HK15" s="59"/>
      <c r="HL15" s="68"/>
    </row>
    <row r="16" spans="1:220" ht="48" x14ac:dyDescent="0.2">
      <c r="A16" s="69" t="s">
        <v>129</v>
      </c>
      <c r="B16" s="70">
        <v>2020</v>
      </c>
      <c r="C16" s="70">
        <v>134</v>
      </c>
      <c r="D16" s="70">
        <v>134</v>
      </c>
      <c r="E16" s="59">
        <v>78</v>
      </c>
      <c r="F16" s="70">
        <v>78</v>
      </c>
      <c r="G16" s="70" t="s">
        <v>59</v>
      </c>
      <c r="H16" s="70" t="s">
        <v>59</v>
      </c>
      <c r="I16" s="70" t="s">
        <v>59</v>
      </c>
      <c r="J16" s="70" t="s">
        <v>59</v>
      </c>
      <c r="K16" s="70" t="s">
        <v>130</v>
      </c>
      <c r="L16" s="59" t="s">
        <v>130</v>
      </c>
      <c r="M16" s="59">
        <v>5</v>
      </c>
      <c r="N16" s="59">
        <v>5</v>
      </c>
      <c r="O16" s="59">
        <v>203</v>
      </c>
      <c r="P16" s="59">
        <v>203</v>
      </c>
      <c r="Q16" s="59">
        <v>4</v>
      </c>
      <c r="R16" s="59">
        <v>4</v>
      </c>
      <c r="S16" s="59">
        <v>0</v>
      </c>
      <c r="T16" s="59">
        <v>0</v>
      </c>
      <c r="U16" s="70">
        <v>4</v>
      </c>
      <c r="V16" s="70">
        <v>4</v>
      </c>
      <c r="W16" s="70">
        <v>61</v>
      </c>
      <c r="X16" s="70">
        <v>61</v>
      </c>
      <c r="Y16" s="70">
        <v>147</v>
      </c>
      <c r="Z16" s="70">
        <v>147</v>
      </c>
      <c r="AA16" s="70">
        <v>0</v>
      </c>
      <c r="AB16" s="70">
        <v>0</v>
      </c>
      <c r="AC16" s="59" t="s">
        <v>131</v>
      </c>
      <c r="AD16" s="59" t="s">
        <v>126</v>
      </c>
      <c r="AE16" s="70" t="s">
        <v>126</v>
      </c>
      <c r="AF16" s="70" t="s">
        <v>103</v>
      </c>
      <c r="AG16" s="70" t="s">
        <v>85</v>
      </c>
      <c r="AH16" s="70" t="s">
        <v>85</v>
      </c>
      <c r="AI16" s="70" t="s">
        <v>86</v>
      </c>
      <c r="AJ16" s="70" t="s">
        <v>86</v>
      </c>
      <c r="AK16" s="70" t="s">
        <v>85</v>
      </c>
      <c r="AL16" s="70" t="s">
        <v>85</v>
      </c>
      <c r="AM16" s="70">
        <v>112</v>
      </c>
      <c r="AN16" s="70">
        <v>112</v>
      </c>
      <c r="AO16" s="70">
        <v>100</v>
      </c>
      <c r="AP16" s="70">
        <v>100</v>
      </c>
      <c r="AQ16" s="70">
        <v>0</v>
      </c>
      <c r="AR16" s="70">
        <v>0</v>
      </c>
      <c r="AS16" s="71" t="s">
        <v>59</v>
      </c>
      <c r="AT16" s="72" t="s">
        <v>59</v>
      </c>
      <c r="AU16" s="71" t="s">
        <v>59</v>
      </c>
      <c r="AV16" s="72" t="s">
        <v>59</v>
      </c>
      <c r="AW16" s="71">
        <v>2</v>
      </c>
      <c r="AX16" s="72" t="s">
        <v>59</v>
      </c>
      <c r="AY16" s="70">
        <v>212</v>
      </c>
      <c r="AZ16" s="70">
        <v>212</v>
      </c>
      <c r="BA16" s="70">
        <v>1</v>
      </c>
      <c r="BB16" s="70">
        <v>1</v>
      </c>
      <c r="BC16" s="70" t="s">
        <v>99</v>
      </c>
      <c r="BD16" s="70" t="s">
        <v>99</v>
      </c>
      <c r="BE16" s="70">
        <f t="shared" si="68"/>
        <v>1</v>
      </c>
      <c r="BF16" s="70">
        <f t="shared" si="69"/>
        <v>1</v>
      </c>
      <c r="BG16" s="70">
        <f t="shared" si="0"/>
        <v>0</v>
      </c>
      <c r="BH16" s="70">
        <f t="shared" si="1"/>
        <v>0</v>
      </c>
      <c r="BI16" s="70">
        <v>1</v>
      </c>
      <c r="BJ16" s="70">
        <v>1</v>
      </c>
      <c r="BK16" s="70" t="s">
        <v>87</v>
      </c>
      <c r="BL16" s="70" t="s">
        <v>87</v>
      </c>
      <c r="BM16" s="70" t="s">
        <v>87</v>
      </c>
      <c r="BN16" s="70" t="s">
        <v>87</v>
      </c>
      <c r="BO16" s="70" t="s">
        <v>87</v>
      </c>
      <c r="BP16" s="70" t="s">
        <v>87</v>
      </c>
      <c r="BQ16" s="70" t="s">
        <v>87</v>
      </c>
      <c r="BR16" s="70" t="s">
        <v>87</v>
      </c>
      <c r="BS16" s="70" t="s">
        <v>87</v>
      </c>
      <c r="BT16" s="70" t="s">
        <v>87</v>
      </c>
      <c r="BU16" s="70" t="s">
        <v>87</v>
      </c>
      <c r="BV16" s="70" t="s">
        <v>87</v>
      </c>
      <c r="BW16" s="70" t="s">
        <v>87</v>
      </c>
      <c r="BX16" s="70" t="s">
        <v>87</v>
      </c>
      <c r="BY16" s="70" t="s">
        <v>87</v>
      </c>
      <c r="BZ16" s="70" t="s">
        <v>87</v>
      </c>
      <c r="CA16" s="70" t="s">
        <v>87</v>
      </c>
      <c r="CB16" s="70" t="s">
        <v>87</v>
      </c>
      <c r="CC16" s="70" t="s">
        <v>87</v>
      </c>
      <c r="CD16" s="70" t="s">
        <v>87</v>
      </c>
      <c r="CE16" s="70" t="s">
        <v>87</v>
      </c>
      <c r="CF16" s="70" t="s">
        <v>87</v>
      </c>
      <c r="CG16" s="70" t="s">
        <v>87</v>
      </c>
      <c r="CH16" s="70" t="s">
        <v>87</v>
      </c>
      <c r="CI16" s="70" t="s">
        <v>87</v>
      </c>
      <c r="CJ16" s="70" t="s">
        <v>87</v>
      </c>
      <c r="CK16" s="70" t="s">
        <v>87</v>
      </c>
      <c r="CL16" s="70" t="s">
        <v>87</v>
      </c>
      <c r="CM16" s="70" t="s">
        <v>87</v>
      </c>
      <c r="CN16" s="70" t="s">
        <v>87</v>
      </c>
      <c r="CO16" s="70" t="s">
        <v>87</v>
      </c>
      <c r="CP16" s="70" t="s">
        <v>87</v>
      </c>
      <c r="CQ16" s="70" t="s">
        <v>121</v>
      </c>
      <c r="CR16" s="70" t="s">
        <v>121</v>
      </c>
      <c r="CS16" s="70">
        <v>0</v>
      </c>
      <c r="CT16" s="70">
        <v>0</v>
      </c>
      <c r="CU16" s="70">
        <v>0</v>
      </c>
      <c r="CV16" s="70">
        <v>0</v>
      </c>
      <c r="CW16" s="70" t="s">
        <v>121</v>
      </c>
      <c r="CX16" s="70" t="s">
        <v>121</v>
      </c>
      <c r="CY16" s="70" t="s">
        <v>121</v>
      </c>
      <c r="CZ16" s="70" t="s">
        <v>121</v>
      </c>
      <c r="DA16" s="70" t="s">
        <v>88</v>
      </c>
      <c r="DB16" s="70" t="s">
        <v>88</v>
      </c>
      <c r="DC16" s="70">
        <v>0</v>
      </c>
      <c r="DD16" s="70">
        <v>0</v>
      </c>
      <c r="DE16" s="70" t="s">
        <v>88</v>
      </c>
      <c r="DF16" s="70" t="s">
        <v>88</v>
      </c>
      <c r="DG16" s="70" t="s">
        <v>86</v>
      </c>
      <c r="DH16" s="70" t="s">
        <v>86</v>
      </c>
      <c r="DI16" s="70" t="s">
        <v>121</v>
      </c>
      <c r="DJ16" s="70" t="s">
        <v>121</v>
      </c>
      <c r="DK16" s="70" t="s">
        <v>59</v>
      </c>
      <c r="DL16" s="70" t="s">
        <v>59</v>
      </c>
      <c r="DM16" s="70" t="s">
        <v>59</v>
      </c>
      <c r="DN16" s="59" t="s">
        <v>59</v>
      </c>
      <c r="DO16" s="70" t="s">
        <v>121</v>
      </c>
      <c r="DP16" s="70" t="s">
        <v>121</v>
      </c>
      <c r="DQ16" s="70" t="s">
        <v>59</v>
      </c>
      <c r="DR16" s="70" t="s">
        <v>59</v>
      </c>
      <c r="DS16" s="70" t="s">
        <v>305</v>
      </c>
      <c r="DT16" s="70" t="s">
        <v>305</v>
      </c>
      <c r="DU16" s="70" t="s">
        <v>96</v>
      </c>
      <c r="DV16" s="70" t="s">
        <v>96</v>
      </c>
      <c r="DW16" s="70" t="s">
        <v>104</v>
      </c>
      <c r="DX16" s="70" t="s">
        <v>104</v>
      </c>
      <c r="DY16" s="70">
        <v>1</v>
      </c>
      <c r="DZ16" s="70">
        <v>1</v>
      </c>
      <c r="EA16" s="70">
        <v>1</v>
      </c>
      <c r="EB16" s="70">
        <v>1</v>
      </c>
      <c r="EC16" s="70">
        <v>1</v>
      </c>
      <c r="ED16" s="70">
        <v>1</v>
      </c>
      <c r="EE16" s="70">
        <v>1</v>
      </c>
      <c r="EF16" s="70">
        <v>1</v>
      </c>
      <c r="EG16" s="70">
        <v>1</v>
      </c>
      <c r="EH16" s="70">
        <v>1</v>
      </c>
      <c r="EI16" s="70">
        <v>1</v>
      </c>
      <c r="EJ16" s="70">
        <v>1</v>
      </c>
      <c r="EK16" s="70">
        <v>1</v>
      </c>
      <c r="EL16" s="70">
        <v>1</v>
      </c>
      <c r="EM16" s="70">
        <v>1</v>
      </c>
      <c r="EN16" s="70">
        <v>1</v>
      </c>
      <c r="EO16" s="70">
        <v>1</v>
      </c>
      <c r="EP16" s="70">
        <v>1</v>
      </c>
      <c r="EQ16" s="70">
        <v>1</v>
      </c>
      <c r="ER16" s="70">
        <v>1</v>
      </c>
      <c r="ES16" s="70">
        <f t="shared" si="70"/>
        <v>10</v>
      </c>
      <c r="ET16" s="70">
        <f t="shared" si="70"/>
        <v>10</v>
      </c>
      <c r="EU16" s="74" t="s">
        <v>129</v>
      </c>
      <c r="EV16" s="78">
        <v>2020</v>
      </c>
      <c r="EW16" s="59" t="str">
        <f t="shared" si="2"/>
        <v>Y</v>
      </c>
      <c r="EX16" s="59" t="str">
        <f t="shared" si="3"/>
        <v>Y</v>
      </c>
      <c r="EY16" s="59" t="str">
        <f t="shared" si="4"/>
        <v>Y</v>
      </c>
      <c r="EZ16" s="59" t="str">
        <f t="shared" si="5"/>
        <v>Y</v>
      </c>
      <c r="FA16" s="59" t="str">
        <f t="shared" si="6"/>
        <v>Y</v>
      </c>
      <c r="FB16" s="59" t="str">
        <f t="shared" si="71"/>
        <v>Y</v>
      </c>
      <c r="FC16" s="59" t="str">
        <f t="shared" si="8"/>
        <v>Y</v>
      </c>
      <c r="FD16" s="59" t="str">
        <f t="shared" si="9"/>
        <v>Y</v>
      </c>
      <c r="FE16" s="59" t="str">
        <f t="shared" si="10"/>
        <v>Y</v>
      </c>
      <c r="FF16" s="59" t="str">
        <f t="shared" si="11"/>
        <v>Y</v>
      </c>
      <c r="FG16" s="59" t="str">
        <f t="shared" si="12"/>
        <v>Y</v>
      </c>
      <c r="FH16" s="59" t="str">
        <f t="shared" si="13"/>
        <v>Y</v>
      </c>
      <c r="FI16" s="59" t="str">
        <f t="shared" si="14"/>
        <v>Y</v>
      </c>
      <c r="FJ16" s="59" t="str">
        <f t="shared" si="15"/>
        <v>Y</v>
      </c>
      <c r="FK16" s="59" t="str">
        <f t="shared" si="16"/>
        <v>Y</v>
      </c>
      <c r="FL16" s="59" t="str">
        <f t="shared" si="17"/>
        <v>Y</v>
      </c>
      <c r="FM16" s="59" t="str">
        <f t="shared" si="18"/>
        <v>Y</v>
      </c>
      <c r="FN16" s="59" t="str">
        <f t="shared" si="19"/>
        <v>Y</v>
      </c>
      <c r="FO16" s="59" t="str">
        <f t="shared" si="20"/>
        <v>Y</v>
      </c>
      <c r="FP16" s="59" t="str">
        <f t="shared" si="21"/>
        <v>Y</v>
      </c>
      <c r="FQ16" s="59" t="str">
        <f t="shared" si="22"/>
        <v>Y</v>
      </c>
      <c r="FR16" s="59" t="str">
        <f t="shared" si="23"/>
        <v>Y</v>
      </c>
      <c r="FS16" s="59" t="str">
        <f t="shared" si="24"/>
        <v>Y</v>
      </c>
      <c r="FT16" s="59" t="str">
        <f t="shared" si="25"/>
        <v>Y</v>
      </c>
      <c r="FU16" s="59" t="str">
        <f t="shared" si="26"/>
        <v>Y</v>
      </c>
      <c r="FV16" s="59" t="str">
        <f t="shared" si="27"/>
        <v>Y</v>
      </c>
      <c r="FW16" s="59" t="str">
        <f t="shared" si="28"/>
        <v>Y</v>
      </c>
      <c r="FX16" s="59" t="str">
        <f t="shared" si="29"/>
        <v>Y</v>
      </c>
      <c r="FY16" s="59" t="str">
        <f t="shared" si="30"/>
        <v>Y</v>
      </c>
      <c r="FZ16" s="59" t="str">
        <f t="shared" si="31"/>
        <v>Y</v>
      </c>
      <c r="GA16" s="59" t="str">
        <f t="shared" si="32"/>
        <v>Y</v>
      </c>
      <c r="GB16" s="59" t="str">
        <f t="shared" si="33"/>
        <v>Y</v>
      </c>
      <c r="GC16" s="59" t="str">
        <f t="shared" si="34"/>
        <v>Y</v>
      </c>
      <c r="GD16" s="59" t="str">
        <f t="shared" si="35"/>
        <v>Y</v>
      </c>
      <c r="GE16" s="59" t="str">
        <f t="shared" si="36"/>
        <v>Y</v>
      </c>
      <c r="GF16" s="59" t="str">
        <f t="shared" si="37"/>
        <v>Y</v>
      </c>
      <c r="GG16" s="59" t="str">
        <f t="shared" si="38"/>
        <v>Y</v>
      </c>
      <c r="GH16" s="59" t="str">
        <f t="shared" si="39"/>
        <v>Y</v>
      </c>
      <c r="GI16" s="59" t="str">
        <f t="shared" si="40"/>
        <v>Y</v>
      </c>
      <c r="GJ16" s="59" t="str">
        <f t="shared" si="41"/>
        <v>Y</v>
      </c>
      <c r="GK16" s="59" t="str">
        <f t="shared" si="42"/>
        <v>Y</v>
      </c>
      <c r="GL16" s="59" t="str">
        <f t="shared" si="43"/>
        <v>Y</v>
      </c>
      <c r="GM16" s="59" t="str">
        <f t="shared" si="44"/>
        <v>Y</v>
      </c>
      <c r="GN16" s="59" t="str">
        <f t="shared" si="45"/>
        <v>Y</v>
      </c>
      <c r="GO16" s="59" t="str">
        <f t="shared" si="46"/>
        <v>Y</v>
      </c>
      <c r="GP16" s="59" t="str">
        <f t="shared" si="47"/>
        <v>Y</v>
      </c>
      <c r="GQ16" s="59" t="str">
        <f t="shared" si="48"/>
        <v>Y</v>
      </c>
      <c r="GR16" s="59" t="str">
        <f t="shared" si="49"/>
        <v>Y</v>
      </c>
      <c r="GS16" s="59" t="str">
        <f t="shared" si="50"/>
        <v>Y</v>
      </c>
      <c r="GT16" s="59" t="str">
        <f t="shared" si="51"/>
        <v>Y</v>
      </c>
      <c r="GU16" s="59" t="str">
        <f t="shared" si="52"/>
        <v>Y</v>
      </c>
      <c r="GV16" s="59" t="str">
        <f t="shared" si="53"/>
        <v>Y</v>
      </c>
      <c r="GW16" s="59" t="str">
        <f t="shared" si="54"/>
        <v>Y</v>
      </c>
      <c r="GX16" s="59" t="str">
        <f t="shared" si="55"/>
        <v>Y</v>
      </c>
      <c r="GY16" s="59" t="str">
        <f t="shared" si="56"/>
        <v>Y</v>
      </c>
      <c r="GZ16" s="59" t="str">
        <f t="shared" si="57"/>
        <v>Y</v>
      </c>
      <c r="HA16" s="59" t="str">
        <f t="shared" si="58"/>
        <v>Y</v>
      </c>
      <c r="HB16" s="59" t="str">
        <f t="shared" si="59"/>
        <v>Y</v>
      </c>
      <c r="HC16" s="59" t="str">
        <f t="shared" si="60"/>
        <v>Y</v>
      </c>
      <c r="HD16" s="59" t="str">
        <f t="shared" si="61"/>
        <v>Y</v>
      </c>
      <c r="HE16" s="59" t="str">
        <f t="shared" si="62"/>
        <v>Y</v>
      </c>
      <c r="HF16" s="59" t="str">
        <f t="shared" si="63"/>
        <v>Y</v>
      </c>
      <c r="HG16" s="59" t="str">
        <f t="shared" si="64"/>
        <v>Y</v>
      </c>
      <c r="HH16" s="59" t="str">
        <f t="shared" si="65"/>
        <v>Y</v>
      </c>
      <c r="HI16" s="59" t="str">
        <f t="shared" si="66"/>
        <v>Y</v>
      </c>
      <c r="HJ16" s="68" t="str">
        <f t="shared" si="67"/>
        <v>Y</v>
      </c>
      <c r="HK16" s="59"/>
      <c r="HL16" s="68"/>
    </row>
    <row r="17" spans="1:220" ht="48" x14ac:dyDescent="0.2">
      <c r="A17" s="69" t="s">
        <v>322</v>
      </c>
      <c r="B17" s="70">
        <v>2012</v>
      </c>
      <c r="C17" s="70">
        <v>54</v>
      </c>
      <c r="D17" s="70">
        <v>54</v>
      </c>
      <c r="E17" s="59">
        <v>31</v>
      </c>
      <c r="F17" s="70">
        <v>31</v>
      </c>
      <c r="G17" s="70" t="s">
        <v>59</v>
      </c>
      <c r="H17" s="70" t="s">
        <v>59</v>
      </c>
      <c r="I17" s="70" t="s">
        <v>59</v>
      </c>
      <c r="J17" s="70" t="s">
        <v>59</v>
      </c>
      <c r="K17" s="70" t="s">
        <v>59</v>
      </c>
      <c r="L17" s="59" t="s">
        <v>59</v>
      </c>
      <c r="M17" s="59" t="s">
        <v>59</v>
      </c>
      <c r="N17" s="59" t="s">
        <v>59</v>
      </c>
      <c r="O17" s="59" t="s">
        <v>59</v>
      </c>
      <c r="P17" s="59" t="s">
        <v>59</v>
      </c>
      <c r="Q17" s="59" t="s">
        <v>59</v>
      </c>
      <c r="R17" s="59" t="s">
        <v>59</v>
      </c>
      <c r="S17" s="59" t="s">
        <v>59</v>
      </c>
      <c r="T17" s="59" t="s">
        <v>59</v>
      </c>
      <c r="U17" s="70">
        <v>85</v>
      </c>
      <c r="V17" s="70">
        <v>85</v>
      </c>
      <c r="W17" s="70">
        <v>0</v>
      </c>
      <c r="X17" s="70">
        <v>0</v>
      </c>
      <c r="Y17" s="70">
        <v>0</v>
      </c>
      <c r="Z17" s="70">
        <v>0</v>
      </c>
      <c r="AA17" s="70">
        <v>0</v>
      </c>
      <c r="AB17" s="70">
        <v>0</v>
      </c>
      <c r="AC17" s="59" t="s">
        <v>343</v>
      </c>
      <c r="AD17" s="59" t="s">
        <v>93</v>
      </c>
      <c r="AE17" s="70" t="s">
        <v>93</v>
      </c>
      <c r="AF17" s="70" t="s">
        <v>94</v>
      </c>
      <c r="AG17" s="70" t="s">
        <v>86</v>
      </c>
      <c r="AH17" s="70" t="s">
        <v>86</v>
      </c>
      <c r="AI17" s="70" t="s">
        <v>85</v>
      </c>
      <c r="AJ17" s="70" t="s">
        <v>85</v>
      </c>
      <c r="AK17" s="70" t="s">
        <v>86</v>
      </c>
      <c r="AL17" s="70" t="s">
        <v>86</v>
      </c>
      <c r="AM17" s="70">
        <v>85</v>
      </c>
      <c r="AN17" s="70">
        <v>85</v>
      </c>
      <c r="AO17" s="70">
        <v>0</v>
      </c>
      <c r="AP17" s="70">
        <v>0</v>
      </c>
      <c r="AQ17" s="70">
        <v>0</v>
      </c>
      <c r="AR17" s="70">
        <v>0</v>
      </c>
      <c r="AS17" s="71" t="s">
        <v>59</v>
      </c>
      <c r="AT17" s="72" t="s">
        <v>59</v>
      </c>
      <c r="AU17" s="71" t="s">
        <v>59</v>
      </c>
      <c r="AV17" s="72" t="s">
        <v>59</v>
      </c>
      <c r="AW17" s="71" t="s">
        <v>59</v>
      </c>
      <c r="AX17" s="72" t="s">
        <v>59</v>
      </c>
      <c r="AY17" s="70">
        <v>85</v>
      </c>
      <c r="AZ17" s="70">
        <v>85</v>
      </c>
      <c r="BA17" s="70">
        <v>2</v>
      </c>
      <c r="BB17" s="70">
        <v>2</v>
      </c>
      <c r="BC17" s="70" t="s">
        <v>99</v>
      </c>
      <c r="BD17" s="70" t="s">
        <v>99</v>
      </c>
      <c r="BE17" s="70">
        <f t="shared" si="68"/>
        <v>2</v>
      </c>
      <c r="BF17" s="70">
        <f t="shared" si="69"/>
        <v>2</v>
      </c>
      <c r="BG17" s="70">
        <f t="shared" si="0"/>
        <v>0</v>
      </c>
      <c r="BH17" s="70">
        <f t="shared" si="1"/>
        <v>0</v>
      </c>
      <c r="BI17" s="70">
        <v>2</v>
      </c>
      <c r="BJ17" s="70">
        <v>2</v>
      </c>
      <c r="BK17" s="70" t="s">
        <v>87</v>
      </c>
      <c r="BL17" s="70" t="s">
        <v>87</v>
      </c>
      <c r="BM17" s="70" t="s">
        <v>87</v>
      </c>
      <c r="BN17" s="70" t="s">
        <v>87</v>
      </c>
      <c r="BO17" s="70" t="s">
        <v>87</v>
      </c>
      <c r="BP17" s="70" t="s">
        <v>87</v>
      </c>
      <c r="BQ17" s="70" t="s">
        <v>87</v>
      </c>
      <c r="BR17" s="70" t="s">
        <v>87</v>
      </c>
      <c r="BS17" s="70" t="s">
        <v>87</v>
      </c>
      <c r="BT17" s="70" t="s">
        <v>87</v>
      </c>
      <c r="BU17" s="70" t="s">
        <v>87</v>
      </c>
      <c r="BV17" s="70" t="s">
        <v>87</v>
      </c>
      <c r="BW17" s="70" t="s">
        <v>87</v>
      </c>
      <c r="BX17" s="70" t="s">
        <v>87</v>
      </c>
      <c r="BY17" s="70" t="s">
        <v>87</v>
      </c>
      <c r="BZ17" s="70" t="s">
        <v>87</v>
      </c>
      <c r="CA17" s="70" t="s">
        <v>87</v>
      </c>
      <c r="CB17" s="70" t="s">
        <v>87</v>
      </c>
      <c r="CC17" s="70" t="s">
        <v>87</v>
      </c>
      <c r="CD17" s="70" t="s">
        <v>87</v>
      </c>
      <c r="CE17" s="70" t="s">
        <v>87</v>
      </c>
      <c r="CF17" s="70" t="s">
        <v>87</v>
      </c>
      <c r="CG17" s="70" t="s">
        <v>87</v>
      </c>
      <c r="CH17" s="70" t="s">
        <v>87</v>
      </c>
      <c r="CI17" s="70" t="s">
        <v>87</v>
      </c>
      <c r="CJ17" s="70" t="s">
        <v>87</v>
      </c>
      <c r="CK17" s="70" t="s">
        <v>87</v>
      </c>
      <c r="CL17" s="70" t="s">
        <v>87</v>
      </c>
      <c r="CM17" s="70" t="s">
        <v>87</v>
      </c>
      <c r="CN17" s="70" t="s">
        <v>87</v>
      </c>
      <c r="CO17" s="70" t="s">
        <v>87</v>
      </c>
      <c r="CP17" s="70" t="s">
        <v>87</v>
      </c>
      <c r="CQ17" s="70" t="s">
        <v>108</v>
      </c>
      <c r="CR17" s="70" t="s">
        <v>108</v>
      </c>
      <c r="CS17" s="70" t="s">
        <v>59</v>
      </c>
      <c r="CT17" s="70" t="s">
        <v>59</v>
      </c>
      <c r="CU17" s="70" t="s">
        <v>108</v>
      </c>
      <c r="CV17" s="70" t="s">
        <v>108</v>
      </c>
      <c r="CW17" s="70" t="s">
        <v>59</v>
      </c>
      <c r="CX17" s="70" t="s">
        <v>59</v>
      </c>
      <c r="CY17" s="70" t="s">
        <v>59</v>
      </c>
      <c r="CZ17" s="70" t="s">
        <v>59</v>
      </c>
      <c r="DA17" s="70" t="s">
        <v>88</v>
      </c>
      <c r="DB17" s="70" t="s">
        <v>88</v>
      </c>
      <c r="DC17" s="70" t="s">
        <v>59</v>
      </c>
      <c r="DD17" s="70" t="s">
        <v>59</v>
      </c>
      <c r="DE17" s="70" t="s">
        <v>59</v>
      </c>
      <c r="DF17" s="70" t="s">
        <v>59</v>
      </c>
      <c r="DG17" s="70" t="s">
        <v>59</v>
      </c>
      <c r="DH17" s="76" t="s">
        <v>59</v>
      </c>
      <c r="DI17" s="70" t="s">
        <v>108</v>
      </c>
      <c r="DJ17" s="70" t="s">
        <v>108</v>
      </c>
      <c r="DK17" s="70" t="s">
        <v>59</v>
      </c>
      <c r="DL17" s="70" t="s">
        <v>59</v>
      </c>
      <c r="DM17" s="70" t="s">
        <v>59</v>
      </c>
      <c r="DN17" s="59" t="s">
        <v>59</v>
      </c>
      <c r="DO17" s="70" t="s">
        <v>88</v>
      </c>
      <c r="DP17" s="70" t="s">
        <v>88</v>
      </c>
      <c r="DQ17" s="70" t="s">
        <v>59</v>
      </c>
      <c r="DR17" s="70" t="s">
        <v>59</v>
      </c>
      <c r="DS17" s="70" t="s">
        <v>305</v>
      </c>
      <c r="DT17" s="70" t="s">
        <v>305</v>
      </c>
      <c r="DU17" s="70" t="s">
        <v>323</v>
      </c>
      <c r="DV17" s="70" t="s">
        <v>323</v>
      </c>
      <c r="DW17" s="70" t="s">
        <v>90</v>
      </c>
      <c r="DX17" s="70" t="s">
        <v>90</v>
      </c>
      <c r="DY17" s="70">
        <v>1</v>
      </c>
      <c r="DZ17" s="70">
        <v>1</v>
      </c>
      <c r="EA17" s="70">
        <v>1</v>
      </c>
      <c r="EB17" s="70">
        <v>1</v>
      </c>
      <c r="EC17" s="70">
        <v>1</v>
      </c>
      <c r="ED17" s="70">
        <v>1</v>
      </c>
      <c r="EE17" s="70">
        <v>1</v>
      </c>
      <c r="EF17" s="70">
        <v>1</v>
      </c>
      <c r="EG17" s="70">
        <v>1</v>
      </c>
      <c r="EH17" s="70">
        <v>1</v>
      </c>
      <c r="EI17" s="70">
        <v>1</v>
      </c>
      <c r="EJ17" s="70">
        <v>1</v>
      </c>
      <c r="EK17" s="70">
        <v>1</v>
      </c>
      <c r="EL17" s="70">
        <v>1</v>
      </c>
      <c r="EM17" s="70">
        <v>1</v>
      </c>
      <c r="EN17" s="70">
        <v>1</v>
      </c>
      <c r="EO17" s="70">
        <v>1</v>
      </c>
      <c r="EP17" s="70">
        <v>1</v>
      </c>
      <c r="EQ17" s="70">
        <v>1</v>
      </c>
      <c r="ER17" s="70">
        <v>1</v>
      </c>
      <c r="ES17" s="70">
        <v>10</v>
      </c>
      <c r="ET17" s="70">
        <v>10</v>
      </c>
      <c r="EU17" s="74"/>
      <c r="EV17" s="78"/>
      <c r="EW17" s="59" t="str">
        <f t="shared" si="2"/>
        <v>Y</v>
      </c>
      <c r="EX17" s="59" t="str">
        <f t="shared" si="3"/>
        <v>Y</v>
      </c>
      <c r="EY17" s="59" t="str">
        <f t="shared" si="4"/>
        <v>Y</v>
      </c>
      <c r="EZ17" s="59" t="str">
        <f t="shared" si="5"/>
        <v>Y</v>
      </c>
      <c r="FA17" s="59" t="str">
        <f t="shared" si="6"/>
        <v>Y</v>
      </c>
      <c r="FB17" s="59" t="str">
        <f t="shared" si="71"/>
        <v>Y</v>
      </c>
      <c r="FC17" s="59" t="str">
        <f t="shared" si="8"/>
        <v>Y</v>
      </c>
      <c r="FD17" s="59" t="str">
        <f t="shared" si="9"/>
        <v>Y</v>
      </c>
      <c r="FE17" s="59" t="str">
        <f t="shared" si="10"/>
        <v>Y</v>
      </c>
      <c r="FF17" s="59" t="str">
        <f t="shared" si="11"/>
        <v>Y</v>
      </c>
      <c r="FG17" s="59" t="str">
        <f t="shared" si="12"/>
        <v>Y</v>
      </c>
      <c r="FH17" s="59" t="str">
        <f t="shared" si="13"/>
        <v>Y</v>
      </c>
      <c r="FI17" s="59" t="str">
        <f t="shared" si="14"/>
        <v>Y</v>
      </c>
      <c r="FJ17" s="59" t="str">
        <f t="shared" si="15"/>
        <v>Y</v>
      </c>
      <c r="FK17" s="59" t="str">
        <f t="shared" si="16"/>
        <v>Y</v>
      </c>
      <c r="FL17" s="59" t="str">
        <f t="shared" si="17"/>
        <v>Y</v>
      </c>
      <c r="FM17" s="59" t="str">
        <f t="shared" si="18"/>
        <v>Y</v>
      </c>
      <c r="FN17" s="59" t="str">
        <f t="shared" si="19"/>
        <v>Y</v>
      </c>
      <c r="FO17" s="59" t="str">
        <f t="shared" si="20"/>
        <v>Y</v>
      </c>
      <c r="FP17" s="59" t="str">
        <f t="shared" si="21"/>
        <v>Y</v>
      </c>
      <c r="FQ17" s="59" t="str">
        <f t="shared" si="22"/>
        <v>Y</v>
      </c>
      <c r="FR17" s="59" t="str">
        <f t="shared" si="23"/>
        <v>Y</v>
      </c>
      <c r="FS17" s="59" t="str">
        <f t="shared" si="24"/>
        <v>Y</v>
      </c>
      <c r="FT17" s="59" t="str">
        <f t="shared" si="25"/>
        <v>Y</v>
      </c>
      <c r="FU17" s="59" t="str">
        <f t="shared" si="26"/>
        <v>Y</v>
      </c>
      <c r="FV17" s="59" t="str">
        <f t="shared" si="27"/>
        <v>Y</v>
      </c>
      <c r="FW17" s="59" t="str">
        <f t="shared" si="28"/>
        <v>Y</v>
      </c>
      <c r="FX17" s="59" t="str">
        <f t="shared" si="29"/>
        <v>Y</v>
      </c>
      <c r="FY17" s="59" t="str">
        <f t="shared" si="30"/>
        <v>Y</v>
      </c>
      <c r="FZ17" s="59" t="str">
        <f t="shared" si="31"/>
        <v>Y</v>
      </c>
      <c r="GA17" s="59" t="str">
        <f t="shared" si="32"/>
        <v>Y</v>
      </c>
      <c r="GB17" s="59" t="str">
        <f t="shared" si="33"/>
        <v>Y</v>
      </c>
      <c r="GC17" s="59" t="str">
        <f t="shared" si="34"/>
        <v>Y</v>
      </c>
      <c r="GD17" s="59" t="str">
        <f t="shared" si="35"/>
        <v>Y</v>
      </c>
      <c r="GE17" s="59" t="str">
        <f t="shared" si="36"/>
        <v>Y</v>
      </c>
      <c r="GF17" s="59" t="str">
        <f t="shared" si="37"/>
        <v>Y</v>
      </c>
      <c r="GG17" s="59" t="str">
        <f t="shared" si="38"/>
        <v>Y</v>
      </c>
      <c r="GH17" s="59" t="str">
        <f t="shared" si="39"/>
        <v>Y</v>
      </c>
      <c r="GI17" s="59" t="str">
        <f t="shared" si="40"/>
        <v>Y</v>
      </c>
      <c r="GJ17" s="59" t="str">
        <f t="shared" si="41"/>
        <v>Y</v>
      </c>
      <c r="GK17" s="59" t="str">
        <f t="shared" si="42"/>
        <v>Y</v>
      </c>
      <c r="GL17" s="59" t="str">
        <f t="shared" si="43"/>
        <v>Y</v>
      </c>
      <c r="GM17" s="59" t="str">
        <f t="shared" si="44"/>
        <v>Y</v>
      </c>
      <c r="GN17" s="59" t="str">
        <f t="shared" si="45"/>
        <v>Y</v>
      </c>
      <c r="GO17" s="59" t="str">
        <f t="shared" si="46"/>
        <v>Y</v>
      </c>
      <c r="GP17" s="59" t="str">
        <f t="shared" si="47"/>
        <v>Y</v>
      </c>
      <c r="GQ17" s="59" t="str">
        <f t="shared" si="48"/>
        <v>Y</v>
      </c>
      <c r="GR17" s="59" t="str">
        <f t="shared" si="49"/>
        <v>Y</v>
      </c>
      <c r="GS17" s="59" t="str">
        <f t="shared" si="50"/>
        <v>Y</v>
      </c>
      <c r="GT17" s="59" t="str">
        <f t="shared" si="51"/>
        <v>Y</v>
      </c>
      <c r="GU17" s="59" t="str">
        <f t="shared" si="52"/>
        <v>Y</v>
      </c>
      <c r="GV17" s="59" t="str">
        <f t="shared" si="53"/>
        <v>Y</v>
      </c>
      <c r="GW17" s="59" t="str">
        <f t="shared" si="54"/>
        <v>Y</v>
      </c>
      <c r="GX17" s="59" t="str">
        <f t="shared" si="55"/>
        <v>Y</v>
      </c>
      <c r="GY17" s="59" t="str">
        <f t="shared" si="56"/>
        <v>Y</v>
      </c>
      <c r="GZ17" s="59" t="str">
        <f t="shared" si="57"/>
        <v>Y</v>
      </c>
      <c r="HA17" s="59" t="str">
        <f t="shared" si="58"/>
        <v>Y</v>
      </c>
      <c r="HB17" s="59" t="str">
        <f t="shared" si="59"/>
        <v>Y</v>
      </c>
      <c r="HC17" s="59" t="str">
        <f t="shared" si="60"/>
        <v>Y</v>
      </c>
      <c r="HD17" s="59" t="str">
        <f t="shared" si="61"/>
        <v>Y</v>
      </c>
      <c r="HE17" s="59" t="str">
        <f t="shared" si="62"/>
        <v>Y</v>
      </c>
      <c r="HF17" s="59" t="str">
        <f t="shared" si="63"/>
        <v>Y</v>
      </c>
      <c r="HG17" s="59" t="str">
        <f t="shared" si="64"/>
        <v>Y</v>
      </c>
      <c r="HH17" s="59" t="str">
        <f t="shared" si="65"/>
        <v>Y</v>
      </c>
      <c r="HI17" s="59" t="str">
        <f t="shared" si="66"/>
        <v>Y</v>
      </c>
      <c r="HJ17" s="68" t="str">
        <f t="shared" si="67"/>
        <v>Y</v>
      </c>
      <c r="HK17" s="59"/>
      <c r="HL17" s="68"/>
    </row>
    <row r="18" spans="1:220" ht="48" x14ac:dyDescent="0.2">
      <c r="A18" s="69" t="s">
        <v>132</v>
      </c>
      <c r="B18" s="70">
        <v>2020</v>
      </c>
      <c r="C18" s="70">
        <v>119</v>
      </c>
      <c r="D18" s="70">
        <v>119</v>
      </c>
      <c r="E18" s="59">
        <v>81</v>
      </c>
      <c r="F18" s="70">
        <v>81</v>
      </c>
      <c r="G18" s="70" t="s">
        <v>59</v>
      </c>
      <c r="H18" s="70" t="s">
        <v>59</v>
      </c>
      <c r="I18" s="70" t="s">
        <v>59</v>
      </c>
      <c r="J18" s="70" t="s">
        <v>59</v>
      </c>
      <c r="K18" s="70">
        <v>47</v>
      </c>
      <c r="L18" s="59">
        <v>47</v>
      </c>
      <c r="M18" s="59">
        <v>0</v>
      </c>
      <c r="N18" s="59">
        <v>0</v>
      </c>
      <c r="O18" s="59">
        <v>200</v>
      </c>
      <c r="P18" s="59">
        <v>200</v>
      </c>
      <c r="Q18" s="59">
        <v>0</v>
      </c>
      <c r="R18" s="59">
        <v>0</v>
      </c>
      <c r="S18" s="59">
        <v>0</v>
      </c>
      <c r="T18" s="59">
        <v>0</v>
      </c>
      <c r="U18" s="70">
        <v>0</v>
      </c>
      <c r="V18" s="70">
        <v>0</v>
      </c>
      <c r="W18" s="70">
        <v>200</v>
      </c>
      <c r="X18" s="70">
        <v>200</v>
      </c>
      <c r="Y18" s="70">
        <v>0</v>
      </c>
      <c r="Z18" s="70">
        <v>0</v>
      </c>
      <c r="AA18" s="70">
        <v>0</v>
      </c>
      <c r="AB18" s="70">
        <v>0</v>
      </c>
      <c r="AC18" s="59" t="s">
        <v>101</v>
      </c>
      <c r="AD18" s="59" t="s">
        <v>133</v>
      </c>
      <c r="AE18" s="70" t="s">
        <v>133</v>
      </c>
      <c r="AF18" s="70" t="s">
        <v>103</v>
      </c>
      <c r="AG18" s="70" t="s">
        <v>86</v>
      </c>
      <c r="AH18" s="70" t="s">
        <v>86</v>
      </c>
      <c r="AI18" s="70" t="s">
        <v>85</v>
      </c>
      <c r="AJ18" s="70" t="s">
        <v>85</v>
      </c>
      <c r="AK18" s="70" t="s">
        <v>85</v>
      </c>
      <c r="AL18" s="70" t="s">
        <v>85</v>
      </c>
      <c r="AM18" s="70" t="s">
        <v>59</v>
      </c>
      <c r="AN18" s="70" t="s">
        <v>59</v>
      </c>
      <c r="AO18" s="70" t="s">
        <v>59</v>
      </c>
      <c r="AP18" s="70" t="s">
        <v>59</v>
      </c>
      <c r="AQ18" s="70" t="s">
        <v>59</v>
      </c>
      <c r="AR18" s="70" t="s">
        <v>59</v>
      </c>
      <c r="AS18" s="71" t="s">
        <v>59</v>
      </c>
      <c r="AT18" s="72" t="s">
        <v>59</v>
      </c>
      <c r="AU18" s="71" t="s">
        <v>59</v>
      </c>
      <c r="AV18" s="72" t="s">
        <v>59</v>
      </c>
      <c r="AW18" s="71" t="s">
        <v>59</v>
      </c>
      <c r="AX18" s="72" t="s">
        <v>59</v>
      </c>
      <c r="AY18" s="70">
        <v>200</v>
      </c>
      <c r="AZ18" s="70">
        <v>200</v>
      </c>
      <c r="BA18" s="70">
        <v>50</v>
      </c>
      <c r="BB18" s="70">
        <v>50</v>
      </c>
      <c r="BC18" s="70" t="s">
        <v>95</v>
      </c>
      <c r="BD18" s="70" t="s">
        <v>95</v>
      </c>
      <c r="BE18" s="70">
        <f t="shared" si="68"/>
        <v>50</v>
      </c>
      <c r="BF18" s="70">
        <f t="shared" si="69"/>
        <v>50</v>
      </c>
      <c r="BG18" s="70">
        <f t="shared" si="0"/>
        <v>0</v>
      </c>
      <c r="BH18" s="70">
        <f t="shared" si="1"/>
        <v>0</v>
      </c>
      <c r="BI18" s="70">
        <v>1</v>
      </c>
      <c r="BJ18" s="70">
        <v>1</v>
      </c>
      <c r="BK18" s="70">
        <v>0</v>
      </c>
      <c r="BL18" s="70">
        <v>0</v>
      </c>
      <c r="BM18" s="70">
        <v>0</v>
      </c>
      <c r="BN18" s="70">
        <v>0</v>
      </c>
      <c r="BO18" s="70">
        <v>0</v>
      </c>
      <c r="BP18" s="70">
        <v>0</v>
      </c>
      <c r="BQ18" s="70">
        <v>4</v>
      </c>
      <c r="BR18" s="70">
        <v>4</v>
      </c>
      <c r="BS18" s="70">
        <v>7</v>
      </c>
      <c r="BT18" s="70">
        <v>7</v>
      </c>
      <c r="BU18" s="70">
        <v>0</v>
      </c>
      <c r="BV18" s="70">
        <v>0</v>
      </c>
      <c r="BW18" s="70">
        <v>0</v>
      </c>
      <c r="BX18" s="70">
        <v>0</v>
      </c>
      <c r="BY18" s="70">
        <v>0</v>
      </c>
      <c r="BZ18" s="70">
        <v>0</v>
      </c>
      <c r="CA18" s="70">
        <v>19</v>
      </c>
      <c r="CB18" s="70">
        <v>19</v>
      </c>
      <c r="CC18" s="70">
        <v>0</v>
      </c>
      <c r="CD18" s="70">
        <v>0</v>
      </c>
      <c r="CE18" s="70">
        <v>19</v>
      </c>
      <c r="CF18" s="70">
        <v>19</v>
      </c>
      <c r="CG18" s="70">
        <v>0</v>
      </c>
      <c r="CH18" s="70">
        <v>0</v>
      </c>
      <c r="CI18" s="70">
        <v>0</v>
      </c>
      <c r="CJ18" s="70">
        <v>0</v>
      </c>
      <c r="CK18" s="70">
        <v>0</v>
      </c>
      <c r="CL18" s="70">
        <v>0</v>
      </c>
      <c r="CM18" s="70">
        <v>0</v>
      </c>
      <c r="CN18" s="70">
        <v>0</v>
      </c>
      <c r="CO18" s="70">
        <v>0</v>
      </c>
      <c r="CP18" s="70">
        <v>0</v>
      </c>
      <c r="CQ18" s="70" t="s">
        <v>59</v>
      </c>
      <c r="CR18" s="70" t="s">
        <v>59</v>
      </c>
      <c r="CS18" s="70" t="s">
        <v>88</v>
      </c>
      <c r="CT18" s="70" t="s">
        <v>88</v>
      </c>
      <c r="CU18" s="70">
        <v>0</v>
      </c>
      <c r="CV18" s="70">
        <v>0</v>
      </c>
      <c r="CW18" s="70" t="s">
        <v>88</v>
      </c>
      <c r="CX18" s="70" t="s">
        <v>88</v>
      </c>
      <c r="CY18" s="70">
        <v>0</v>
      </c>
      <c r="CZ18" s="70">
        <v>0</v>
      </c>
      <c r="DA18" s="70" t="s">
        <v>88</v>
      </c>
      <c r="DB18" s="70" t="s">
        <v>88</v>
      </c>
      <c r="DC18" s="70" t="s">
        <v>88</v>
      </c>
      <c r="DD18" s="70" t="s">
        <v>88</v>
      </c>
      <c r="DE18" s="70" t="s">
        <v>88</v>
      </c>
      <c r="DF18" s="70" t="s">
        <v>88</v>
      </c>
      <c r="DG18" s="70" t="s">
        <v>59</v>
      </c>
      <c r="DH18" s="76" t="s">
        <v>59</v>
      </c>
      <c r="DI18" s="70" t="s">
        <v>59</v>
      </c>
      <c r="DJ18" s="70" t="s">
        <v>59</v>
      </c>
      <c r="DK18" s="70" t="s">
        <v>88</v>
      </c>
      <c r="DL18" s="70" t="s">
        <v>88</v>
      </c>
      <c r="DM18" s="70" t="s">
        <v>59</v>
      </c>
      <c r="DN18" s="59" t="s">
        <v>59</v>
      </c>
      <c r="DO18" s="70" t="s">
        <v>59</v>
      </c>
      <c r="DP18" s="70" t="s">
        <v>59</v>
      </c>
      <c r="DQ18" s="70" t="s">
        <v>59</v>
      </c>
      <c r="DR18" s="70" t="s">
        <v>59</v>
      </c>
      <c r="DS18" s="70" t="s">
        <v>305</v>
      </c>
      <c r="DT18" s="70" t="s">
        <v>305</v>
      </c>
      <c r="DU18" s="70" t="s">
        <v>323</v>
      </c>
      <c r="DV18" s="70" t="s">
        <v>323</v>
      </c>
      <c r="DW18" s="70" t="s">
        <v>134</v>
      </c>
      <c r="DX18" s="70" t="s">
        <v>134</v>
      </c>
      <c r="DY18" s="70">
        <v>1</v>
      </c>
      <c r="DZ18" s="70">
        <v>1</v>
      </c>
      <c r="EA18" s="70">
        <v>1</v>
      </c>
      <c r="EB18" s="70">
        <v>1</v>
      </c>
      <c r="EC18" s="70">
        <v>1</v>
      </c>
      <c r="ED18" s="70">
        <v>1</v>
      </c>
      <c r="EE18" s="70">
        <v>1</v>
      </c>
      <c r="EF18" s="70">
        <v>1</v>
      </c>
      <c r="EG18" s="70">
        <v>1</v>
      </c>
      <c r="EH18" s="70">
        <v>1</v>
      </c>
      <c r="EI18" s="70">
        <v>1</v>
      </c>
      <c r="EJ18" s="70">
        <v>1</v>
      </c>
      <c r="EK18" s="70">
        <v>1</v>
      </c>
      <c r="EL18" s="70">
        <v>1</v>
      </c>
      <c r="EM18" s="70">
        <v>1</v>
      </c>
      <c r="EN18" s="70">
        <v>1</v>
      </c>
      <c r="EO18" s="70">
        <v>1</v>
      </c>
      <c r="EP18" s="70">
        <v>1</v>
      </c>
      <c r="EQ18" s="70">
        <v>1</v>
      </c>
      <c r="ER18" s="70">
        <v>1</v>
      </c>
      <c r="ES18" s="70">
        <f t="shared" ref="ES18:ET26" si="72">SUM(DY18,EA18,EC18,EE18,EG18,EI18,EK18,EM18,EO18,EQ18)</f>
        <v>10</v>
      </c>
      <c r="ET18" s="70">
        <f t="shared" si="72"/>
        <v>10</v>
      </c>
      <c r="EU18" s="74" t="s">
        <v>132</v>
      </c>
      <c r="EV18" s="78">
        <v>2020</v>
      </c>
      <c r="EW18" s="59" t="str">
        <f t="shared" si="2"/>
        <v>Y</v>
      </c>
      <c r="EX18" s="59" t="str">
        <f t="shared" si="3"/>
        <v>Y</v>
      </c>
      <c r="EY18" s="59" t="str">
        <f t="shared" si="4"/>
        <v>Y</v>
      </c>
      <c r="EZ18" s="59" t="str">
        <f t="shared" si="5"/>
        <v>Y</v>
      </c>
      <c r="FA18" s="59" t="str">
        <f t="shared" si="6"/>
        <v>Y</v>
      </c>
      <c r="FB18" s="59" t="str">
        <f t="shared" si="71"/>
        <v>Y</v>
      </c>
      <c r="FC18" s="59" t="str">
        <f t="shared" si="8"/>
        <v>Y</v>
      </c>
      <c r="FD18" s="59" t="str">
        <f t="shared" si="9"/>
        <v>Y</v>
      </c>
      <c r="FE18" s="59" t="str">
        <f t="shared" si="10"/>
        <v>Y</v>
      </c>
      <c r="FF18" s="59" t="str">
        <f t="shared" si="11"/>
        <v>Y</v>
      </c>
      <c r="FG18" s="59" t="str">
        <f t="shared" si="12"/>
        <v>Y</v>
      </c>
      <c r="FH18" s="59" t="str">
        <f t="shared" si="13"/>
        <v>Y</v>
      </c>
      <c r="FI18" s="59" t="str">
        <f t="shared" si="14"/>
        <v>Y</v>
      </c>
      <c r="FJ18" s="59" t="str">
        <f t="shared" si="15"/>
        <v>Y</v>
      </c>
      <c r="FK18" s="59" t="str">
        <f t="shared" si="16"/>
        <v>Y</v>
      </c>
      <c r="FL18" s="59" t="str">
        <f t="shared" si="17"/>
        <v>Y</v>
      </c>
      <c r="FM18" s="59" t="str">
        <f t="shared" si="18"/>
        <v>Y</v>
      </c>
      <c r="FN18" s="59" t="str">
        <f t="shared" si="19"/>
        <v>Y</v>
      </c>
      <c r="FO18" s="59" t="str">
        <f t="shared" si="20"/>
        <v>Y</v>
      </c>
      <c r="FP18" s="59" t="str">
        <f t="shared" si="21"/>
        <v>Y</v>
      </c>
      <c r="FQ18" s="59" t="str">
        <f t="shared" si="22"/>
        <v>Y</v>
      </c>
      <c r="FR18" s="59" t="str">
        <f t="shared" si="23"/>
        <v>Y</v>
      </c>
      <c r="FS18" s="59" t="str">
        <f t="shared" si="24"/>
        <v>Y</v>
      </c>
      <c r="FT18" s="59" t="str">
        <f t="shared" si="25"/>
        <v>Y</v>
      </c>
      <c r="FU18" s="59" t="str">
        <f t="shared" si="26"/>
        <v>Y</v>
      </c>
      <c r="FV18" s="59" t="str">
        <f t="shared" si="27"/>
        <v>Y</v>
      </c>
      <c r="FW18" s="59" t="str">
        <f t="shared" si="28"/>
        <v>Y</v>
      </c>
      <c r="FX18" s="59" t="str">
        <f t="shared" si="29"/>
        <v>Y</v>
      </c>
      <c r="FY18" s="59" t="str">
        <f t="shared" si="30"/>
        <v>Y</v>
      </c>
      <c r="FZ18" s="59" t="str">
        <f t="shared" si="31"/>
        <v>Y</v>
      </c>
      <c r="GA18" s="59" t="str">
        <f t="shared" si="32"/>
        <v>Y</v>
      </c>
      <c r="GB18" s="59" t="str">
        <f t="shared" si="33"/>
        <v>Y</v>
      </c>
      <c r="GC18" s="59" t="str">
        <f t="shared" si="34"/>
        <v>Y</v>
      </c>
      <c r="GD18" s="59" t="str">
        <f t="shared" si="35"/>
        <v>Y</v>
      </c>
      <c r="GE18" s="59" t="str">
        <f t="shared" si="36"/>
        <v>Y</v>
      </c>
      <c r="GF18" s="59" t="str">
        <f t="shared" si="37"/>
        <v>Y</v>
      </c>
      <c r="GG18" s="59" t="str">
        <f t="shared" si="38"/>
        <v>Y</v>
      </c>
      <c r="GH18" s="59" t="str">
        <f t="shared" si="39"/>
        <v>Y</v>
      </c>
      <c r="GI18" s="59" t="str">
        <f t="shared" si="40"/>
        <v>Y</v>
      </c>
      <c r="GJ18" s="59" t="str">
        <f t="shared" si="41"/>
        <v>Y</v>
      </c>
      <c r="GK18" s="59" t="str">
        <f t="shared" si="42"/>
        <v>Y</v>
      </c>
      <c r="GL18" s="59" t="str">
        <f t="shared" si="43"/>
        <v>Y</v>
      </c>
      <c r="GM18" s="59" t="str">
        <f t="shared" si="44"/>
        <v>Y</v>
      </c>
      <c r="GN18" s="59" t="str">
        <f t="shared" si="45"/>
        <v>Y</v>
      </c>
      <c r="GO18" s="59" t="str">
        <f t="shared" si="46"/>
        <v>Y</v>
      </c>
      <c r="GP18" s="59" t="str">
        <f t="shared" si="47"/>
        <v>Y</v>
      </c>
      <c r="GQ18" s="59" t="str">
        <f t="shared" si="48"/>
        <v>Y</v>
      </c>
      <c r="GR18" s="59" t="str">
        <f t="shared" si="49"/>
        <v>Y</v>
      </c>
      <c r="GS18" s="59" t="str">
        <f t="shared" si="50"/>
        <v>Y</v>
      </c>
      <c r="GT18" s="59" t="str">
        <f t="shared" si="51"/>
        <v>Y</v>
      </c>
      <c r="GU18" s="59" t="str">
        <f t="shared" si="52"/>
        <v>Y</v>
      </c>
      <c r="GV18" s="59" t="str">
        <f t="shared" si="53"/>
        <v>Y</v>
      </c>
      <c r="GW18" s="59" t="str">
        <f t="shared" si="54"/>
        <v>Y</v>
      </c>
      <c r="GX18" s="59" t="str">
        <f t="shared" si="55"/>
        <v>Y</v>
      </c>
      <c r="GY18" s="59" t="str">
        <f t="shared" si="56"/>
        <v>Y</v>
      </c>
      <c r="GZ18" s="59" t="str">
        <f t="shared" si="57"/>
        <v>Y</v>
      </c>
      <c r="HA18" s="59" t="str">
        <f t="shared" si="58"/>
        <v>Y</v>
      </c>
      <c r="HB18" s="59" t="str">
        <f t="shared" si="59"/>
        <v>Y</v>
      </c>
      <c r="HC18" s="59" t="str">
        <f t="shared" si="60"/>
        <v>Y</v>
      </c>
      <c r="HD18" s="59" t="str">
        <f t="shared" si="61"/>
        <v>Y</v>
      </c>
      <c r="HE18" s="59" t="str">
        <f t="shared" si="62"/>
        <v>Y</v>
      </c>
      <c r="HF18" s="59" t="str">
        <f t="shared" si="63"/>
        <v>Y</v>
      </c>
      <c r="HG18" s="59" t="str">
        <f t="shared" si="64"/>
        <v>Y</v>
      </c>
      <c r="HH18" s="59" t="str">
        <f t="shared" si="65"/>
        <v>Y</v>
      </c>
      <c r="HI18" s="59" t="str">
        <f t="shared" si="66"/>
        <v>Y</v>
      </c>
      <c r="HJ18" s="68" t="str">
        <f t="shared" si="67"/>
        <v>Y</v>
      </c>
      <c r="HK18" s="59"/>
      <c r="HL18" s="68"/>
    </row>
    <row r="19" spans="1:220" ht="16" x14ac:dyDescent="0.2">
      <c r="A19" s="69" t="s">
        <v>135</v>
      </c>
      <c r="B19" s="70">
        <v>2017</v>
      </c>
      <c r="C19" s="70">
        <v>43</v>
      </c>
      <c r="D19" s="70">
        <v>43</v>
      </c>
      <c r="E19" s="59">
        <v>5</v>
      </c>
      <c r="F19" s="70">
        <v>5</v>
      </c>
      <c r="G19" s="70" t="s">
        <v>59</v>
      </c>
      <c r="H19" s="70" t="s">
        <v>59</v>
      </c>
      <c r="I19" s="70" t="s">
        <v>59</v>
      </c>
      <c r="J19" s="70" t="s">
        <v>59</v>
      </c>
      <c r="K19" s="70">
        <v>25.6</v>
      </c>
      <c r="L19" s="59">
        <v>25.6</v>
      </c>
      <c r="M19" s="59" t="s">
        <v>59</v>
      </c>
      <c r="N19" s="59" t="s">
        <v>59</v>
      </c>
      <c r="O19" s="59" t="s">
        <v>59</v>
      </c>
      <c r="P19" s="59" t="s">
        <v>59</v>
      </c>
      <c r="Q19" s="59" t="s">
        <v>59</v>
      </c>
      <c r="R19" s="59" t="s">
        <v>59</v>
      </c>
      <c r="S19" s="59" t="s">
        <v>59</v>
      </c>
      <c r="T19" s="59" t="s">
        <v>59</v>
      </c>
      <c r="U19" s="70">
        <v>0</v>
      </c>
      <c r="V19" s="70">
        <v>0</v>
      </c>
      <c r="W19" s="70">
        <v>48</v>
      </c>
      <c r="X19" s="70">
        <v>48</v>
      </c>
      <c r="Y19" s="70">
        <v>0</v>
      </c>
      <c r="Z19" s="70">
        <v>0</v>
      </c>
      <c r="AA19" s="70">
        <v>0</v>
      </c>
      <c r="AB19" s="70">
        <v>0</v>
      </c>
      <c r="AC19" s="59" t="s">
        <v>101</v>
      </c>
      <c r="AD19" s="59" t="s">
        <v>136</v>
      </c>
      <c r="AE19" s="70" t="s">
        <v>136</v>
      </c>
      <c r="AF19" s="70" t="s">
        <v>103</v>
      </c>
      <c r="AG19" s="70" t="s">
        <v>85</v>
      </c>
      <c r="AH19" s="70" t="s">
        <v>85</v>
      </c>
      <c r="AI19" s="70" t="s">
        <v>86</v>
      </c>
      <c r="AJ19" s="70" t="s">
        <v>86</v>
      </c>
      <c r="AK19" s="70" t="s">
        <v>86</v>
      </c>
      <c r="AL19" s="70" t="s">
        <v>86</v>
      </c>
      <c r="AM19" s="70">
        <v>48</v>
      </c>
      <c r="AN19" s="70">
        <v>48</v>
      </c>
      <c r="AO19" s="70">
        <v>0</v>
      </c>
      <c r="AP19" s="70">
        <v>0</v>
      </c>
      <c r="AQ19" s="70">
        <v>0</v>
      </c>
      <c r="AR19" s="70">
        <v>0</v>
      </c>
      <c r="AS19" s="71" t="s">
        <v>59</v>
      </c>
      <c r="AT19" s="72" t="s">
        <v>59</v>
      </c>
      <c r="AU19" s="71" t="s">
        <v>59</v>
      </c>
      <c r="AV19" s="72" t="s">
        <v>59</v>
      </c>
      <c r="AW19" s="71" t="s">
        <v>59</v>
      </c>
      <c r="AX19" s="72" t="s">
        <v>59</v>
      </c>
      <c r="AY19" s="70">
        <v>48</v>
      </c>
      <c r="AZ19" s="70">
        <v>48</v>
      </c>
      <c r="BA19" s="70">
        <v>23</v>
      </c>
      <c r="BB19" s="70">
        <v>23</v>
      </c>
      <c r="BC19" s="70" t="s">
        <v>99</v>
      </c>
      <c r="BD19" s="70" t="s">
        <v>99</v>
      </c>
      <c r="BE19" s="70">
        <f t="shared" si="68"/>
        <v>0</v>
      </c>
      <c r="BF19" s="70">
        <f t="shared" si="69"/>
        <v>0</v>
      </c>
      <c r="BG19" s="70">
        <f t="shared" si="0"/>
        <v>23</v>
      </c>
      <c r="BH19" s="70">
        <f t="shared" si="1"/>
        <v>23</v>
      </c>
      <c r="BI19" s="70" t="s">
        <v>87</v>
      </c>
      <c r="BJ19" s="70" t="s">
        <v>87</v>
      </c>
      <c r="BK19" s="70" t="s">
        <v>87</v>
      </c>
      <c r="BL19" s="70" t="s">
        <v>87</v>
      </c>
      <c r="BM19" s="70">
        <v>23</v>
      </c>
      <c r="BN19" s="70">
        <v>23</v>
      </c>
      <c r="BO19" s="70" t="s">
        <v>87</v>
      </c>
      <c r="BP19" s="70" t="s">
        <v>87</v>
      </c>
      <c r="BQ19" s="70" t="s">
        <v>87</v>
      </c>
      <c r="BR19" s="70" t="s">
        <v>87</v>
      </c>
      <c r="BS19" s="70" t="s">
        <v>87</v>
      </c>
      <c r="BT19" s="70" t="s">
        <v>87</v>
      </c>
      <c r="BU19" s="70" t="s">
        <v>87</v>
      </c>
      <c r="BV19" s="70" t="s">
        <v>87</v>
      </c>
      <c r="BW19" s="70" t="s">
        <v>87</v>
      </c>
      <c r="BX19" s="70" t="s">
        <v>87</v>
      </c>
      <c r="BY19" s="70" t="s">
        <v>87</v>
      </c>
      <c r="BZ19" s="70" t="s">
        <v>87</v>
      </c>
      <c r="CA19" s="70" t="s">
        <v>87</v>
      </c>
      <c r="CB19" s="70" t="s">
        <v>87</v>
      </c>
      <c r="CC19" s="70" t="s">
        <v>87</v>
      </c>
      <c r="CD19" s="70" t="s">
        <v>87</v>
      </c>
      <c r="CE19" s="70" t="s">
        <v>87</v>
      </c>
      <c r="CF19" s="70" t="s">
        <v>87</v>
      </c>
      <c r="CG19" s="70" t="s">
        <v>87</v>
      </c>
      <c r="CH19" s="70" t="s">
        <v>87</v>
      </c>
      <c r="CI19" s="70" t="s">
        <v>87</v>
      </c>
      <c r="CJ19" s="70" t="s">
        <v>87</v>
      </c>
      <c r="CK19" s="70" t="s">
        <v>87</v>
      </c>
      <c r="CL19" s="70" t="s">
        <v>87</v>
      </c>
      <c r="CM19" s="70" t="s">
        <v>87</v>
      </c>
      <c r="CN19" s="70" t="s">
        <v>87</v>
      </c>
      <c r="CO19" s="70" t="s">
        <v>87</v>
      </c>
      <c r="CP19" s="70" t="s">
        <v>87</v>
      </c>
      <c r="CQ19" s="70" t="s">
        <v>59</v>
      </c>
      <c r="CR19" s="70" t="s">
        <v>59</v>
      </c>
      <c r="CS19" s="70" t="s">
        <v>59</v>
      </c>
      <c r="CT19" s="70" t="s">
        <v>59</v>
      </c>
      <c r="CU19" s="70" t="s">
        <v>59</v>
      </c>
      <c r="CV19" s="70" t="s">
        <v>59</v>
      </c>
      <c r="CW19" s="70" t="s">
        <v>59</v>
      </c>
      <c r="CX19" s="70" t="s">
        <v>59</v>
      </c>
      <c r="CY19" s="70" t="s">
        <v>59</v>
      </c>
      <c r="CZ19" s="70" t="s">
        <v>59</v>
      </c>
      <c r="DA19" s="70" t="s">
        <v>59</v>
      </c>
      <c r="DB19" s="70" t="s">
        <v>59</v>
      </c>
      <c r="DC19" s="70" t="s">
        <v>121</v>
      </c>
      <c r="DD19" s="70" t="s">
        <v>121</v>
      </c>
      <c r="DE19" s="70" t="s">
        <v>88</v>
      </c>
      <c r="DF19" s="70" t="s">
        <v>88</v>
      </c>
      <c r="DG19" s="70" t="s">
        <v>59</v>
      </c>
      <c r="DH19" s="70" t="s">
        <v>59</v>
      </c>
      <c r="DI19" s="70" t="s">
        <v>59</v>
      </c>
      <c r="DJ19" s="70" t="s">
        <v>59</v>
      </c>
      <c r="DK19" s="70" t="s">
        <v>59</v>
      </c>
      <c r="DL19" s="70" t="s">
        <v>59</v>
      </c>
      <c r="DM19" s="70" t="s">
        <v>59</v>
      </c>
      <c r="DN19" s="59" t="s">
        <v>59</v>
      </c>
      <c r="DO19" s="70" t="s">
        <v>59</v>
      </c>
      <c r="DP19" s="70" t="s">
        <v>59</v>
      </c>
      <c r="DQ19" s="70" t="s">
        <v>59</v>
      </c>
      <c r="DR19" s="70" t="s">
        <v>59</v>
      </c>
      <c r="DS19" s="70" t="s">
        <v>305</v>
      </c>
      <c r="DT19" s="70" t="s">
        <v>305</v>
      </c>
      <c r="DU19" s="70" t="s">
        <v>137</v>
      </c>
      <c r="DV19" s="70" t="s">
        <v>137</v>
      </c>
      <c r="DW19" s="70" t="s">
        <v>90</v>
      </c>
      <c r="DX19" s="70" t="s">
        <v>90</v>
      </c>
      <c r="DY19" s="70">
        <v>1</v>
      </c>
      <c r="DZ19" s="70">
        <v>1</v>
      </c>
      <c r="EA19" s="70">
        <v>0</v>
      </c>
      <c r="EB19" s="70">
        <v>0</v>
      </c>
      <c r="EC19" s="70">
        <v>1</v>
      </c>
      <c r="ED19" s="70">
        <v>1</v>
      </c>
      <c r="EE19" s="70">
        <v>1</v>
      </c>
      <c r="EF19" s="70">
        <v>1</v>
      </c>
      <c r="EG19" s="70">
        <v>1</v>
      </c>
      <c r="EH19" s="70">
        <v>1</v>
      </c>
      <c r="EI19" s="70">
        <v>1</v>
      </c>
      <c r="EJ19" s="70">
        <v>1</v>
      </c>
      <c r="EK19" s="70">
        <v>1</v>
      </c>
      <c r="EL19" s="70">
        <v>1</v>
      </c>
      <c r="EM19" s="70">
        <v>1</v>
      </c>
      <c r="EN19" s="70">
        <v>1</v>
      </c>
      <c r="EO19" s="70">
        <v>1</v>
      </c>
      <c r="EP19" s="70">
        <v>1</v>
      </c>
      <c r="EQ19" s="70">
        <v>1</v>
      </c>
      <c r="ER19" s="70">
        <v>1</v>
      </c>
      <c r="ES19" s="70">
        <f t="shared" si="72"/>
        <v>9</v>
      </c>
      <c r="ET19" s="70">
        <f t="shared" si="72"/>
        <v>9</v>
      </c>
      <c r="EU19" s="74" t="s">
        <v>135</v>
      </c>
      <c r="EV19" s="78">
        <v>2017</v>
      </c>
      <c r="EW19" s="59" t="str">
        <f t="shared" si="2"/>
        <v>Y</v>
      </c>
      <c r="EX19" s="59" t="str">
        <f t="shared" si="3"/>
        <v>Y</v>
      </c>
      <c r="EY19" s="59" t="str">
        <f t="shared" si="4"/>
        <v>Y</v>
      </c>
      <c r="EZ19" s="59" t="str">
        <f t="shared" si="5"/>
        <v>Y</v>
      </c>
      <c r="FA19" s="59" t="str">
        <f t="shared" si="6"/>
        <v>Y</v>
      </c>
      <c r="FB19" s="59" t="str">
        <f t="shared" si="71"/>
        <v>Y</v>
      </c>
      <c r="FC19" s="59" t="str">
        <f t="shared" si="8"/>
        <v>Y</v>
      </c>
      <c r="FD19" s="59" t="str">
        <f t="shared" si="9"/>
        <v>Y</v>
      </c>
      <c r="FE19" s="59" t="str">
        <f t="shared" si="10"/>
        <v>Y</v>
      </c>
      <c r="FF19" s="59" t="str">
        <f t="shared" si="11"/>
        <v>Y</v>
      </c>
      <c r="FG19" s="59" t="str">
        <f t="shared" si="12"/>
        <v>Y</v>
      </c>
      <c r="FH19" s="59" t="str">
        <f t="shared" si="13"/>
        <v>Y</v>
      </c>
      <c r="FI19" s="59" t="str">
        <f t="shared" si="14"/>
        <v>Y</v>
      </c>
      <c r="FJ19" s="59" t="str">
        <f t="shared" si="15"/>
        <v>Y</v>
      </c>
      <c r="FK19" s="59" t="str">
        <f t="shared" si="16"/>
        <v>Y</v>
      </c>
      <c r="FL19" s="59" t="str">
        <f t="shared" si="17"/>
        <v>Y</v>
      </c>
      <c r="FM19" s="59" t="str">
        <f t="shared" si="18"/>
        <v>Y</v>
      </c>
      <c r="FN19" s="59" t="str">
        <f t="shared" si="19"/>
        <v>Y</v>
      </c>
      <c r="FO19" s="59" t="str">
        <f t="shared" si="20"/>
        <v>Y</v>
      </c>
      <c r="FP19" s="59" t="str">
        <f t="shared" si="21"/>
        <v>Y</v>
      </c>
      <c r="FQ19" s="59" t="str">
        <f t="shared" si="22"/>
        <v>Y</v>
      </c>
      <c r="FR19" s="59" t="str">
        <f t="shared" si="23"/>
        <v>Y</v>
      </c>
      <c r="FS19" s="59" t="str">
        <f t="shared" si="24"/>
        <v>Y</v>
      </c>
      <c r="FT19" s="59" t="str">
        <f t="shared" si="25"/>
        <v>Y</v>
      </c>
      <c r="FU19" s="59" t="str">
        <f t="shared" si="26"/>
        <v>Y</v>
      </c>
      <c r="FV19" s="59" t="str">
        <f t="shared" si="27"/>
        <v>Y</v>
      </c>
      <c r="FW19" s="59" t="str">
        <f t="shared" si="28"/>
        <v>Y</v>
      </c>
      <c r="FX19" s="59" t="str">
        <f t="shared" si="29"/>
        <v>Y</v>
      </c>
      <c r="FY19" s="59" t="str">
        <f t="shared" si="30"/>
        <v>Y</v>
      </c>
      <c r="FZ19" s="59" t="str">
        <f t="shared" si="31"/>
        <v>Y</v>
      </c>
      <c r="GA19" s="59" t="str">
        <f t="shared" si="32"/>
        <v>Y</v>
      </c>
      <c r="GB19" s="59" t="str">
        <f t="shared" si="33"/>
        <v>Y</v>
      </c>
      <c r="GC19" s="59" t="str">
        <f t="shared" si="34"/>
        <v>Y</v>
      </c>
      <c r="GD19" s="59" t="str">
        <f t="shared" si="35"/>
        <v>Y</v>
      </c>
      <c r="GE19" s="59" t="str">
        <f t="shared" si="36"/>
        <v>Y</v>
      </c>
      <c r="GF19" s="59" t="str">
        <f t="shared" si="37"/>
        <v>Y</v>
      </c>
      <c r="GG19" s="59" t="str">
        <f t="shared" si="38"/>
        <v>Y</v>
      </c>
      <c r="GH19" s="59" t="str">
        <f t="shared" si="39"/>
        <v>Y</v>
      </c>
      <c r="GI19" s="59" t="str">
        <f t="shared" si="40"/>
        <v>Y</v>
      </c>
      <c r="GJ19" s="59" t="str">
        <f t="shared" si="41"/>
        <v>Y</v>
      </c>
      <c r="GK19" s="59" t="str">
        <f t="shared" si="42"/>
        <v>Y</v>
      </c>
      <c r="GL19" s="59" t="str">
        <f t="shared" si="43"/>
        <v>Y</v>
      </c>
      <c r="GM19" s="59" t="str">
        <f t="shared" si="44"/>
        <v>Y</v>
      </c>
      <c r="GN19" s="59" t="str">
        <f t="shared" si="45"/>
        <v>Y</v>
      </c>
      <c r="GO19" s="59" t="str">
        <f t="shared" si="46"/>
        <v>Y</v>
      </c>
      <c r="GP19" s="59" t="str">
        <f t="shared" si="47"/>
        <v>Y</v>
      </c>
      <c r="GQ19" s="59" t="str">
        <f t="shared" si="48"/>
        <v>Y</v>
      </c>
      <c r="GR19" s="59" t="str">
        <f t="shared" si="49"/>
        <v>Y</v>
      </c>
      <c r="GS19" s="59" t="str">
        <f t="shared" si="50"/>
        <v>Y</v>
      </c>
      <c r="GT19" s="59" t="str">
        <f t="shared" si="51"/>
        <v>Y</v>
      </c>
      <c r="GU19" s="59" t="str">
        <f t="shared" si="52"/>
        <v>Y</v>
      </c>
      <c r="GV19" s="59" t="str">
        <f t="shared" si="53"/>
        <v>Y</v>
      </c>
      <c r="GW19" s="59" t="str">
        <f t="shared" si="54"/>
        <v>Y</v>
      </c>
      <c r="GX19" s="59" t="str">
        <f t="shared" si="55"/>
        <v>Y</v>
      </c>
      <c r="GY19" s="59" t="str">
        <f t="shared" si="56"/>
        <v>Y</v>
      </c>
      <c r="GZ19" s="59" t="str">
        <f t="shared" si="57"/>
        <v>Y</v>
      </c>
      <c r="HA19" s="59" t="str">
        <f t="shared" si="58"/>
        <v>Y</v>
      </c>
      <c r="HB19" s="59" t="str">
        <f t="shared" si="59"/>
        <v>Y</v>
      </c>
      <c r="HC19" s="59" t="str">
        <f t="shared" si="60"/>
        <v>Y</v>
      </c>
      <c r="HD19" s="59" t="str">
        <f t="shared" si="61"/>
        <v>Y</v>
      </c>
      <c r="HE19" s="59" t="str">
        <f t="shared" si="62"/>
        <v>Y</v>
      </c>
      <c r="HF19" s="59" t="str">
        <f t="shared" si="63"/>
        <v>Y</v>
      </c>
      <c r="HG19" s="59" t="str">
        <f t="shared" si="64"/>
        <v>Y</v>
      </c>
      <c r="HH19" s="59" t="str">
        <f t="shared" si="65"/>
        <v>Y</v>
      </c>
      <c r="HI19" s="59" t="str">
        <f t="shared" si="66"/>
        <v>Y</v>
      </c>
      <c r="HJ19" s="68" t="str">
        <f t="shared" si="67"/>
        <v>Y</v>
      </c>
      <c r="HK19" s="59"/>
      <c r="HL19" s="68"/>
    </row>
    <row r="20" spans="1:220" ht="32" x14ac:dyDescent="0.2">
      <c r="A20" s="79" t="s">
        <v>138</v>
      </c>
      <c r="B20" s="80" t="s">
        <v>139</v>
      </c>
      <c r="C20" s="80" t="s">
        <v>59</v>
      </c>
      <c r="D20" s="80" t="s">
        <v>59</v>
      </c>
      <c r="E20" s="81" t="s">
        <v>59</v>
      </c>
      <c r="F20" s="80" t="s">
        <v>59</v>
      </c>
      <c r="G20" s="80" t="s">
        <v>59</v>
      </c>
      <c r="H20" s="80" t="s">
        <v>59</v>
      </c>
      <c r="I20" s="80" t="s">
        <v>59</v>
      </c>
      <c r="J20" s="80" t="s">
        <v>59</v>
      </c>
      <c r="K20" s="80" t="s">
        <v>59</v>
      </c>
      <c r="L20" s="81" t="s">
        <v>59</v>
      </c>
      <c r="M20" s="81" t="s">
        <v>59</v>
      </c>
      <c r="N20" s="81" t="s">
        <v>59</v>
      </c>
      <c r="O20" s="81" t="s">
        <v>59</v>
      </c>
      <c r="P20" s="81" t="s">
        <v>59</v>
      </c>
      <c r="Q20" s="81" t="s">
        <v>59</v>
      </c>
      <c r="R20" s="81" t="s">
        <v>59</v>
      </c>
      <c r="S20" s="81" t="s">
        <v>59</v>
      </c>
      <c r="T20" s="81" t="s">
        <v>59</v>
      </c>
      <c r="U20" s="80" t="s">
        <v>59</v>
      </c>
      <c r="V20" s="80" t="s">
        <v>59</v>
      </c>
      <c r="W20" s="80">
        <v>18297</v>
      </c>
      <c r="X20" s="80">
        <v>18297</v>
      </c>
      <c r="Y20" s="80" t="s">
        <v>59</v>
      </c>
      <c r="Z20" s="80" t="s">
        <v>59</v>
      </c>
      <c r="AA20" s="80" t="s">
        <v>59</v>
      </c>
      <c r="AB20" s="80" t="s">
        <v>59</v>
      </c>
      <c r="AC20" s="59" t="s">
        <v>131</v>
      </c>
      <c r="AD20" s="81" t="s">
        <v>126</v>
      </c>
      <c r="AE20" s="80" t="s">
        <v>126</v>
      </c>
      <c r="AF20" s="70" t="s">
        <v>103</v>
      </c>
      <c r="AG20" s="80" t="s">
        <v>86</v>
      </c>
      <c r="AH20" s="80" t="s">
        <v>86</v>
      </c>
      <c r="AI20" s="80" t="s">
        <v>85</v>
      </c>
      <c r="AJ20" s="80" t="s">
        <v>85</v>
      </c>
      <c r="AK20" s="80" t="s">
        <v>85</v>
      </c>
      <c r="AL20" s="80" t="s">
        <v>85</v>
      </c>
      <c r="AM20" s="80" t="s">
        <v>59</v>
      </c>
      <c r="AN20" s="80" t="s">
        <v>59</v>
      </c>
      <c r="AO20" s="80" t="s">
        <v>59</v>
      </c>
      <c r="AP20" s="80" t="s">
        <v>59</v>
      </c>
      <c r="AQ20" s="80" t="s">
        <v>59</v>
      </c>
      <c r="AR20" s="80" t="s">
        <v>59</v>
      </c>
      <c r="AS20" s="82" t="s">
        <v>59</v>
      </c>
      <c r="AT20" s="83" t="s">
        <v>59</v>
      </c>
      <c r="AU20" s="82" t="s">
        <v>59</v>
      </c>
      <c r="AV20" s="83" t="s">
        <v>59</v>
      </c>
      <c r="AW20" s="82" t="s">
        <v>59</v>
      </c>
      <c r="AX20" s="83" t="s">
        <v>59</v>
      </c>
      <c r="AY20" s="80">
        <v>18297</v>
      </c>
      <c r="AZ20" s="80">
        <v>18297</v>
      </c>
      <c r="BA20" s="80">
        <v>553</v>
      </c>
      <c r="BB20" s="80">
        <v>553</v>
      </c>
      <c r="BC20" s="80" t="s">
        <v>95</v>
      </c>
      <c r="BD20" s="80" t="s">
        <v>95</v>
      </c>
      <c r="BE20" s="70">
        <f t="shared" si="68"/>
        <v>553</v>
      </c>
      <c r="BF20" s="70">
        <f t="shared" si="69"/>
        <v>553</v>
      </c>
      <c r="BG20" s="70">
        <f t="shared" si="0"/>
        <v>0</v>
      </c>
      <c r="BH20" s="70">
        <f t="shared" si="1"/>
        <v>0</v>
      </c>
      <c r="BI20" s="80" t="s">
        <v>59</v>
      </c>
      <c r="BJ20" s="80" t="s">
        <v>59</v>
      </c>
      <c r="BK20" s="80" t="s">
        <v>59</v>
      </c>
      <c r="BL20" s="80" t="s">
        <v>59</v>
      </c>
      <c r="BM20" s="80" t="s">
        <v>59</v>
      </c>
      <c r="BN20" s="80" t="s">
        <v>59</v>
      </c>
      <c r="BO20" s="80" t="s">
        <v>59</v>
      </c>
      <c r="BP20" s="80" t="s">
        <v>59</v>
      </c>
      <c r="BQ20" s="80" t="s">
        <v>59</v>
      </c>
      <c r="BR20" s="80" t="s">
        <v>59</v>
      </c>
      <c r="BS20" s="80" t="s">
        <v>59</v>
      </c>
      <c r="BT20" s="80" t="s">
        <v>59</v>
      </c>
      <c r="BU20" s="80" t="s">
        <v>59</v>
      </c>
      <c r="BV20" s="80" t="s">
        <v>59</v>
      </c>
      <c r="BW20" s="80" t="s">
        <v>59</v>
      </c>
      <c r="BX20" s="80" t="s">
        <v>59</v>
      </c>
      <c r="BY20" s="80" t="s">
        <v>59</v>
      </c>
      <c r="BZ20" s="80" t="s">
        <v>59</v>
      </c>
      <c r="CA20" s="80" t="s">
        <v>59</v>
      </c>
      <c r="CB20" s="80" t="s">
        <v>59</v>
      </c>
      <c r="CC20" s="80" t="s">
        <v>59</v>
      </c>
      <c r="CD20" s="80" t="s">
        <v>59</v>
      </c>
      <c r="CE20" s="80" t="s">
        <v>59</v>
      </c>
      <c r="CF20" s="80" t="s">
        <v>59</v>
      </c>
      <c r="CG20" s="80" t="s">
        <v>59</v>
      </c>
      <c r="CH20" s="80" t="s">
        <v>59</v>
      </c>
      <c r="CI20" s="80" t="s">
        <v>59</v>
      </c>
      <c r="CJ20" s="80" t="s">
        <v>59</v>
      </c>
      <c r="CK20" s="80" t="s">
        <v>59</v>
      </c>
      <c r="CL20" s="80" t="s">
        <v>59</v>
      </c>
      <c r="CM20" s="80" t="s">
        <v>59</v>
      </c>
      <c r="CN20" s="80" t="s">
        <v>59</v>
      </c>
      <c r="CO20" s="80">
        <v>553</v>
      </c>
      <c r="CP20" s="80">
        <v>553</v>
      </c>
      <c r="CQ20" s="80" t="s">
        <v>59</v>
      </c>
      <c r="CR20" s="80" t="s">
        <v>59</v>
      </c>
      <c r="CS20" s="80" t="s">
        <v>59</v>
      </c>
      <c r="CT20" s="80" t="s">
        <v>59</v>
      </c>
      <c r="CU20" s="80" t="s">
        <v>59</v>
      </c>
      <c r="CV20" s="80" t="s">
        <v>59</v>
      </c>
      <c r="CW20" s="80" t="s">
        <v>59</v>
      </c>
      <c r="CX20" s="80" t="s">
        <v>59</v>
      </c>
      <c r="CY20" s="80" t="s">
        <v>59</v>
      </c>
      <c r="CZ20" s="80" t="s">
        <v>59</v>
      </c>
      <c r="DA20" s="80" t="s">
        <v>59</v>
      </c>
      <c r="DB20" s="80" t="s">
        <v>59</v>
      </c>
      <c r="DC20" s="80" t="s">
        <v>59</v>
      </c>
      <c r="DD20" s="80" t="s">
        <v>59</v>
      </c>
      <c r="DE20" s="80" t="s">
        <v>59</v>
      </c>
      <c r="DF20" s="80" t="s">
        <v>59</v>
      </c>
      <c r="DG20" s="80" t="s">
        <v>59</v>
      </c>
      <c r="DH20" s="80" t="s">
        <v>59</v>
      </c>
      <c r="DI20" s="80" t="s">
        <v>59</v>
      </c>
      <c r="DJ20" s="80" t="s">
        <v>59</v>
      </c>
      <c r="DK20" s="80" t="s">
        <v>59</v>
      </c>
      <c r="DL20" s="80" t="s">
        <v>59</v>
      </c>
      <c r="DM20" s="80" t="s">
        <v>59</v>
      </c>
      <c r="DN20" s="81" t="s">
        <v>59</v>
      </c>
      <c r="DO20" s="80" t="s">
        <v>59</v>
      </c>
      <c r="DP20" s="80" t="s">
        <v>59</v>
      </c>
      <c r="DQ20" s="80" t="s">
        <v>59</v>
      </c>
      <c r="DR20" s="80" t="s">
        <v>59</v>
      </c>
      <c r="DS20" s="80" t="s">
        <v>59</v>
      </c>
      <c r="DT20" s="80" t="s">
        <v>59</v>
      </c>
      <c r="DU20" s="80" t="s">
        <v>59</v>
      </c>
      <c r="DV20" s="80" t="s">
        <v>59</v>
      </c>
      <c r="DW20" s="80" t="s">
        <v>59</v>
      </c>
      <c r="DX20" s="80" t="s">
        <v>59</v>
      </c>
      <c r="DY20" s="80">
        <v>1</v>
      </c>
      <c r="DZ20" s="80">
        <v>1</v>
      </c>
      <c r="EA20" s="80">
        <v>1</v>
      </c>
      <c r="EB20" s="80">
        <v>1</v>
      </c>
      <c r="EC20" s="80">
        <v>1</v>
      </c>
      <c r="ED20" s="80">
        <v>1</v>
      </c>
      <c r="EE20" s="80">
        <v>1</v>
      </c>
      <c r="EF20" s="80">
        <v>1</v>
      </c>
      <c r="EG20" s="80">
        <v>1</v>
      </c>
      <c r="EH20" s="80">
        <v>1</v>
      </c>
      <c r="EI20" s="80">
        <v>1</v>
      </c>
      <c r="EJ20" s="80">
        <v>1</v>
      </c>
      <c r="EK20" s="80">
        <v>0</v>
      </c>
      <c r="EL20" s="80">
        <v>0</v>
      </c>
      <c r="EM20" s="80">
        <v>1</v>
      </c>
      <c r="EN20" s="80">
        <v>1</v>
      </c>
      <c r="EO20" s="80">
        <v>1</v>
      </c>
      <c r="EP20" s="80">
        <v>1</v>
      </c>
      <c r="EQ20" s="80">
        <v>1</v>
      </c>
      <c r="ER20" s="80">
        <v>1</v>
      </c>
      <c r="ES20" s="70">
        <f t="shared" si="72"/>
        <v>9</v>
      </c>
      <c r="ET20" s="70">
        <f t="shared" si="72"/>
        <v>9</v>
      </c>
      <c r="EU20" s="79" t="s">
        <v>138</v>
      </c>
      <c r="EV20" s="84" t="s">
        <v>139</v>
      </c>
      <c r="EW20" s="59" t="str">
        <f t="shared" si="2"/>
        <v>Y</v>
      </c>
      <c r="EX20" s="59" t="str">
        <f t="shared" si="3"/>
        <v>Y</v>
      </c>
      <c r="EY20" s="59" t="str">
        <f t="shared" si="4"/>
        <v>Y</v>
      </c>
      <c r="EZ20" s="59" t="str">
        <f t="shared" si="5"/>
        <v>Y</v>
      </c>
      <c r="FA20" s="59" t="str">
        <f t="shared" si="6"/>
        <v>Y</v>
      </c>
      <c r="FB20" s="59" t="str">
        <f t="shared" si="71"/>
        <v>Y</v>
      </c>
      <c r="FC20" s="59" t="str">
        <f t="shared" si="8"/>
        <v>Y</v>
      </c>
      <c r="FD20" s="59" t="str">
        <f t="shared" si="9"/>
        <v>Y</v>
      </c>
      <c r="FE20" s="59" t="str">
        <f t="shared" si="10"/>
        <v>Y</v>
      </c>
      <c r="FF20" s="59" t="str">
        <f t="shared" si="11"/>
        <v>Y</v>
      </c>
      <c r="FG20" s="59" t="str">
        <f t="shared" si="12"/>
        <v>Y</v>
      </c>
      <c r="FH20" s="59" t="str">
        <f t="shared" si="13"/>
        <v>Y</v>
      </c>
      <c r="FI20" s="59" t="str">
        <f t="shared" si="14"/>
        <v>Y</v>
      </c>
      <c r="FJ20" s="59" t="str">
        <f t="shared" si="15"/>
        <v>Y</v>
      </c>
      <c r="FK20" s="59" t="str">
        <f t="shared" si="16"/>
        <v>Y</v>
      </c>
      <c r="FL20" s="59" t="str">
        <f t="shared" si="17"/>
        <v>Y</v>
      </c>
      <c r="FM20" s="59" t="str">
        <f t="shared" si="18"/>
        <v>Y</v>
      </c>
      <c r="FN20" s="59" t="str">
        <f t="shared" si="19"/>
        <v>Y</v>
      </c>
      <c r="FO20" s="59" t="str">
        <f t="shared" si="20"/>
        <v>Y</v>
      </c>
      <c r="FP20" s="59" t="str">
        <f t="shared" si="21"/>
        <v>Y</v>
      </c>
      <c r="FQ20" s="59" t="str">
        <f t="shared" si="22"/>
        <v>Y</v>
      </c>
      <c r="FR20" s="59" t="str">
        <f t="shared" si="23"/>
        <v>Y</v>
      </c>
      <c r="FS20" s="59" t="str">
        <f t="shared" si="24"/>
        <v>Y</v>
      </c>
      <c r="FT20" s="59" t="str">
        <f t="shared" si="25"/>
        <v>Y</v>
      </c>
      <c r="FU20" s="59" t="str">
        <f t="shared" si="26"/>
        <v>Y</v>
      </c>
      <c r="FV20" s="59" t="str">
        <f t="shared" si="27"/>
        <v>Y</v>
      </c>
      <c r="FW20" s="59" t="str">
        <f t="shared" si="28"/>
        <v>Y</v>
      </c>
      <c r="FX20" s="59" t="str">
        <f t="shared" si="29"/>
        <v>Y</v>
      </c>
      <c r="FY20" s="59" t="str">
        <f t="shared" si="30"/>
        <v>Y</v>
      </c>
      <c r="FZ20" s="59" t="str">
        <f t="shared" si="31"/>
        <v>Y</v>
      </c>
      <c r="GA20" s="59" t="str">
        <f t="shared" si="32"/>
        <v>Y</v>
      </c>
      <c r="GB20" s="59" t="str">
        <f t="shared" si="33"/>
        <v>Y</v>
      </c>
      <c r="GC20" s="59" t="str">
        <f t="shared" si="34"/>
        <v>Y</v>
      </c>
      <c r="GD20" s="59" t="str">
        <f t="shared" si="35"/>
        <v>Y</v>
      </c>
      <c r="GE20" s="59" t="str">
        <f t="shared" si="36"/>
        <v>Y</v>
      </c>
      <c r="GF20" s="59" t="str">
        <f t="shared" si="37"/>
        <v>Y</v>
      </c>
      <c r="GG20" s="59" t="str">
        <f t="shared" si="38"/>
        <v>Y</v>
      </c>
      <c r="GH20" s="59" t="str">
        <f t="shared" si="39"/>
        <v>Y</v>
      </c>
      <c r="GI20" s="59" t="str">
        <f t="shared" si="40"/>
        <v>Y</v>
      </c>
      <c r="GJ20" s="59" t="str">
        <f t="shared" si="41"/>
        <v>Y</v>
      </c>
      <c r="GK20" s="59" t="str">
        <f t="shared" si="42"/>
        <v>Y</v>
      </c>
      <c r="GL20" s="59" t="str">
        <f t="shared" si="43"/>
        <v>Y</v>
      </c>
      <c r="GM20" s="59" t="str">
        <f t="shared" si="44"/>
        <v>Y</v>
      </c>
      <c r="GN20" s="59" t="str">
        <f t="shared" si="45"/>
        <v>Y</v>
      </c>
      <c r="GO20" s="59" t="str">
        <f t="shared" si="46"/>
        <v>Y</v>
      </c>
      <c r="GP20" s="59" t="str">
        <f t="shared" si="47"/>
        <v>Y</v>
      </c>
      <c r="GQ20" s="59" t="str">
        <f t="shared" si="48"/>
        <v>Y</v>
      </c>
      <c r="GR20" s="59" t="str">
        <f t="shared" si="49"/>
        <v>Y</v>
      </c>
      <c r="GS20" s="59" t="str">
        <f t="shared" si="50"/>
        <v>Y</v>
      </c>
      <c r="GT20" s="59" t="str">
        <f t="shared" si="51"/>
        <v>Y</v>
      </c>
      <c r="GU20" s="59" t="str">
        <f t="shared" si="52"/>
        <v>Y</v>
      </c>
      <c r="GV20" s="59" t="str">
        <f t="shared" si="53"/>
        <v>Y</v>
      </c>
      <c r="GW20" s="59" t="str">
        <f t="shared" si="54"/>
        <v>Y</v>
      </c>
      <c r="GX20" s="59" t="str">
        <f t="shared" si="55"/>
        <v>Y</v>
      </c>
      <c r="GY20" s="59" t="str">
        <f t="shared" si="56"/>
        <v>Y</v>
      </c>
      <c r="GZ20" s="59" t="str">
        <f t="shared" si="57"/>
        <v>Y</v>
      </c>
      <c r="HA20" s="59" t="str">
        <f t="shared" si="58"/>
        <v>Y</v>
      </c>
      <c r="HB20" s="59" t="str">
        <f t="shared" si="59"/>
        <v>Y</v>
      </c>
      <c r="HC20" s="59" t="str">
        <f t="shared" si="60"/>
        <v>Y</v>
      </c>
      <c r="HD20" s="59" t="str">
        <f t="shared" si="61"/>
        <v>Y</v>
      </c>
      <c r="HE20" s="59" t="str">
        <f t="shared" si="62"/>
        <v>Y</v>
      </c>
      <c r="HF20" s="59" t="str">
        <f t="shared" si="63"/>
        <v>Y</v>
      </c>
      <c r="HG20" s="59" t="str">
        <f t="shared" si="64"/>
        <v>Y</v>
      </c>
      <c r="HH20" s="59" t="str">
        <f t="shared" si="65"/>
        <v>Y</v>
      </c>
      <c r="HI20" s="59" t="str">
        <f t="shared" si="66"/>
        <v>Y</v>
      </c>
      <c r="HJ20" s="68" t="str">
        <f t="shared" si="67"/>
        <v>Y</v>
      </c>
      <c r="HK20" s="81"/>
      <c r="HL20" s="85"/>
    </row>
    <row r="21" spans="1:220" ht="16" x14ac:dyDescent="0.2">
      <c r="A21" s="70" t="s">
        <v>140</v>
      </c>
      <c r="B21" s="70">
        <v>2022</v>
      </c>
      <c r="C21" s="70">
        <v>65</v>
      </c>
      <c r="D21" s="59">
        <v>65</v>
      </c>
      <c r="E21" s="59">
        <v>65</v>
      </c>
      <c r="F21" s="59">
        <v>65</v>
      </c>
      <c r="G21" s="59" t="s">
        <v>59</v>
      </c>
      <c r="H21" s="59" t="s">
        <v>59</v>
      </c>
      <c r="I21" s="59" t="s">
        <v>59</v>
      </c>
      <c r="J21" s="59" t="s">
        <v>59</v>
      </c>
      <c r="K21" s="70">
        <v>15</v>
      </c>
      <c r="L21" s="59">
        <v>15</v>
      </c>
      <c r="M21" s="59">
        <v>60</v>
      </c>
      <c r="N21" s="59">
        <v>60</v>
      </c>
      <c r="O21" s="59">
        <v>41</v>
      </c>
      <c r="P21" s="59">
        <v>41</v>
      </c>
      <c r="Q21" s="59">
        <v>8</v>
      </c>
      <c r="R21" s="59">
        <v>8</v>
      </c>
      <c r="S21" s="59">
        <v>22</v>
      </c>
      <c r="T21" s="59">
        <v>22</v>
      </c>
      <c r="U21" s="70">
        <v>131</v>
      </c>
      <c r="V21" s="59">
        <v>131</v>
      </c>
      <c r="W21" s="70">
        <v>0</v>
      </c>
      <c r="X21" s="59">
        <v>0</v>
      </c>
      <c r="Y21" s="70">
        <v>0</v>
      </c>
      <c r="Z21" s="59">
        <v>0</v>
      </c>
      <c r="AA21" s="70">
        <v>0</v>
      </c>
      <c r="AB21" s="59">
        <v>0</v>
      </c>
      <c r="AC21" s="59" t="s">
        <v>343</v>
      </c>
      <c r="AD21" s="59" t="s">
        <v>83</v>
      </c>
      <c r="AE21" s="59" t="s">
        <v>83</v>
      </c>
      <c r="AF21" s="70" t="s">
        <v>84</v>
      </c>
      <c r="AG21" s="70" t="s">
        <v>86</v>
      </c>
      <c r="AH21" s="59" t="s">
        <v>86</v>
      </c>
      <c r="AI21" s="70" t="s">
        <v>85</v>
      </c>
      <c r="AJ21" s="59" t="s">
        <v>85</v>
      </c>
      <c r="AK21" s="70" t="s">
        <v>86</v>
      </c>
      <c r="AL21" s="59" t="s">
        <v>86</v>
      </c>
      <c r="AM21" s="59">
        <v>131</v>
      </c>
      <c r="AN21" s="59">
        <v>131</v>
      </c>
      <c r="AO21" s="70">
        <v>0</v>
      </c>
      <c r="AP21" s="59">
        <v>0</v>
      </c>
      <c r="AQ21" s="70">
        <v>0</v>
      </c>
      <c r="AR21" s="59">
        <v>0</v>
      </c>
      <c r="AS21" s="86" t="s">
        <v>59</v>
      </c>
      <c r="AT21" s="87" t="s">
        <v>59</v>
      </c>
      <c r="AU21" s="86" t="s">
        <v>59</v>
      </c>
      <c r="AV21" s="87" t="s">
        <v>59</v>
      </c>
      <c r="AW21" s="86" t="s">
        <v>59</v>
      </c>
      <c r="AX21" s="87" t="s">
        <v>59</v>
      </c>
      <c r="AY21" s="70">
        <v>131</v>
      </c>
      <c r="AZ21" s="59">
        <v>131</v>
      </c>
      <c r="BA21" s="70">
        <v>14</v>
      </c>
      <c r="BB21" s="59">
        <v>14</v>
      </c>
      <c r="BC21" s="70" t="s">
        <v>95</v>
      </c>
      <c r="BD21" s="59" t="s">
        <v>95</v>
      </c>
      <c r="BE21" s="70">
        <f t="shared" si="68"/>
        <v>1</v>
      </c>
      <c r="BF21" s="70">
        <f t="shared" si="69"/>
        <v>1</v>
      </c>
      <c r="BG21" s="70">
        <f t="shared" si="0"/>
        <v>13</v>
      </c>
      <c r="BH21" s="70">
        <f t="shared" si="1"/>
        <v>13</v>
      </c>
      <c r="BI21" s="70">
        <v>1</v>
      </c>
      <c r="BJ21" s="59">
        <v>1</v>
      </c>
      <c r="BK21" s="59">
        <v>0</v>
      </c>
      <c r="BL21" s="59">
        <v>0</v>
      </c>
      <c r="BM21" s="70">
        <v>12</v>
      </c>
      <c r="BN21" s="59">
        <v>12</v>
      </c>
      <c r="BO21" s="59">
        <v>1</v>
      </c>
      <c r="BP21" s="59">
        <v>1</v>
      </c>
      <c r="BQ21" s="59">
        <v>0</v>
      </c>
      <c r="BR21" s="59">
        <v>0</v>
      </c>
      <c r="BS21" s="59">
        <v>0</v>
      </c>
      <c r="BT21" s="59">
        <v>0</v>
      </c>
      <c r="BU21" s="59">
        <v>0</v>
      </c>
      <c r="BV21" s="59">
        <v>0</v>
      </c>
      <c r="BW21" s="59">
        <v>0</v>
      </c>
      <c r="BX21" s="59">
        <v>0</v>
      </c>
      <c r="BY21" s="59">
        <v>0</v>
      </c>
      <c r="BZ21" s="59">
        <v>0</v>
      </c>
      <c r="CA21" s="59">
        <v>0</v>
      </c>
      <c r="CB21" s="59">
        <v>0</v>
      </c>
      <c r="CC21" s="59">
        <v>0</v>
      </c>
      <c r="CD21" s="59">
        <v>0</v>
      </c>
      <c r="CE21" s="59">
        <v>0</v>
      </c>
      <c r="CF21" s="59">
        <v>0</v>
      </c>
      <c r="CG21" s="59">
        <v>0</v>
      </c>
      <c r="CH21" s="59">
        <v>0</v>
      </c>
      <c r="CI21" s="59">
        <v>0</v>
      </c>
      <c r="CJ21" s="59">
        <v>0</v>
      </c>
      <c r="CK21" s="59">
        <v>0</v>
      </c>
      <c r="CL21" s="59">
        <v>0</v>
      </c>
      <c r="CM21" s="59">
        <v>0</v>
      </c>
      <c r="CN21" s="59">
        <v>0</v>
      </c>
      <c r="CO21" s="70">
        <v>0</v>
      </c>
      <c r="CP21" s="59">
        <v>0</v>
      </c>
      <c r="CQ21" s="70" t="s">
        <v>121</v>
      </c>
      <c r="CR21" s="59" t="s">
        <v>121</v>
      </c>
      <c r="CS21" s="70" t="s">
        <v>121</v>
      </c>
      <c r="CT21" s="59" t="s">
        <v>121</v>
      </c>
      <c r="CU21" s="70" t="s">
        <v>59</v>
      </c>
      <c r="CV21" s="59" t="s">
        <v>59</v>
      </c>
      <c r="CW21" s="70" t="s">
        <v>121</v>
      </c>
      <c r="CX21" s="59" t="s">
        <v>121</v>
      </c>
      <c r="CY21" s="70" t="s">
        <v>121</v>
      </c>
      <c r="CZ21" s="59" t="s">
        <v>121</v>
      </c>
      <c r="DA21" s="70" t="s">
        <v>121</v>
      </c>
      <c r="DB21" s="59" t="s">
        <v>121</v>
      </c>
      <c r="DC21" s="70" t="s">
        <v>121</v>
      </c>
      <c r="DD21" s="59" t="s">
        <v>121</v>
      </c>
      <c r="DE21" s="70" t="s">
        <v>141</v>
      </c>
      <c r="DF21" s="59" t="s">
        <v>59</v>
      </c>
      <c r="DG21" s="70" t="s">
        <v>59</v>
      </c>
      <c r="DH21" s="59" t="s">
        <v>59</v>
      </c>
      <c r="DI21" s="70" t="s">
        <v>121</v>
      </c>
      <c r="DJ21" s="59" t="s">
        <v>121</v>
      </c>
      <c r="DK21" s="70" t="s">
        <v>121</v>
      </c>
      <c r="DL21" s="59" t="s">
        <v>121</v>
      </c>
      <c r="DM21" s="70" t="s">
        <v>141</v>
      </c>
      <c r="DN21" s="59" t="s">
        <v>59</v>
      </c>
      <c r="DO21" s="70" t="s">
        <v>59</v>
      </c>
      <c r="DP21" s="59" t="s">
        <v>59</v>
      </c>
      <c r="DQ21" s="70" t="s">
        <v>59</v>
      </c>
      <c r="DR21" s="59" t="s">
        <v>59</v>
      </c>
      <c r="DS21" s="70" t="s">
        <v>305</v>
      </c>
      <c r="DT21" s="70" t="s">
        <v>305</v>
      </c>
      <c r="DU21" s="70" t="s">
        <v>59</v>
      </c>
      <c r="DV21" s="59" t="s">
        <v>59</v>
      </c>
      <c r="DW21" s="70" t="s">
        <v>104</v>
      </c>
      <c r="DX21" s="59" t="s">
        <v>142</v>
      </c>
      <c r="DY21" s="70">
        <v>1</v>
      </c>
      <c r="DZ21" s="59">
        <v>1</v>
      </c>
      <c r="EA21" s="70">
        <v>1</v>
      </c>
      <c r="EB21" s="59">
        <v>1</v>
      </c>
      <c r="EC21" s="70">
        <v>1</v>
      </c>
      <c r="ED21" s="59">
        <v>1</v>
      </c>
      <c r="EE21" s="70">
        <v>1</v>
      </c>
      <c r="EF21" s="59">
        <v>1</v>
      </c>
      <c r="EG21" s="70">
        <v>1</v>
      </c>
      <c r="EH21" s="59">
        <v>1</v>
      </c>
      <c r="EI21" s="70">
        <v>1</v>
      </c>
      <c r="EJ21" s="59">
        <v>1</v>
      </c>
      <c r="EK21" s="70">
        <v>1</v>
      </c>
      <c r="EL21" s="59">
        <v>1</v>
      </c>
      <c r="EM21" s="70">
        <v>1</v>
      </c>
      <c r="EN21" s="59">
        <v>1</v>
      </c>
      <c r="EO21" s="70">
        <v>1</v>
      </c>
      <c r="EP21" s="59">
        <v>1</v>
      </c>
      <c r="EQ21" s="70">
        <v>1</v>
      </c>
      <c r="ER21" s="59">
        <v>1</v>
      </c>
      <c r="ES21" s="70">
        <f t="shared" si="72"/>
        <v>10</v>
      </c>
      <c r="ET21" s="70">
        <f t="shared" si="72"/>
        <v>10</v>
      </c>
      <c r="EU21" s="70"/>
      <c r="EV21" s="75"/>
      <c r="EW21" s="59" t="str">
        <f t="shared" si="2"/>
        <v>Y</v>
      </c>
      <c r="EX21" s="59" t="str">
        <f t="shared" si="3"/>
        <v>Y</v>
      </c>
      <c r="EY21" s="59" t="str">
        <f t="shared" si="4"/>
        <v>Y</v>
      </c>
      <c r="EZ21" s="59" t="str">
        <f t="shared" si="5"/>
        <v>Y</v>
      </c>
      <c r="FA21" s="59" t="str">
        <f t="shared" si="6"/>
        <v>Y</v>
      </c>
      <c r="FB21" s="59" t="str">
        <f t="shared" si="71"/>
        <v>Y</v>
      </c>
      <c r="FC21" s="59" t="str">
        <f t="shared" si="8"/>
        <v>Y</v>
      </c>
      <c r="FD21" s="59" t="str">
        <f t="shared" si="9"/>
        <v>Y</v>
      </c>
      <c r="FE21" s="59" t="str">
        <f t="shared" si="10"/>
        <v>Y</v>
      </c>
      <c r="FF21" s="59" t="str">
        <f t="shared" si="11"/>
        <v>Y</v>
      </c>
      <c r="FG21" s="59" t="str">
        <f t="shared" si="12"/>
        <v>Y</v>
      </c>
      <c r="FH21" s="59" t="str">
        <f t="shared" si="13"/>
        <v>Y</v>
      </c>
      <c r="FI21" s="59" t="str">
        <f t="shared" si="14"/>
        <v>Y</v>
      </c>
      <c r="FJ21" s="59" t="str">
        <f t="shared" si="15"/>
        <v>Y</v>
      </c>
      <c r="FK21" s="59" t="str">
        <f t="shared" si="16"/>
        <v>Y</v>
      </c>
      <c r="FL21" s="59" t="str">
        <f t="shared" si="17"/>
        <v>Y</v>
      </c>
      <c r="FM21" s="59" t="str">
        <f t="shared" si="18"/>
        <v>Y</v>
      </c>
      <c r="FN21" s="59" t="str">
        <f t="shared" si="19"/>
        <v>Y</v>
      </c>
      <c r="FO21" s="59" t="str">
        <f t="shared" si="20"/>
        <v>Y</v>
      </c>
      <c r="FP21" s="59" t="str">
        <f t="shared" si="21"/>
        <v>Y</v>
      </c>
      <c r="FQ21" s="59" t="str">
        <f t="shared" si="22"/>
        <v>Y</v>
      </c>
      <c r="FR21" s="59" t="str">
        <f t="shared" si="23"/>
        <v>Y</v>
      </c>
      <c r="FS21" s="59" t="str">
        <f t="shared" si="24"/>
        <v>Y</v>
      </c>
      <c r="FT21" s="59" t="str">
        <f t="shared" si="25"/>
        <v>Y</v>
      </c>
      <c r="FU21" s="59" t="str">
        <f t="shared" si="26"/>
        <v>Y</v>
      </c>
      <c r="FV21" s="59" t="str">
        <f t="shared" si="27"/>
        <v>Y</v>
      </c>
      <c r="FW21" s="59" t="str">
        <f t="shared" si="28"/>
        <v>Y</v>
      </c>
      <c r="FX21" s="59" t="str">
        <f t="shared" si="29"/>
        <v>Y</v>
      </c>
      <c r="FY21" s="59" t="str">
        <f t="shared" si="30"/>
        <v>Y</v>
      </c>
      <c r="FZ21" s="59" t="str">
        <f t="shared" si="31"/>
        <v>Y</v>
      </c>
      <c r="GA21" s="59" t="str">
        <f t="shared" si="32"/>
        <v>Y</v>
      </c>
      <c r="GB21" s="59" t="str">
        <f t="shared" si="33"/>
        <v>Y</v>
      </c>
      <c r="GC21" s="59" t="str">
        <f t="shared" si="34"/>
        <v>Y</v>
      </c>
      <c r="GD21" s="59" t="str">
        <f t="shared" si="35"/>
        <v>Y</v>
      </c>
      <c r="GE21" s="59" t="str">
        <f t="shared" si="36"/>
        <v>Y</v>
      </c>
      <c r="GF21" s="59" t="str">
        <f t="shared" si="37"/>
        <v>Y</v>
      </c>
      <c r="GG21" s="59" t="str">
        <f t="shared" si="38"/>
        <v>Y</v>
      </c>
      <c r="GH21" s="59" t="str">
        <f t="shared" si="39"/>
        <v>Y</v>
      </c>
      <c r="GI21" s="59" t="str">
        <f t="shared" si="40"/>
        <v>Y</v>
      </c>
      <c r="GJ21" s="59" t="str">
        <f t="shared" si="41"/>
        <v>Y</v>
      </c>
      <c r="GK21" s="59" t="str">
        <f t="shared" si="42"/>
        <v>Y</v>
      </c>
      <c r="GL21" s="59" t="str">
        <f t="shared" si="43"/>
        <v>Y</v>
      </c>
      <c r="GM21" s="59" t="str">
        <f t="shared" si="44"/>
        <v>Y</v>
      </c>
      <c r="GN21" s="59" t="str">
        <f t="shared" si="45"/>
        <v>Y</v>
      </c>
      <c r="GO21" s="59" t="str">
        <f t="shared" si="46"/>
        <v>Y</v>
      </c>
      <c r="GP21" s="59" t="str">
        <f t="shared" si="47"/>
        <v>Y</v>
      </c>
      <c r="GQ21" s="59" t="str">
        <f t="shared" si="48"/>
        <v>Y</v>
      </c>
      <c r="GR21" s="59" t="str">
        <f t="shared" si="49"/>
        <v>Y</v>
      </c>
      <c r="GS21" s="59" t="str">
        <f t="shared" si="50"/>
        <v>Y</v>
      </c>
      <c r="GT21" s="59" t="str">
        <f t="shared" si="51"/>
        <v>Y</v>
      </c>
      <c r="GU21" s="59" t="str">
        <f t="shared" si="52"/>
        <v>Y</v>
      </c>
      <c r="GV21" s="59" t="str">
        <f t="shared" si="53"/>
        <v>Y</v>
      </c>
      <c r="GW21" s="59" t="str">
        <f t="shared" si="54"/>
        <v>Y</v>
      </c>
      <c r="GX21" s="59" t="str">
        <f t="shared" si="55"/>
        <v>Y</v>
      </c>
      <c r="GY21" s="59" t="str">
        <f t="shared" si="56"/>
        <v>Y</v>
      </c>
      <c r="GZ21" s="59" t="str">
        <f t="shared" si="57"/>
        <v>Y</v>
      </c>
      <c r="HA21" s="59" t="str">
        <f t="shared" si="58"/>
        <v>Y</v>
      </c>
      <c r="HB21" s="59" t="str">
        <f t="shared" si="59"/>
        <v>Y</v>
      </c>
      <c r="HC21" s="59" t="str">
        <f t="shared" si="60"/>
        <v>Y</v>
      </c>
      <c r="HD21" s="59" t="str">
        <f t="shared" si="61"/>
        <v>Y</v>
      </c>
      <c r="HE21" s="59" t="str">
        <f t="shared" si="62"/>
        <v>Y</v>
      </c>
      <c r="HF21" s="59" t="str">
        <f t="shared" si="63"/>
        <v>Y</v>
      </c>
      <c r="HG21" s="59" t="str">
        <f t="shared" si="64"/>
        <v>Y</v>
      </c>
      <c r="HH21" s="59" t="str">
        <f t="shared" si="65"/>
        <v>Y</v>
      </c>
      <c r="HI21" s="59" t="str">
        <f t="shared" si="66"/>
        <v>Y</v>
      </c>
      <c r="HJ21" s="68" t="str">
        <f t="shared" si="67"/>
        <v>Y</v>
      </c>
      <c r="HK21" s="59"/>
      <c r="HL21" s="59"/>
    </row>
    <row r="22" spans="1:220" ht="15.75" customHeight="1" x14ac:dyDescent="0.2">
      <c r="A22" s="88" t="s">
        <v>143</v>
      </c>
      <c r="B22" s="89">
        <v>2021</v>
      </c>
      <c r="C22" s="89">
        <v>249</v>
      </c>
      <c r="D22" s="89">
        <v>249</v>
      </c>
      <c r="E22" s="90">
        <v>183</v>
      </c>
      <c r="F22" s="89">
        <v>183</v>
      </c>
      <c r="G22" s="89" t="s">
        <v>59</v>
      </c>
      <c r="H22" s="89" t="s">
        <v>59</v>
      </c>
      <c r="I22" s="89" t="s">
        <v>59</v>
      </c>
      <c r="J22" s="89" t="s">
        <v>59</v>
      </c>
      <c r="K22" s="89">
        <v>38.299999999999997</v>
      </c>
      <c r="L22" s="90">
        <v>38.299999999999997</v>
      </c>
      <c r="M22" s="90" t="s">
        <v>59</v>
      </c>
      <c r="N22" s="90" t="s">
        <v>59</v>
      </c>
      <c r="O22" s="90" t="s">
        <v>59</v>
      </c>
      <c r="P22" s="90" t="s">
        <v>59</v>
      </c>
      <c r="Q22" s="90" t="s">
        <v>59</v>
      </c>
      <c r="R22" s="90" t="s">
        <v>59</v>
      </c>
      <c r="S22" s="90" t="s">
        <v>59</v>
      </c>
      <c r="T22" s="90" t="s">
        <v>59</v>
      </c>
      <c r="U22" s="89">
        <v>0</v>
      </c>
      <c r="V22" s="89">
        <v>0</v>
      </c>
      <c r="W22" s="89">
        <v>8</v>
      </c>
      <c r="X22" s="89">
        <v>8</v>
      </c>
      <c r="Y22" s="89">
        <v>424</v>
      </c>
      <c r="Z22" s="89">
        <v>424</v>
      </c>
      <c r="AA22" s="89">
        <v>0</v>
      </c>
      <c r="AB22" s="89">
        <v>0</v>
      </c>
      <c r="AC22" s="90" t="s">
        <v>131</v>
      </c>
      <c r="AD22" s="90" t="s">
        <v>144</v>
      </c>
      <c r="AE22" s="89" t="s">
        <v>144</v>
      </c>
      <c r="AF22" s="89" t="s">
        <v>103</v>
      </c>
      <c r="AG22" s="89" t="s">
        <v>85</v>
      </c>
      <c r="AH22" s="89" t="s">
        <v>85</v>
      </c>
      <c r="AI22" s="89" t="s">
        <v>86</v>
      </c>
      <c r="AJ22" s="89" t="s">
        <v>86</v>
      </c>
      <c r="AK22" s="89" t="s">
        <v>86</v>
      </c>
      <c r="AL22" s="89" t="s">
        <v>86</v>
      </c>
      <c r="AM22" s="89">
        <v>432</v>
      </c>
      <c r="AN22" s="89">
        <v>432</v>
      </c>
      <c r="AO22" s="89">
        <v>0</v>
      </c>
      <c r="AP22" s="89">
        <v>0</v>
      </c>
      <c r="AQ22" s="89">
        <v>0</v>
      </c>
      <c r="AR22" s="89">
        <v>0</v>
      </c>
      <c r="AS22" s="71" t="s">
        <v>59</v>
      </c>
      <c r="AT22" s="72" t="s">
        <v>59</v>
      </c>
      <c r="AU22" s="71" t="s">
        <v>59</v>
      </c>
      <c r="AV22" s="72" t="s">
        <v>59</v>
      </c>
      <c r="AW22" s="71" t="s">
        <v>59</v>
      </c>
      <c r="AX22" s="72" t="s">
        <v>59</v>
      </c>
      <c r="AY22" s="89">
        <v>432</v>
      </c>
      <c r="AZ22" s="89">
        <v>432</v>
      </c>
      <c r="BA22" s="89">
        <v>38</v>
      </c>
      <c r="BB22" s="89">
        <v>38</v>
      </c>
      <c r="BC22" s="89" t="s">
        <v>95</v>
      </c>
      <c r="BD22" s="89" t="s">
        <v>95</v>
      </c>
      <c r="BE22" s="70">
        <f t="shared" si="68"/>
        <v>13</v>
      </c>
      <c r="BF22" s="70">
        <f t="shared" si="69"/>
        <v>13</v>
      </c>
      <c r="BG22" s="70">
        <f t="shared" si="0"/>
        <v>25</v>
      </c>
      <c r="BH22" s="70">
        <f t="shared" si="1"/>
        <v>25</v>
      </c>
      <c r="BI22" s="89" t="s">
        <v>87</v>
      </c>
      <c r="BJ22" s="89" t="s">
        <v>87</v>
      </c>
      <c r="BK22" s="89" t="s">
        <v>87</v>
      </c>
      <c r="BL22" s="89" t="s">
        <v>87</v>
      </c>
      <c r="BM22" s="89">
        <v>25</v>
      </c>
      <c r="BN22" s="89">
        <v>25</v>
      </c>
      <c r="BO22" s="89" t="s">
        <v>87</v>
      </c>
      <c r="BP22" s="89" t="s">
        <v>87</v>
      </c>
      <c r="BQ22" s="89" t="s">
        <v>87</v>
      </c>
      <c r="BR22" s="89" t="s">
        <v>87</v>
      </c>
      <c r="BS22" s="89" t="s">
        <v>87</v>
      </c>
      <c r="BT22" s="89" t="s">
        <v>87</v>
      </c>
      <c r="BU22" s="89" t="s">
        <v>87</v>
      </c>
      <c r="BV22" s="89" t="s">
        <v>87</v>
      </c>
      <c r="BW22" s="89" t="s">
        <v>87</v>
      </c>
      <c r="BX22" s="89" t="s">
        <v>87</v>
      </c>
      <c r="BY22" s="89" t="s">
        <v>87</v>
      </c>
      <c r="BZ22" s="89" t="s">
        <v>87</v>
      </c>
      <c r="CA22" s="89" t="s">
        <v>87</v>
      </c>
      <c r="CB22" s="89" t="s">
        <v>87</v>
      </c>
      <c r="CC22" s="89" t="s">
        <v>87</v>
      </c>
      <c r="CD22" s="89" t="s">
        <v>87</v>
      </c>
      <c r="CE22" s="89" t="s">
        <v>87</v>
      </c>
      <c r="CF22" s="89" t="s">
        <v>87</v>
      </c>
      <c r="CG22" s="89" t="s">
        <v>87</v>
      </c>
      <c r="CH22" s="89" t="s">
        <v>87</v>
      </c>
      <c r="CI22" s="89" t="s">
        <v>87</v>
      </c>
      <c r="CJ22" s="89" t="s">
        <v>87</v>
      </c>
      <c r="CK22" s="89" t="s">
        <v>87</v>
      </c>
      <c r="CL22" s="89" t="s">
        <v>87</v>
      </c>
      <c r="CM22" s="89" t="s">
        <v>87</v>
      </c>
      <c r="CN22" s="89" t="s">
        <v>87</v>
      </c>
      <c r="CO22" s="89">
        <v>13</v>
      </c>
      <c r="CP22" s="89">
        <v>13</v>
      </c>
      <c r="CQ22" s="89" t="s">
        <v>59</v>
      </c>
      <c r="CR22" s="89" t="s">
        <v>59</v>
      </c>
      <c r="CS22" s="89" t="s">
        <v>59</v>
      </c>
      <c r="CT22" s="89" t="s">
        <v>59</v>
      </c>
      <c r="CU22" s="89" t="s">
        <v>59</v>
      </c>
      <c r="CV22" s="89" t="s">
        <v>59</v>
      </c>
      <c r="CW22" s="89" t="s">
        <v>59</v>
      </c>
      <c r="CX22" s="89" t="s">
        <v>59</v>
      </c>
      <c r="CY22" s="89" t="s">
        <v>59</v>
      </c>
      <c r="CZ22" s="89" t="s">
        <v>59</v>
      </c>
      <c r="DA22" s="89" t="s">
        <v>59</v>
      </c>
      <c r="DB22" s="89" t="s">
        <v>59</v>
      </c>
      <c r="DC22" s="89" t="s">
        <v>59</v>
      </c>
      <c r="DD22" s="89" t="s">
        <v>59</v>
      </c>
      <c r="DE22" s="89" t="s">
        <v>88</v>
      </c>
      <c r="DF22" s="89" t="s">
        <v>88</v>
      </c>
      <c r="DG22" s="89" t="s">
        <v>86</v>
      </c>
      <c r="DH22" s="89" t="s">
        <v>86</v>
      </c>
      <c r="DI22" s="89" t="s">
        <v>88</v>
      </c>
      <c r="DJ22" s="89" t="s">
        <v>88</v>
      </c>
      <c r="DK22" s="89" t="s">
        <v>88</v>
      </c>
      <c r="DL22" s="89" t="s">
        <v>88</v>
      </c>
      <c r="DM22" s="89" t="s">
        <v>86</v>
      </c>
      <c r="DN22" s="90" t="s">
        <v>86</v>
      </c>
      <c r="DO22" s="89" t="s">
        <v>59</v>
      </c>
      <c r="DP22" s="89" t="s">
        <v>59</v>
      </c>
      <c r="DQ22" s="89" t="s">
        <v>59</v>
      </c>
      <c r="DR22" s="89" t="s">
        <v>59</v>
      </c>
      <c r="DS22" s="89" t="s">
        <v>305</v>
      </c>
      <c r="DT22" s="89" t="s">
        <v>305</v>
      </c>
      <c r="DU22" s="89" t="s">
        <v>96</v>
      </c>
      <c r="DV22" s="89" t="s">
        <v>96</v>
      </c>
      <c r="DW22" s="89" t="s">
        <v>90</v>
      </c>
      <c r="DX22" s="89" t="s">
        <v>90</v>
      </c>
      <c r="DY22" s="89">
        <v>1</v>
      </c>
      <c r="DZ22" s="89">
        <v>1</v>
      </c>
      <c r="EA22" s="89">
        <v>1</v>
      </c>
      <c r="EB22" s="89">
        <v>1</v>
      </c>
      <c r="EC22" s="89">
        <v>1</v>
      </c>
      <c r="ED22" s="89">
        <v>1</v>
      </c>
      <c r="EE22" s="89">
        <v>1</v>
      </c>
      <c r="EF22" s="89">
        <v>1</v>
      </c>
      <c r="EG22" s="89">
        <v>1</v>
      </c>
      <c r="EH22" s="89">
        <v>1</v>
      </c>
      <c r="EI22" s="89">
        <v>1</v>
      </c>
      <c r="EJ22" s="89">
        <v>1</v>
      </c>
      <c r="EK22" s="89">
        <v>1</v>
      </c>
      <c r="EL22" s="89">
        <v>1</v>
      </c>
      <c r="EM22" s="89">
        <v>1</v>
      </c>
      <c r="EN22" s="89">
        <v>1</v>
      </c>
      <c r="EO22" s="89">
        <v>1</v>
      </c>
      <c r="EP22" s="89">
        <v>1</v>
      </c>
      <c r="EQ22" s="89">
        <v>1</v>
      </c>
      <c r="ER22" s="89">
        <v>1</v>
      </c>
      <c r="ES22" s="70">
        <f t="shared" si="72"/>
        <v>10</v>
      </c>
      <c r="ET22" s="70">
        <f t="shared" si="72"/>
        <v>10</v>
      </c>
      <c r="EU22" s="64" t="s">
        <v>143</v>
      </c>
      <c r="EV22" s="65">
        <v>2021</v>
      </c>
      <c r="EW22" s="59" t="str">
        <f t="shared" si="2"/>
        <v>Y</v>
      </c>
      <c r="EX22" s="59" t="str">
        <f t="shared" si="3"/>
        <v>Y</v>
      </c>
      <c r="EY22" s="59" t="str">
        <f t="shared" si="4"/>
        <v>Y</v>
      </c>
      <c r="EZ22" s="59" t="str">
        <f t="shared" si="5"/>
        <v>Y</v>
      </c>
      <c r="FA22" s="59" t="str">
        <f t="shared" si="6"/>
        <v>Y</v>
      </c>
      <c r="FB22" s="59" t="str">
        <f t="shared" si="71"/>
        <v>Y</v>
      </c>
      <c r="FC22" s="59" t="str">
        <f t="shared" si="8"/>
        <v>Y</v>
      </c>
      <c r="FD22" s="59" t="str">
        <f t="shared" si="9"/>
        <v>Y</v>
      </c>
      <c r="FE22" s="59" t="str">
        <f t="shared" si="10"/>
        <v>Y</v>
      </c>
      <c r="FF22" s="59" t="str">
        <f t="shared" si="11"/>
        <v>Y</v>
      </c>
      <c r="FG22" s="59" t="str">
        <f t="shared" si="12"/>
        <v>Y</v>
      </c>
      <c r="FH22" s="59" t="str">
        <f t="shared" si="13"/>
        <v>Y</v>
      </c>
      <c r="FI22" s="59" t="str">
        <f t="shared" si="14"/>
        <v>Y</v>
      </c>
      <c r="FJ22" s="59" t="str">
        <f t="shared" si="15"/>
        <v>Y</v>
      </c>
      <c r="FK22" s="59" t="str">
        <f t="shared" si="16"/>
        <v>Y</v>
      </c>
      <c r="FL22" s="59" t="str">
        <f t="shared" si="17"/>
        <v>Y</v>
      </c>
      <c r="FM22" s="59" t="str">
        <f t="shared" si="18"/>
        <v>Y</v>
      </c>
      <c r="FN22" s="59" t="str">
        <f t="shared" si="19"/>
        <v>Y</v>
      </c>
      <c r="FO22" s="59" t="str">
        <f t="shared" si="20"/>
        <v>Y</v>
      </c>
      <c r="FP22" s="59" t="str">
        <f t="shared" si="21"/>
        <v>Y</v>
      </c>
      <c r="FQ22" s="59" t="str">
        <f t="shared" si="22"/>
        <v>Y</v>
      </c>
      <c r="FR22" s="59" t="str">
        <f t="shared" si="23"/>
        <v>Y</v>
      </c>
      <c r="FS22" s="59" t="str">
        <f t="shared" si="24"/>
        <v>Y</v>
      </c>
      <c r="FT22" s="59" t="str">
        <f t="shared" si="25"/>
        <v>Y</v>
      </c>
      <c r="FU22" s="59" t="str">
        <f t="shared" si="26"/>
        <v>Y</v>
      </c>
      <c r="FV22" s="59" t="str">
        <f t="shared" si="27"/>
        <v>Y</v>
      </c>
      <c r="FW22" s="59" t="str">
        <f t="shared" si="28"/>
        <v>Y</v>
      </c>
      <c r="FX22" s="59" t="str">
        <f t="shared" si="29"/>
        <v>Y</v>
      </c>
      <c r="FY22" s="59" t="str">
        <f t="shared" si="30"/>
        <v>Y</v>
      </c>
      <c r="FZ22" s="59" t="str">
        <f t="shared" si="31"/>
        <v>Y</v>
      </c>
      <c r="GA22" s="59" t="str">
        <f t="shared" si="32"/>
        <v>Y</v>
      </c>
      <c r="GB22" s="59" t="str">
        <f t="shared" si="33"/>
        <v>Y</v>
      </c>
      <c r="GC22" s="59" t="str">
        <f t="shared" si="34"/>
        <v>Y</v>
      </c>
      <c r="GD22" s="59" t="str">
        <f t="shared" si="35"/>
        <v>Y</v>
      </c>
      <c r="GE22" s="59" t="str">
        <f t="shared" si="36"/>
        <v>Y</v>
      </c>
      <c r="GF22" s="59" t="str">
        <f t="shared" si="37"/>
        <v>Y</v>
      </c>
      <c r="GG22" s="59" t="str">
        <f t="shared" si="38"/>
        <v>Y</v>
      </c>
      <c r="GH22" s="59" t="str">
        <f t="shared" si="39"/>
        <v>Y</v>
      </c>
      <c r="GI22" s="59" t="str">
        <f t="shared" si="40"/>
        <v>Y</v>
      </c>
      <c r="GJ22" s="59" t="str">
        <f t="shared" si="41"/>
        <v>Y</v>
      </c>
      <c r="GK22" s="59" t="str">
        <f t="shared" si="42"/>
        <v>Y</v>
      </c>
      <c r="GL22" s="59" t="str">
        <f t="shared" si="43"/>
        <v>Y</v>
      </c>
      <c r="GM22" s="59" t="str">
        <f t="shared" si="44"/>
        <v>Y</v>
      </c>
      <c r="GN22" s="59" t="str">
        <f t="shared" si="45"/>
        <v>Y</v>
      </c>
      <c r="GO22" s="59" t="str">
        <f t="shared" si="46"/>
        <v>Y</v>
      </c>
      <c r="GP22" s="59" t="str">
        <f t="shared" si="47"/>
        <v>Y</v>
      </c>
      <c r="GQ22" s="59" t="str">
        <f t="shared" si="48"/>
        <v>Y</v>
      </c>
      <c r="GR22" s="59" t="str">
        <f t="shared" si="49"/>
        <v>Y</v>
      </c>
      <c r="GS22" s="59" t="str">
        <f t="shared" si="50"/>
        <v>Y</v>
      </c>
      <c r="GT22" s="59" t="str">
        <f t="shared" si="51"/>
        <v>Y</v>
      </c>
      <c r="GU22" s="59" t="str">
        <f t="shared" si="52"/>
        <v>Y</v>
      </c>
      <c r="GV22" s="59" t="str">
        <f t="shared" si="53"/>
        <v>Y</v>
      </c>
      <c r="GW22" s="59" t="str">
        <f t="shared" si="54"/>
        <v>Y</v>
      </c>
      <c r="GX22" s="59" t="str">
        <f t="shared" si="55"/>
        <v>Y</v>
      </c>
      <c r="GY22" s="59" t="str">
        <f t="shared" si="56"/>
        <v>Y</v>
      </c>
      <c r="GZ22" s="59" t="str">
        <f t="shared" si="57"/>
        <v>Y</v>
      </c>
      <c r="HA22" s="59" t="str">
        <f t="shared" si="58"/>
        <v>Y</v>
      </c>
      <c r="HB22" s="59" t="str">
        <f t="shared" si="59"/>
        <v>Y</v>
      </c>
      <c r="HC22" s="59" t="str">
        <f t="shared" si="60"/>
        <v>Y</v>
      </c>
      <c r="HD22" s="59" t="str">
        <f t="shared" si="61"/>
        <v>Y</v>
      </c>
      <c r="HE22" s="59" t="str">
        <f t="shared" si="62"/>
        <v>Y</v>
      </c>
      <c r="HF22" s="59" t="str">
        <f t="shared" si="63"/>
        <v>Y</v>
      </c>
      <c r="HG22" s="59" t="str">
        <f t="shared" si="64"/>
        <v>Y</v>
      </c>
      <c r="HH22" s="59" t="str">
        <f t="shared" si="65"/>
        <v>Y</v>
      </c>
      <c r="HI22" s="59" t="str">
        <f t="shared" si="66"/>
        <v>Y</v>
      </c>
      <c r="HJ22" s="68" t="str">
        <f t="shared" si="67"/>
        <v>Y</v>
      </c>
      <c r="HK22" s="90">
        <v>1</v>
      </c>
      <c r="HL22" s="91">
        <v>1</v>
      </c>
    </row>
    <row r="23" spans="1:220" ht="15.75" customHeight="1" x14ac:dyDescent="0.2">
      <c r="A23" s="69" t="s">
        <v>145</v>
      </c>
      <c r="B23" s="70">
        <v>2016</v>
      </c>
      <c r="C23" s="70">
        <v>204</v>
      </c>
      <c r="D23" s="70">
        <v>204</v>
      </c>
      <c r="E23" s="59">
        <v>202</v>
      </c>
      <c r="F23" s="70">
        <v>202</v>
      </c>
      <c r="G23" s="70" t="s">
        <v>59</v>
      </c>
      <c r="H23" s="70" t="s">
        <v>59</v>
      </c>
      <c r="I23" s="70" t="s">
        <v>59</v>
      </c>
      <c r="J23" s="70" t="s">
        <v>59</v>
      </c>
      <c r="K23" s="70">
        <v>15.9</v>
      </c>
      <c r="L23" s="59">
        <v>15.9</v>
      </c>
      <c r="M23" s="59">
        <v>364</v>
      </c>
      <c r="N23" s="59">
        <v>364</v>
      </c>
      <c r="O23" s="59" t="s">
        <v>59</v>
      </c>
      <c r="P23" s="59" t="s">
        <v>59</v>
      </c>
      <c r="Q23" s="59" t="s">
        <v>59</v>
      </c>
      <c r="R23" s="59" t="s">
        <v>59</v>
      </c>
      <c r="S23" s="59">
        <v>45</v>
      </c>
      <c r="T23" s="59">
        <v>45</v>
      </c>
      <c r="U23" s="70">
        <v>0</v>
      </c>
      <c r="V23" s="70">
        <v>0</v>
      </c>
      <c r="W23" s="70">
        <v>409</v>
      </c>
      <c r="X23" s="70">
        <v>409</v>
      </c>
      <c r="Y23" s="70">
        <v>0</v>
      </c>
      <c r="Z23" s="70">
        <v>0</v>
      </c>
      <c r="AA23" s="70">
        <v>0</v>
      </c>
      <c r="AB23" s="70">
        <v>0</v>
      </c>
      <c r="AC23" s="59" t="s">
        <v>101</v>
      </c>
      <c r="AD23" s="59" t="s">
        <v>146</v>
      </c>
      <c r="AE23" s="70" t="s">
        <v>146</v>
      </c>
      <c r="AF23" s="70" t="s">
        <v>107</v>
      </c>
      <c r="AG23" s="70" t="s">
        <v>86</v>
      </c>
      <c r="AH23" s="70" t="s">
        <v>86</v>
      </c>
      <c r="AI23" s="70" t="s">
        <v>85</v>
      </c>
      <c r="AJ23" s="70" t="s">
        <v>85</v>
      </c>
      <c r="AK23" s="70" t="s">
        <v>59</v>
      </c>
      <c r="AL23" s="70" t="s">
        <v>59</v>
      </c>
      <c r="AM23" s="70" t="s">
        <v>59</v>
      </c>
      <c r="AN23" s="70" t="s">
        <v>59</v>
      </c>
      <c r="AO23" s="70" t="s">
        <v>59</v>
      </c>
      <c r="AP23" s="70" t="s">
        <v>59</v>
      </c>
      <c r="AQ23" s="70" t="s">
        <v>59</v>
      </c>
      <c r="AR23" s="70" t="s">
        <v>59</v>
      </c>
      <c r="AS23" s="71"/>
      <c r="AT23" s="72" t="s">
        <v>59</v>
      </c>
      <c r="AU23" s="71" t="s">
        <v>59</v>
      </c>
      <c r="AV23" s="72" t="s">
        <v>59</v>
      </c>
      <c r="AW23" s="71" t="s">
        <v>59</v>
      </c>
      <c r="AX23" s="72" t="s">
        <v>59</v>
      </c>
      <c r="AY23" s="70">
        <v>409</v>
      </c>
      <c r="AZ23" s="70">
        <v>409</v>
      </c>
      <c r="BA23" s="70">
        <v>32</v>
      </c>
      <c r="BB23" s="70">
        <v>32</v>
      </c>
      <c r="BC23" s="70" t="s">
        <v>95</v>
      </c>
      <c r="BD23" s="70" t="s">
        <v>95</v>
      </c>
      <c r="BE23" s="70">
        <f t="shared" si="68"/>
        <v>32</v>
      </c>
      <c r="BF23" s="70">
        <f t="shared" si="69"/>
        <v>32</v>
      </c>
      <c r="BG23" s="70">
        <f t="shared" si="0"/>
        <v>0</v>
      </c>
      <c r="BH23" s="70">
        <f t="shared" si="1"/>
        <v>0</v>
      </c>
      <c r="BI23" s="70" t="s">
        <v>87</v>
      </c>
      <c r="BJ23" s="70" t="s">
        <v>87</v>
      </c>
      <c r="BK23" s="70" t="s">
        <v>87</v>
      </c>
      <c r="BL23" s="70" t="s">
        <v>87</v>
      </c>
      <c r="BM23" s="70" t="s">
        <v>87</v>
      </c>
      <c r="BN23" s="70" t="s">
        <v>87</v>
      </c>
      <c r="BO23" s="70" t="s">
        <v>87</v>
      </c>
      <c r="BP23" s="70" t="s">
        <v>87</v>
      </c>
      <c r="BQ23" s="70" t="s">
        <v>87</v>
      </c>
      <c r="BR23" s="70" t="s">
        <v>87</v>
      </c>
      <c r="BS23" s="70" t="s">
        <v>87</v>
      </c>
      <c r="BT23" s="70" t="s">
        <v>87</v>
      </c>
      <c r="BU23" s="70" t="s">
        <v>87</v>
      </c>
      <c r="BV23" s="70" t="s">
        <v>87</v>
      </c>
      <c r="BW23" s="70" t="s">
        <v>87</v>
      </c>
      <c r="BX23" s="70" t="s">
        <v>87</v>
      </c>
      <c r="BY23" s="70" t="s">
        <v>87</v>
      </c>
      <c r="BZ23" s="70" t="s">
        <v>87</v>
      </c>
      <c r="CA23" s="70" t="s">
        <v>87</v>
      </c>
      <c r="CB23" s="70" t="s">
        <v>87</v>
      </c>
      <c r="CC23" s="70" t="s">
        <v>87</v>
      </c>
      <c r="CD23" s="70" t="s">
        <v>87</v>
      </c>
      <c r="CE23" s="70" t="s">
        <v>87</v>
      </c>
      <c r="CF23" s="70" t="s">
        <v>87</v>
      </c>
      <c r="CG23" s="70" t="s">
        <v>87</v>
      </c>
      <c r="CH23" s="70" t="s">
        <v>87</v>
      </c>
      <c r="CI23" s="70" t="s">
        <v>87</v>
      </c>
      <c r="CJ23" s="70" t="s">
        <v>87</v>
      </c>
      <c r="CK23" s="70" t="s">
        <v>87</v>
      </c>
      <c r="CL23" s="70" t="s">
        <v>87</v>
      </c>
      <c r="CM23" s="70" t="s">
        <v>87</v>
      </c>
      <c r="CN23" s="70" t="s">
        <v>87</v>
      </c>
      <c r="CO23" s="70">
        <v>32</v>
      </c>
      <c r="CP23" s="70">
        <v>32</v>
      </c>
      <c r="CQ23" s="70" t="s">
        <v>59</v>
      </c>
      <c r="CR23" s="70" t="s">
        <v>59</v>
      </c>
      <c r="CS23" s="70" t="s">
        <v>59</v>
      </c>
      <c r="CT23" s="70" t="s">
        <v>59</v>
      </c>
      <c r="CU23" s="70" t="s">
        <v>59</v>
      </c>
      <c r="CV23" s="70" t="s">
        <v>59</v>
      </c>
      <c r="CW23" s="70" t="s">
        <v>59</v>
      </c>
      <c r="CX23" s="70" t="s">
        <v>59</v>
      </c>
      <c r="CY23" s="70" t="s">
        <v>59</v>
      </c>
      <c r="CZ23" s="70" t="s">
        <v>59</v>
      </c>
      <c r="DA23" s="70" t="s">
        <v>59</v>
      </c>
      <c r="DB23" s="70" t="s">
        <v>59</v>
      </c>
      <c r="DC23" s="70" t="s">
        <v>59</v>
      </c>
      <c r="DD23" s="70" t="s">
        <v>59</v>
      </c>
      <c r="DE23" s="70" t="s">
        <v>88</v>
      </c>
      <c r="DF23" s="70" t="s">
        <v>88</v>
      </c>
      <c r="DG23" s="70" t="s">
        <v>86</v>
      </c>
      <c r="DH23" s="70" t="s">
        <v>86</v>
      </c>
      <c r="DI23" s="70" t="s">
        <v>59</v>
      </c>
      <c r="DJ23" s="70" t="s">
        <v>59</v>
      </c>
      <c r="DK23" s="70" t="s">
        <v>59</v>
      </c>
      <c r="DL23" s="70" t="s">
        <v>59</v>
      </c>
      <c r="DM23" s="70" t="s">
        <v>59</v>
      </c>
      <c r="DN23" s="59" t="s">
        <v>59</v>
      </c>
      <c r="DO23" s="70" t="s">
        <v>59</v>
      </c>
      <c r="DP23" s="70" t="s">
        <v>59</v>
      </c>
      <c r="DQ23" s="70" t="s">
        <v>59</v>
      </c>
      <c r="DR23" s="70" t="s">
        <v>59</v>
      </c>
      <c r="DS23" s="70" t="s">
        <v>305</v>
      </c>
      <c r="DT23" s="70" t="s">
        <v>305</v>
      </c>
      <c r="DU23" s="70" t="s">
        <v>323</v>
      </c>
      <c r="DV23" s="70" t="s">
        <v>323</v>
      </c>
      <c r="DW23" s="70" t="s">
        <v>147</v>
      </c>
      <c r="DX23" s="70" t="s">
        <v>147</v>
      </c>
      <c r="DY23" s="70">
        <v>1</v>
      </c>
      <c r="DZ23" s="70">
        <v>1</v>
      </c>
      <c r="EA23" s="70">
        <v>1</v>
      </c>
      <c r="EB23" s="70">
        <v>1</v>
      </c>
      <c r="EC23" s="70">
        <v>1</v>
      </c>
      <c r="ED23" s="70">
        <v>1</v>
      </c>
      <c r="EE23" s="70">
        <v>1</v>
      </c>
      <c r="EF23" s="70">
        <v>1</v>
      </c>
      <c r="EG23" s="70">
        <v>1</v>
      </c>
      <c r="EH23" s="70">
        <v>1</v>
      </c>
      <c r="EI23" s="70">
        <v>0</v>
      </c>
      <c r="EJ23" s="70">
        <v>0</v>
      </c>
      <c r="EK23" s="70">
        <v>1</v>
      </c>
      <c r="EL23" s="70">
        <v>1</v>
      </c>
      <c r="EM23" s="70">
        <v>1</v>
      </c>
      <c r="EN23" s="70">
        <v>1</v>
      </c>
      <c r="EO23" s="70">
        <v>1</v>
      </c>
      <c r="EP23" s="70">
        <v>1</v>
      </c>
      <c r="EQ23" s="70">
        <v>1</v>
      </c>
      <c r="ER23" s="70">
        <v>1</v>
      </c>
      <c r="ES23" s="70">
        <f t="shared" si="72"/>
        <v>9</v>
      </c>
      <c r="ET23" s="70">
        <f t="shared" si="72"/>
        <v>9</v>
      </c>
      <c r="EU23" s="74" t="s">
        <v>145</v>
      </c>
      <c r="EV23" s="66">
        <v>2016</v>
      </c>
      <c r="EW23" s="59" t="str">
        <f t="shared" si="2"/>
        <v>Y</v>
      </c>
      <c r="EX23" s="59" t="str">
        <f t="shared" si="3"/>
        <v>Y</v>
      </c>
      <c r="EY23" s="59" t="str">
        <f t="shared" si="4"/>
        <v>Y</v>
      </c>
      <c r="EZ23" s="59" t="str">
        <f t="shared" si="5"/>
        <v>Y</v>
      </c>
      <c r="FA23" s="59" t="str">
        <f t="shared" si="6"/>
        <v>Y</v>
      </c>
      <c r="FB23" s="59" t="str">
        <f t="shared" si="71"/>
        <v>Y</v>
      </c>
      <c r="FC23" s="59" t="str">
        <f t="shared" si="8"/>
        <v>Y</v>
      </c>
      <c r="FD23" s="59" t="str">
        <f t="shared" si="9"/>
        <v>Y</v>
      </c>
      <c r="FE23" s="59" t="str">
        <f t="shared" si="10"/>
        <v>Y</v>
      </c>
      <c r="FF23" s="59" t="str">
        <f t="shared" si="11"/>
        <v>Y</v>
      </c>
      <c r="FG23" s="59" t="str">
        <f t="shared" si="12"/>
        <v>Y</v>
      </c>
      <c r="FH23" s="59" t="str">
        <f t="shared" si="13"/>
        <v>Y</v>
      </c>
      <c r="FI23" s="59" t="str">
        <f t="shared" si="14"/>
        <v>Y</v>
      </c>
      <c r="FJ23" s="59" t="str">
        <f t="shared" si="15"/>
        <v>Y</v>
      </c>
      <c r="FK23" s="59" t="str">
        <f t="shared" si="16"/>
        <v>Y</v>
      </c>
      <c r="FL23" s="59" t="str">
        <f t="shared" si="17"/>
        <v>Y</v>
      </c>
      <c r="FM23" s="59" t="str">
        <f t="shared" si="18"/>
        <v>Y</v>
      </c>
      <c r="FN23" s="59" t="str">
        <f t="shared" si="19"/>
        <v>Y</v>
      </c>
      <c r="FO23" s="59" t="str">
        <f t="shared" si="20"/>
        <v>Y</v>
      </c>
      <c r="FP23" s="59" t="str">
        <f t="shared" si="21"/>
        <v>Y</v>
      </c>
      <c r="FQ23" s="59" t="str">
        <f t="shared" si="22"/>
        <v>Y</v>
      </c>
      <c r="FR23" s="59" t="str">
        <f t="shared" si="23"/>
        <v>Y</v>
      </c>
      <c r="FS23" s="59" t="str">
        <f t="shared" si="24"/>
        <v>Y</v>
      </c>
      <c r="FT23" s="59" t="str">
        <f t="shared" si="25"/>
        <v>Y</v>
      </c>
      <c r="FU23" s="59" t="str">
        <f t="shared" si="26"/>
        <v>Y</v>
      </c>
      <c r="FV23" s="59" t="str">
        <f t="shared" si="27"/>
        <v>Y</v>
      </c>
      <c r="FW23" s="59" t="str">
        <f t="shared" si="28"/>
        <v>Y</v>
      </c>
      <c r="FX23" s="59" t="str">
        <f t="shared" si="29"/>
        <v>Y</v>
      </c>
      <c r="FY23" s="59" t="str">
        <f t="shared" si="30"/>
        <v>Y</v>
      </c>
      <c r="FZ23" s="59" t="str">
        <f t="shared" si="31"/>
        <v>Y</v>
      </c>
      <c r="GA23" s="59" t="str">
        <f t="shared" si="32"/>
        <v>Y</v>
      </c>
      <c r="GB23" s="59" t="str">
        <f t="shared" si="33"/>
        <v>Y</v>
      </c>
      <c r="GC23" s="59" t="str">
        <f t="shared" si="34"/>
        <v>Y</v>
      </c>
      <c r="GD23" s="59" t="str">
        <f t="shared" si="35"/>
        <v>Y</v>
      </c>
      <c r="GE23" s="59" t="str">
        <f t="shared" si="36"/>
        <v>Y</v>
      </c>
      <c r="GF23" s="59" t="str">
        <f t="shared" si="37"/>
        <v>Y</v>
      </c>
      <c r="GG23" s="59" t="str">
        <f t="shared" si="38"/>
        <v>Y</v>
      </c>
      <c r="GH23" s="59" t="str">
        <f t="shared" si="39"/>
        <v>Y</v>
      </c>
      <c r="GI23" s="59" t="str">
        <f t="shared" si="40"/>
        <v>Y</v>
      </c>
      <c r="GJ23" s="59" t="str">
        <f t="shared" si="41"/>
        <v>Y</v>
      </c>
      <c r="GK23" s="59" t="str">
        <f t="shared" si="42"/>
        <v>Y</v>
      </c>
      <c r="GL23" s="59" t="str">
        <f t="shared" si="43"/>
        <v>Y</v>
      </c>
      <c r="GM23" s="59" t="str">
        <f t="shared" si="44"/>
        <v>Y</v>
      </c>
      <c r="GN23" s="59" t="str">
        <f t="shared" si="45"/>
        <v>Y</v>
      </c>
      <c r="GO23" s="59" t="str">
        <f t="shared" si="46"/>
        <v>Y</v>
      </c>
      <c r="GP23" s="59" t="str">
        <f t="shared" si="47"/>
        <v>Y</v>
      </c>
      <c r="GQ23" s="59" t="str">
        <f t="shared" si="48"/>
        <v>Y</v>
      </c>
      <c r="GR23" s="59" t="str">
        <f t="shared" si="49"/>
        <v>Y</v>
      </c>
      <c r="GS23" s="59" t="str">
        <f t="shared" si="50"/>
        <v>Y</v>
      </c>
      <c r="GT23" s="59" t="str">
        <f t="shared" si="51"/>
        <v>Y</v>
      </c>
      <c r="GU23" s="59" t="str">
        <f t="shared" si="52"/>
        <v>Y</v>
      </c>
      <c r="GV23" s="59" t="str">
        <f t="shared" si="53"/>
        <v>Y</v>
      </c>
      <c r="GW23" s="59" t="str">
        <f t="shared" si="54"/>
        <v>Y</v>
      </c>
      <c r="GX23" s="59" t="str">
        <f t="shared" si="55"/>
        <v>Y</v>
      </c>
      <c r="GY23" s="59" t="str">
        <f t="shared" si="56"/>
        <v>Y</v>
      </c>
      <c r="GZ23" s="59" t="str">
        <f t="shared" si="57"/>
        <v>Y</v>
      </c>
      <c r="HA23" s="59" t="str">
        <f t="shared" si="58"/>
        <v>Y</v>
      </c>
      <c r="HB23" s="59" t="str">
        <f t="shared" si="59"/>
        <v>Y</v>
      </c>
      <c r="HC23" s="59" t="str">
        <f t="shared" si="60"/>
        <v>Y</v>
      </c>
      <c r="HD23" s="59" t="str">
        <f t="shared" si="61"/>
        <v>Y</v>
      </c>
      <c r="HE23" s="59" t="str">
        <f t="shared" si="62"/>
        <v>Y</v>
      </c>
      <c r="HF23" s="59" t="str">
        <f t="shared" si="63"/>
        <v>Y</v>
      </c>
      <c r="HG23" s="59" t="str">
        <f t="shared" si="64"/>
        <v>Y</v>
      </c>
      <c r="HH23" s="59" t="str">
        <f t="shared" si="65"/>
        <v>Y</v>
      </c>
      <c r="HI23" s="59" t="str">
        <f t="shared" si="66"/>
        <v>Y</v>
      </c>
      <c r="HJ23" s="68" t="str">
        <f t="shared" si="67"/>
        <v>Y</v>
      </c>
      <c r="HK23" s="59">
        <v>1</v>
      </c>
      <c r="HL23" s="68">
        <v>1</v>
      </c>
    </row>
    <row r="24" spans="1:220" ht="15.75" customHeight="1" x14ac:dyDescent="0.2">
      <c r="A24" s="69" t="s">
        <v>148</v>
      </c>
      <c r="B24" s="70">
        <v>2007</v>
      </c>
      <c r="C24" s="70" t="s">
        <v>59</v>
      </c>
      <c r="D24" s="70" t="s">
        <v>59</v>
      </c>
      <c r="E24" s="59" t="s">
        <v>59</v>
      </c>
      <c r="F24" s="70" t="s">
        <v>59</v>
      </c>
      <c r="G24" s="70" t="s">
        <v>59</v>
      </c>
      <c r="H24" s="70" t="s">
        <v>59</v>
      </c>
      <c r="I24" s="70" t="s">
        <v>59</v>
      </c>
      <c r="J24" s="70" t="s">
        <v>59</v>
      </c>
      <c r="K24" s="70" t="s">
        <v>59</v>
      </c>
      <c r="L24" s="59" t="s">
        <v>59</v>
      </c>
      <c r="M24" s="59" t="s">
        <v>59</v>
      </c>
      <c r="N24" s="59" t="s">
        <v>59</v>
      </c>
      <c r="O24" s="59" t="s">
        <v>59</v>
      </c>
      <c r="P24" s="59" t="s">
        <v>59</v>
      </c>
      <c r="Q24" s="59" t="s">
        <v>59</v>
      </c>
      <c r="R24" s="59" t="s">
        <v>59</v>
      </c>
      <c r="S24" s="59" t="s">
        <v>59</v>
      </c>
      <c r="T24" s="59" t="s">
        <v>59</v>
      </c>
      <c r="U24" s="70" t="s">
        <v>59</v>
      </c>
      <c r="V24" s="70" t="s">
        <v>59</v>
      </c>
      <c r="W24" s="70" t="s">
        <v>59</v>
      </c>
      <c r="X24" s="70" t="s">
        <v>59</v>
      </c>
      <c r="Y24" s="70">
        <v>0</v>
      </c>
      <c r="Z24" s="70">
        <v>0</v>
      </c>
      <c r="AA24" s="70">
        <v>0</v>
      </c>
      <c r="AB24" s="70">
        <v>0</v>
      </c>
      <c r="AC24" s="90" t="s">
        <v>131</v>
      </c>
      <c r="AD24" s="59" t="s">
        <v>149</v>
      </c>
      <c r="AE24" s="70" t="s">
        <v>149</v>
      </c>
      <c r="AF24" s="70" t="s">
        <v>103</v>
      </c>
      <c r="AG24" s="70" t="s">
        <v>85</v>
      </c>
      <c r="AH24" s="70" t="s">
        <v>85</v>
      </c>
      <c r="AI24" s="70" t="s">
        <v>86</v>
      </c>
      <c r="AJ24" s="70" t="s">
        <v>86</v>
      </c>
      <c r="AK24" s="70" t="s">
        <v>85</v>
      </c>
      <c r="AL24" s="70" t="s">
        <v>85</v>
      </c>
      <c r="AM24" s="70" t="s">
        <v>59</v>
      </c>
      <c r="AN24" s="70" t="s">
        <v>59</v>
      </c>
      <c r="AO24" s="70" t="s">
        <v>59</v>
      </c>
      <c r="AP24" s="70" t="s">
        <v>59</v>
      </c>
      <c r="AQ24" s="70" t="s">
        <v>59</v>
      </c>
      <c r="AR24" s="70" t="s">
        <v>59</v>
      </c>
      <c r="AS24" s="71" t="s">
        <v>59</v>
      </c>
      <c r="AT24" s="72" t="s">
        <v>59</v>
      </c>
      <c r="AU24" s="71" t="s">
        <v>59</v>
      </c>
      <c r="AV24" s="72" t="s">
        <v>59</v>
      </c>
      <c r="AW24" s="71" t="s">
        <v>59</v>
      </c>
      <c r="AX24" s="72" t="s">
        <v>59</v>
      </c>
      <c r="AY24" s="70">
        <v>249</v>
      </c>
      <c r="AZ24" s="70">
        <v>249</v>
      </c>
      <c r="BA24" s="70">
        <v>55</v>
      </c>
      <c r="BB24" s="70">
        <v>55</v>
      </c>
      <c r="BC24" s="70" t="s">
        <v>99</v>
      </c>
      <c r="BD24" s="70" t="s">
        <v>99</v>
      </c>
      <c r="BE24" s="70">
        <f t="shared" si="68"/>
        <v>23</v>
      </c>
      <c r="BF24" s="70">
        <f t="shared" si="69"/>
        <v>23</v>
      </c>
      <c r="BG24" s="70">
        <f t="shared" si="0"/>
        <v>33</v>
      </c>
      <c r="BH24" s="70">
        <f t="shared" si="1"/>
        <v>33</v>
      </c>
      <c r="BI24" s="70" t="s">
        <v>87</v>
      </c>
      <c r="BJ24" s="70" t="s">
        <v>87</v>
      </c>
      <c r="BK24" s="70" t="s">
        <v>87</v>
      </c>
      <c r="BL24" s="70" t="s">
        <v>87</v>
      </c>
      <c r="BM24" s="70">
        <v>33</v>
      </c>
      <c r="BN24" s="70">
        <v>33</v>
      </c>
      <c r="BO24" s="70" t="s">
        <v>87</v>
      </c>
      <c r="BP24" s="70" t="s">
        <v>87</v>
      </c>
      <c r="BQ24" s="70" t="s">
        <v>87</v>
      </c>
      <c r="BR24" s="70" t="s">
        <v>87</v>
      </c>
      <c r="BS24" s="70" t="s">
        <v>87</v>
      </c>
      <c r="BT24" s="70" t="s">
        <v>87</v>
      </c>
      <c r="BU24" s="70" t="s">
        <v>87</v>
      </c>
      <c r="BV24" s="70" t="s">
        <v>87</v>
      </c>
      <c r="BW24" s="70" t="s">
        <v>87</v>
      </c>
      <c r="BX24" s="70" t="s">
        <v>87</v>
      </c>
      <c r="BY24" s="70" t="s">
        <v>87</v>
      </c>
      <c r="BZ24" s="70" t="s">
        <v>87</v>
      </c>
      <c r="CA24" s="70" t="s">
        <v>87</v>
      </c>
      <c r="CB24" s="70" t="s">
        <v>87</v>
      </c>
      <c r="CC24" s="70" t="s">
        <v>87</v>
      </c>
      <c r="CD24" s="70" t="s">
        <v>87</v>
      </c>
      <c r="CE24" s="70" t="s">
        <v>87</v>
      </c>
      <c r="CF24" s="70" t="s">
        <v>87</v>
      </c>
      <c r="CG24" s="70" t="s">
        <v>87</v>
      </c>
      <c r="CH24" s="70" t="s">
        <v>87</v>
      </c>
      <c r="CI24" s="70" t="s">
        <v>87</v>
      </c>
      <c r="CJ24" s="70" t="s">
        <v>87</v>
      </c>
      <c r="CK24" s="70" t="s">
        <v>87</v>
      </c>
      <c r="CL24" s="70" t="s">
        <v>87</v>
      </c>
      <c r="CM24" s="70" t="s">
        <v>87</v>
      </c>
      <c r="CN24" s="70" t="s">
        <v>87</v>
      </c>
      <c r="CO24" s="70">
        <v>23</v>
      </c>
      <c r="CP24" s="70">
        <v>23</v>
      </c>
      <c r="CQ24" s="70" t="s">
        <v>59</v>
      </c>
      <c r="CR24" s="70" t="s">
        <v>59</v>
      </c>
      <c r="CS24" s="70" t="s">
        <v>59</v>
      </c>
      <c r="CT24" s="70" t="s">
        <v>59</v>
      </c>
      <c r="CU24" s="70" t="s">
        <v>59</v>
      </c>
      <c r="CV24" s="70" t="s">
        <v>59</v>
      </c>
      <c r="CW24" s="70" t="s">
        <v>59</v>
      </c>
      <c r="CX24" s="70" t="s">
        <v>59</v>
      </c>
      <c r="CY24" s="70" t="s">
        <v>59</v>
      </c>
      <c r="CZ24" s="70" t="s">
        <v>59</v>
      </c>
      <c r="DA24" s="70" t="s">
        <v>59</v>
      </c>
      <c r="DB24" s="70" t="s">
        <v>59</v>
      </c>
      <c r="DC24" s="70" t="s">
        <v>59</v>
      </c>
      <c r="DD24" s="70" t="s">
        <v>59</v>
      </c>
      <c r="DE24" s="70" t="s">
        <v>88</v>
      </c>
      <c r="DF24" s="70" t="s">
        <v>88</v>
      </c>
      <c r="DG24" s="70" t="s">
        <v>86</v>
      </c>
      <c r="DH24" s="70" t="s">
        <v>86</v>
      </c>
      <c r="DI24" s="70" t="s">
        <v>88</v>
      </c>
      <c r="DJ24" s="70" t="s">
        <v>88</v>
      </c>
      <c r="DK24" s="70" t="s">
        <v>59</v>
      </c>
      <c r="DL24" s="70" t="s">
        <v>59</v>
      </c>
      <c r="DM24" s="70" t="s">
        <v>59</v>
      </c>
      <c r="DN24" s="59" t="s">
        <v>59</v>
      </c>
      <c r="DO24" s="70" t="s">
        <v>59</v>
      </c>
      <c r="DP24" s="70" t="s">
        <v>59</v>
      </c>
      <c r="DQ24" s="70" t="s">
        <v>59</v>
      </c>
      <c r="DR24" s="70" t="s">
        <v>59</v>
      </c>
      <c r="DS24" s="70" t="s">
        <v>305</v>
      </c>
      <c r="DT24" s="70" t="s">
        <v>305</v>
      </c>
      <c r="DU24" s="70" t="s">
        <v>96</v>
      </c>
      <c r="DV24" s="70" t="s">
        <v>96</v>
      </c>
      <c r="DW24" s="70" t="s">
        <v>90</v>
      </c>
      <c r="DX24" s="70" t="s">
        <v>90</v>
      </c>
      <c r="DY24" s="70">
        <v>1</v>
      </c>
      <c r="DZ24" s="70">
        <v>1</v>
      </c>
      <c r="EA24" s="70">
        <v>1</v>
      </c>
      <c r="EB24" s="70">
        <v>1</v>
      </c>
      <c r="EC24" s="70">
        <v>1</v>
      </c>
      <c r="ED24" s="70">
        <v>1</v>
      </c>
      <c r="EE24" s="70">
        <v>1</v>
      </c>
      <c r="EF24" s="70">
        <v>1</v>
      </c>
      <c r="EG24" s="70">
        <v>1</v>
      </c>
      <c r="EH24" s="70">
        <v>1</v>
      </c>
      <c r="EI24" s="70">
        <v>1</v>
      </c>
      <c r="EJ24" s="70">
        <v>1</v>
      </c>
      <c r="EK24" s="70">
        <v>1</v>
      </c>
      <c r="EL24" s="70">
        <v>1</v>
      </c>
      <c r="EM24" s="70">
        <v>1</v>
      </c>
      <c r="EN24" s="70">
        <v>1</v>
      </c>
      <c r="EO24" s="70">
        <v>1</v>
      </c>
      <c r="EP24" s="70">
        <v>1</v>
      </c>
      <c r="EQ24" s="70">
        <v>1</v>
      </c>
      <c r="ER24" s="70">
        <v>1</v>
      </c>
      <c r="ES24" s="70">
        <f t="shared" si="72"/>
        <v>10</v>
      </c>
      <c r="ET24" s="70">
        <f t="shared" si="72"/>
        <v>10</v>
      </c>
      <c r="EU24" s="74" t="s">
        <v>148</v>
      </c>
      <c r="EV24" s="66">
        <v>2007</v>
      </c>
      <c r="EW24" s="59" t="str">
        <f t="shared" si="2"/>
        <v>Y</v>
      </c>
      <c r="EX24" s="59" t="str">
        <f t="shared" si="3"/>
        <v>Y</v>
      </c>
      <c r="EY24" s="59" t="str">
        <f t="shared" si="4"/>
        <v>Y</v>
      </c>
      <c r="EZ24" s="59" t="str">
        <f t="shared" si="5"/>
        <v>Y</v>
      </c>
      <c r="FA24" s="59" t="str">
        <f t="shared" si="6"/>
        <v>Y</v>
      </c>
      <c r="FB24" s="59" t="str">
        <f t="shared" si="71"/>
        <v>Y</v>
      </c>
      <c r="FC24" s="59" t="str">
        <f t="shared" si="8"/>
        <v>Y</v>
      </c>
      <c r="FD24" s="59" t="str">
        <f t="shared" si="9"/>
        <v>Y</v>
      </c>
      <c r="FE24" s="59" t="str">
        <f t="shared" si="10"/>
        <v>Y</v>
      </c>
      <c r="FF24" s="59" t="str">
        <f t="shared" si="11"/>
        <v>Y</v>
      </c>
      <c r="FG24" s="59" t="str">
        <f t="shared" si="12"/>
        <v>Y</v>
      </c>
      <c r="FH24" s="59" t="str">
        <f t="shared" si="13"/>
        <v>Y</v>
      </c>
      <c r="FI24" s="59" t="str">
        <f t="shared" si="14"/>
        <v>Y</v>
      </c>
      <c r="FJ24" s="59" t="str">
        <f t="shared" si="15"/>
        <v>Y</v>
      </c>
      <c r="FK24" s="59" t="str">
        <f t="shared" si="16"/>
        <v>Y</v>
      </c>
      <c r="FL24" s="59" t="str">
        <f t="shared" si="17"/>
        <v>Y</v>
      </c>
      <c r="FM24" s="59" t="str">
        <f t="shared" si="18"/>
        <v>Y</v>
      </c>
      <c r="FN24" s="59" t="str">
        <f t="shared" si="19"/>
        <v>Y</v>
      </c>
      <c r="FO24" s="59" t="str">
        <f t="shared" si="20"/>
        <v>Y</v>
      </c>
      <c r="FP24" s="59" t="str">
        <f t="shared" si="21"/>
        <v>Y</v>
      </c>
      <c r="FQ24" s="59" t="str">
        <f t="shared" si="22"/>
        <v>Y</v>
      </c>
      <c r="FR24" s="59" t="str">
        <f t="shared" si="23"/>
        <v>Y</v>
      </c>
      <c r="FS24" s="59" t="str">
        <f t="shared" si="24"/>
        <v>Y</v>
      </c>
      <c r="FT24" s="59" t="str">
        <f t="shared" si="25"/>
        <v>Y</v>
      </c>
      <c r="FU24" s="59" t="str">
        <f t="shared" si="26"/>
        <v>Y</v>
      </c>
      <c r="FV24" s="59" t="str">
        <f t="shared" si="27"/>
        <v>Y</v>
      </c>
      <c r="FW24" s="59" t="str">
        <f t="shared" si="28"/>
        <v>Y</v>
      </c>
      <c r="FX24" s="59" t="str">
        <f t="shared" si="29"/>
        <v>Y</v>
      </c>
      <c r="FY24" s="59" t="str">
        <f t="shared" si="30"/>
        <v>Y</v>
      </c>
      <c r="FZ24" s="59" t="str">
        <f t="shared" si="31"/>
        <v>Y</v>
      </c>
      <c r="GA24" s="59" t="str">
        <f t="shared" si="32"/>
        <v>Y</v>
      </c>
      <c r="GB24" s="59" t="str">
        <f t="shared" si="33"/>
        <v>Y</v>
      </c>
      <c r="GC24" s="59" t="str">
        <f t="shared" si="34"/>
        <v>Y</v>
      </c>
      <c r="GD24" s="59" t="str">
        <f t="shared" si="35"/>
        <v>Y</v>
      </c>
      <c r="GE24" s="59" t="str">
        <f t="shared" si="36"/>
        <v>Y</v>
      </c>
      <c r="GF24" s="59" t="str">
        <f t="shared" si="37"/>
        <v>Y</v>
      </c>
      <c r="GG24" s="59" t="str">
        <f t="shared" si="38"/>
        <v>Y</v>
      </c>
      <c r="GH24" s="59" t="str">
        <f t="shared" si="39"/>
        <v>Y</v>
      </c>
      <c r="GI24" s="59" t="str">
        <f t="shared" si="40"/>
        <v>Y</v>
      </c>
      <c r="GJ24" s="59" t="str">
        <f t="shared" si="41"/>
        <v>Y</v>
      </c>
      <c r="GK24" s="59" t="str">
        <f t="shared" si="42"/>
        <v>Y</v>
      </c>
      <c r="GL24" s="59" t="str">
        <f t="shared" si="43"/>
        <v>Y</v>
      </c>
      <c r="GM24" s="59" t="str">
        <f t="shared" si="44"/>
        <v>Y</v>
      </c>
      <c r="GN24" s="59" t="str">
        <f t="shared" si="45"/>
        <v>Y</v>
      </c>
      <c r="GO24" s="59" t="str">
        <f t="shared" si="46"/>
        <v>Y</v>
      </c>
      <c r="GP24" s="59" t="str">
        <f t="shared" si="47"/>
        <v>Y</v>
      </c>
      <c r="GQ24" s="59" t="str">
        <f t="shared" si="48"/>
        <v>Y</v>
      </c>
      <c r="GR24" s="59" t="str">
        <f t="shared" si="49"/>
        <v>Y</v>
      </c>
      <c r="GS24" s="59" t="str">
        <f t="shared" si="50"/>
        <v>Y</v>
      </c>
      <c r="GT24" s="59" t="str">
        <f t="shared" si="51"/>
        <v>Y</v>
      </c>
      <c r="GU24" s="59" t="str">
        <f t="shared" si="52"/>
        <v>Y</v>
      </c>
      <c r="GV24" s="59" t="str">
        <f t="shared" si="53"/>
        <v>Y</v>
      </c>
      <c r="GW24" s="59" t="str">
        <f t="shared" si="54"/>
        <v>Y</v>
      </c>
      <c r="GX24" s="59" t="str">
        <f t="shared" si="55"/>
        <v>Y</v>
      </c>
      <c r="GY24" s="59" t="str">
        <f t="shared" si="56"/>
        <v>Y</v>
      </c>
      <c r="GZ24" s="59" t="str">
        <f t="shared" si="57"/>
        <v>Y</v>
      </c>
      <c r="HA24" s="59" t="str">
        <f t="shared" si="58"/>
        <v>Y</v>
      </c>
      <c r="HB24" s="59" t="str">
        <f t="shared" si="59"/>
        <v>Y</v>
      </c>
      <c r="HC24" s="59" t="str">
        <f t="shared" si="60"/>
        <v>Y</v>
      </c>
      <c r="HD24" s="59" t="str">
        <f t="shared" si="61"/>
        <v>Y</v>
      </c>
      <c r="HE24" s="59" t="str">
        <f t="shared" si="62"/>
        <v>Y</v>
      </c>
      <c r="HF24" s="59" t="str">
        <f t="shared" si="63"/>
        <v>Y</v>
      </c>
      <c r="HG24" s="59" t="str">
        <f t="shared" si="64"/>
        <v>Y</v>
      </c>
      <c r="HH24" s="59" t="str">
        <f t="shared" si="65"/>
        <v>Y</v>
      </c>
      <c r="HI24" s="59" t="str">
        <f t="shared" si="66"/>
        <v>Y</v>
      </c>
      <c r="HJ24" s="68" t="str">
        <f t="shared" si="67"/>
        <v>Y</v>
      </c>
      <c r="HK24" s="59">
        <v>1</v>
      </c>
      <c r="HL24" s="68">
        <v>1</v>
      </c>
    </row>
    <row r="25" spans="1:220" ht="15.75" customHeight="1" x14ac:dyDescent="0.2">
      <c r="A25" s="69" t="s">
        <v>150</v>
      </c>
      <c r="B25" s="70">
        <v>2021</v>
      </c>
      <c r="C25" s="70">
        <v>88</v>
      </c>
      <c r="D25" s="70">
        <v>88</v>
      </c>
      <c r="E25" s="59">
        <v>56</v>
      </c>
      <c r="F25" s="70">
        <v>56</v>
      </c>
      <c r="G25" s="70" t="s">
        <v>59</v>
      </c>
      <c r="H25" s="70" t="s">
        <v>59</v>
      </c>
      <c r="I25" s="70" t="s">
        <v>59</v>
      </c>
      <c r="J25" s="70" t="s">
        <v>59</v>
      </c>
      <c r="K25" s="70" t="s">
        <v>151</v>
      </c>
      <c r="L25" s="59" t="s">
        <v>151</v>
      </c>
      <c r="M25" s="59" t="s">
        <v>59</v>
      </c>
      <c r="N25" s="59" t="s">
        <v>59</v>
      </c>
      <c r="O25" s="59" t="s">
        <v>59</v>
      </c>
      <c r="P25" s="59" t="s">
        <v>59</v>
      </c>
      <c r="Q25" s="59" t="s">
        <v>59</v>
      </c>
      <c r="R25" s="59" t="s">
        <v>59</v>
      </c>
      <c r="S25" s="59" t="s">
        <v>59</v>
      </c>
      <c r="T25" s="59" t="s">
        <v>59</v>
      </c>
      <c r="U25" s="70">
        <v>0</v>
      </c>
      <c r="V25" s="70">
        <v>0</v>
      </c>
      <c r="W25" s="70">
        <v>144</v>
      </c>
      <c r="X25" s="70">
        <v>144</v>
      </c>
      <c r="Y25" s="70">
        <v>0</v>
      </c>
      <c r="Z25" s="70">
        <v>0</v>
      </c>
      <c r="AA25" s="70">
        <v>0</v>
      </c>
      <c r="AB25" s="70">
        <v>0</v>
      </c>
      <c r="AC25" s="59" t="s">
        <v>101</v>
      </c>
      <c r="AD25" s="59" t="s">
        <v>102</v>
      </c>
      <c r="AE25" s="70" t="s">
        <v>102</v>
      </c>
      <c r="AF25" s="70" t="s">
        <v>103</v>
      </c>
      <c r="AG25" s="70" t="s">
        <v>86</v>
      </c>
      <c r="AH25" s="70" t="s">
        <v>86</v>
      </c>
      <c r="AI25" s="70" t="s">
        <v>85</v>
      </c>
      <c r="AJ25" s="70" t="s">
        <v>85</v>
      </c>
      <c r="AK25" s="70" t="s">
        <v>85</v>
      </c>
      <c r="AL25" s="70" t="s">
        <v>85</v>
      </c>
      <c r="AM25" s="70" t="s">
        <v>59</v>
      </c>
      <c r="AN25" s="70" t="s">
        <v>59</v>
      </c>
      <c r="AO25" s="70" t="s">
        <v>59</v>
      </c>
      <c r="AP25" s="70" t="s">
        <v>59</v>
      </c>
      <c r="AQ25" s="70" t="s">
        <v>59</v>
      </c>
      <c r="AR25" s="70" t="s">
        <v>59</v>
      </c>
      <c r="AS25" s="71"/>
      <c r="AT25" s="72" t="s">
        <v>59</v>
      </c>
      <c r="AU25" s="71"/>
      <c r="AV25" s="72" t="s">
        <v>59</v>
      </c>
      <c r="AW25" s="71"/>
      <c r="AX25" s="72" t="s">
        <v>59</v>
      </c>
      <c r="AY25" s="70">
        <v>144</v>
      </c>
      <c r="AZ25" s="70">
        <v>144</v>
      </c>
      <c r="BA25" s="70">
        <v>17</v>
      </c>
      <c r="BB25" s="70">
        <v>17</v>
      </c>
      <c r="BC25" s="70" t="s">
        <v>95</v>
      </c>
      <c r="BD25" s="70" t="s">
        <v>95</v>
      </c>
      <c r="BE25" s="70">
        <f t="shared" si="68"/>
        <v>17</v>
      </c>
      <c r="BF25" s="70">
        <f t="shared" si="69"/>
        <v>17</v>
      </c>
      <c r="BG25" s="70">
        <f t="shared" si="0"/>
        <v>0</v>
      </c>
      <c r="BH25" s="70">
        <f t="shared" si="1"/>
        <v>0</v>
      </c>
      <c r="BI25" s="70">
        <v>10</v>
      </c>
      <c r="BJ25" s="70">
        <v>10</v>
      </c>
      <c r="BK25" s="70">
        <v>0</v>
      </c>
      <c r="BL25" s="70">
        <v>0</v>
      </c>
      <c r="BM25" s="70">
        <v>0</v>
      </c>
      <c r="BN25" s="70">
        <v>0</v>
      </c>
      <c r="BO25" s="70">
        <v>0</v>
      </c>
      <c r="BP25" s="70">
        <v>0</v>
      </c>
      <c r="BQ25" s="70">
        <v>0</v>
      </c>
      <c r="BR25" s="70">
        <v>0</v>
      </c>
      <c r="BS25" s="70">
        <v>1</v>
      </c>
      <c r="BT25" s="70">
        <v>1</v>
      </c>
      <c r="BU25" s="70">
        <v>0</v>
      </c>
      <c r="BV25" s="70">
        <v>0</v>
      </c>
      <c r="BW25" s="70">
        <v>0</v>
      </c>
      <c r="BX25" s="70">
        <v>0</v>
      </c>
      <c r="BY25" s="70">
        <v>2</v>
      </c>
      <c r="BZ25" s="70">
        <v>2</v>
      </c>
      <c r="CA25" s="70">
        <v>0</v>
      </c>
      <c r="CB25" s="70">
        <v>0</v>
      </c>
      <c r="CC25" s="70">
        <v>2</v>
      </c>
      <c r="CD25" s="70">
        <v>2</v>
      </c>
      <c r="CE25" s="70">
        <v>0</v>
      </c>
      <c r="CF25" s="70">
        <v>0</v>
      </c>
      <c r="CG25" s="70">
        <v>0</v>
      </c>
      <c r="CH25" s="70">
        <v>0</v>
      </c>
      <c r="CI25" s="70">
        <v>0</v>
      </c>
      <c r="CJ25" s="70">
        <v>0</v>
      </c>
      <c r="CK25" s="70">
        <v>2</v>
      </c>
      <c r="CL25" s="70">
        <v>2</v>
      </c>
      <c r="CM25" s="70">
        <v>0</v>
      </c>
      <c r="CN25" s="70">
        <v>0</v>
      </c>
      <c r="CO25" s="70">
        <v>0</v>
      </c>
      <c r="CP25" s="70">
        <v>0</v>
      </c>
      <c r="CQ25" s="70" t="s">
        <v>121</v>
      </c>
      <c r="CR25" s="70" t="s">
        <v>121</v>
      </c>
      <c r="CS25" s="70" t="s">
        <v>88</v>
      </c>
      <c r="CT25" s="70" t="s">
        <v>88</v>
      </c>
      <c r="CU25" s="70">
        <v>0</v>
      </c>
      <c r="CV25" s="70">
        <v>0</v>
      </c>
      <c r="CW25" s="70" t="s">
        <v>121</v>
      </c>
      <c r="CX25" s="70" t="s">
        <v>121</v>
      </c>
      <c r="CY25" s="70" t="s">
        <v>88</v>
      </c>
      <c r="CZ25" s="70" t="s">
        <v>88</v>
      </c>
      <c r="DA25" s="70" t="s">
        <v>88</v>
      </c>
      <c r="DB25" s="70" t="s">
        <v>88</v>
      </c>
      <c r="DC25" s="70" t="s">
        <v>59</v>
      </c>
      <c r="DD25" s="70" t="s">
        <v>59</v>
      </c>
      <c r="DE25" s="70" t="s">
        <v>88</v>
      </c>
      <c r="DF25" s="70" t="s">
        <v>88</v>
      </c>
      <c r="DG25" s="70" t="s">
        <v>59</v>
      </c>
      <c r="DH25" s="70" t="s">
        <v>59</v>
      </c>
      <c r="DI25" s="70" t="s">
        <v>88</v>
      </c>
      <c r="DJ25" s="70" t="s">
        <v>88</v>
      </c>
      <c r="DK25" s="70" t="s">
        <v>59</v>
      </c>
      <c r="DL25" s="70" t="s">
        <v>59</v>
      </c>
      <c r="DM25" s="70" t="s">
        <v>59</v>
      </c>
      <c r="DN25" s="59" t="s">
        <v>59</v>
      </c>
      <c r="DO25" s="70" t="s">
        <v>59</v>
      </c>
      <c r="DP25" s="70" t="s">
        <v>59</v>
      </c>
      <c r="DQ25" s="70" t="s">
        <v>59</v>
      </c>
      <c r="DR25" s="70" t="s">
        <v>59</v>
      </c>
      <c r="DS25" s="70" t="s">
        <v>340</v>
      </c>
      <c r="DT25" s="70" t="s">
        <v>340</v>
      </c>
      <c r="DU25" s="70" t="s">
        <v>323</v>
      </c>
      <c r="DV25" s="70" t="s">
        <v>324</v>
      </c>
      <c r="DW25" s="70" t="s">
        <v>104</v>
      </c>
      <c r="DX25" s="70" t="s">
        <v>104</v>
      </c>
      <c r="DY25" s="70">
        <v>1</v>
      </c>
      <c r="DZ25" s="70">
        <v>1</v>
      </c>
      <c r="EA25" s="70">
        <v>1</v>
      </c>
      <c r="EB25" s="70">
        <v>1</v>
      </c>
      <c r="EC25" s="70">
        <v>1</v>
      </c>
      <c r="ED25" s="70">
        <v>1</v>
      </c>
      <c r="EE25" s="70">
        <v>1</v>
      </c>
      <c r="EF25" s="70">
        <v>1</v>
      </c>
      <c r="EG25" s="70">
        <v>1</v>
      </c>
      <c r="EH25" s="70">
        <v>1</v>
      </c>
      <c r="EI25" s="70">
        <v>1</v>
      </c>
      <c r="EJ25" s="70">
        <v>1</v>
      </c>
      <c r="EK25" s="70">
        <v>1</v>
      </c>
      <c r="EL25" s="70">
        <v>1</v>
      </c>
      <c r="EM25" s="70">
        <v>1</v>
      </c>
      <c r="EN25" s="70">
        <v>1</v>
      </c>
      <c r="EO25" s="70">
        <v>1</v>
      </c>
      <c r="EP25" s="70">
        <v>1</v>
      </c>
      <c r="EQ25" s="70">
        <v>1</v>
      </c>
      <c r="ER25" s="70">
        <v>1</v>
      </c>
      <c r="ES25" s="70">
        <f t="shared" si="72"/>
        <v>10</v>
      </c>
      <c r="ET25" s="70">
        <f t="shared" si="72"/>
        <v>10</v>
      </c>
      <c r="EU25" s="74" t="s">
        <v>150</v>
      </c>
      <c r="EV25" s="66">
        <v>2021</v>
      </c>
      <c r="EW25" s="59" t="str">
        <f t="shared" si="2"/>
        <v>Y</v>
      </c>
      <c r="EX25" s="59" t="str">
        <f t="shared" si="3"/>
        <v>Y</v>
      </c>
      <c r="EY25" s="59" t="str">
        <f t="shared" si="4"/>
        <v>Y</v>
      </c>
      <c r="EZ25" s="59" t="str">
        <f t="shared" si="5"/>
        <v>Y</v>
      </c>
      <c r="FA25" s="59" t="str">
        <f t="shared" si="6"/>
        <v>Y</v>
      </c>
      <c r="FB25" s="59" t="str">
        <f t="shared" si="71"/>
        <v>Y</v>
      </c>
      <c r="FC25" s="59" t="str">
        <f t="shared" si="8"/>
        <v>Y</v>
      </c>
      <c r="FD25" s="59" t="str">
        <f t="shared" si="9"/>
        <v>Y</v>
      </c>
      <c r="FE25" s="59" t="str">
        <f t="shared" si="10"/>
        <v>Y</v>
      </c>
      <c r="FF25" s="59" t="str">
        <f t="shared" si="11"/>
        <v>Y</v>
      </c>
      <c r="FG25" s="59" t="str">
        <f t="shared" si="12"/>
        <v>Y</v>
      </c>
      <c r="FH25" s="59" t="str">
        <f t="shared" si="13"/>
        <v>Y</v>
      </c>
      <c r="FI25" s="59" t="str">
        <f t="shared" si="14"/>
        <v>Y</v>
      </c>
      <c r="FJ25" s="59" t="str">
        <f t="shared" si="15"/>
        <v>Y</v>
      </c>
      <c r="FK25" s="59" t="str">
        <f t="shared" si="16"/>
        <v>Y</v>
      </c>
      <c r="FL25" s="59" t="str">
        <f t="shared" si="17"/>
        <v>Y</v>
      </c>
      <c r="FM25" s="59" t="str">
        <f t="shared" si="18"/>
        <v>Y</v>
      </c>
      <c r="FN25" s="59" t="str">
        <f t="shared" si="19"/>
        <v>Y</v>
      </c>
      <c r="FO25" s="59" t="str">
        <f t="shared" si="20"/>
        <v>Y</v>
      </c>
      <c r="FP25" s="59" t="str">
        <f t="shared" si="21"/>
        <v>Y</v>
      </c>
      <c r="FQ25" s="59" t="str">
        <f t="shared" si="22"/>
        <v>Y</v>
      </c>
      <c r="FR25" s="59" t="str">
        <f t="shared" si="23"/>
        <v>Y</v>
      </c>
      <c r="FS25" s="59" t="str">
        <f t="shared" si="24"/>
        <v>Y</v>
      </c>
      <c r="FT25" s="59" t="str">
        <f t="shared" si="25"/>
        <v>Y</v>
      </c>
      <c r="FU25" s="59" t="str">
        <f t="shared" si="26"/>
        <v>Y</v>
      </c>
      <c r="FV25" s="59" t="str">
        <f t="shared" si="27"/>
        <v>Y</v>
      </c>
      <c r="FW25" s="59" t="str">
        <f t="shared" si="28"/>
        <v>Y</v>
      </c>
      <c r="FX25" s="59" t="str">
        <f t="shared" si="29"/>
        <v>Y</v>
      </c>
      <c r="FY25" s="59" t="str">
        <f t="shared" si="30"/>
        <v>Y</v>
      </c>
      <c r="FZ25" s="59" t="str">
        <f t="shared" si="31"/>
        <v>Y</v>
      </c>
      <c r="GA25" s="59" t="str">
        <f t="shared" si="32"/>
        <v>Y</v>
      </c>
      <c r="GB25" s="59" t="str">
        <f t="shared" si="33"/>
        <v>Y</v>
      </c>
      <c r="GC25" s="59" t="str">
        <f t="shared" si="34"/>
        <v>Y</v>
      </c>
      <c r="GD25" s="59" t="str">
        <f t="shared" si="35"/>
        <v>Y</v>
      </c>
      <c r="GE25" s="59" t="str">
        <f t="shared" si="36"/>
        <v>Y</v>
      </c>
      <c r="GF25" s="59" t="str">
        <f t="shared" si="37"/>
        <v>Y</v>
      </c>
      <c r="GG25" s="59" t="str">
        <f t="shared" si="38"/>
        <v>Y</v>
      </c>
      <c r="GH25" s="59" t="str">
        <f t="shared" si="39"/>
        <v>Y</v>
      </c>
      <c r="GI25" s="59" t="str">
        <f t="shared" si="40"/>
        <v>Y</v>
      </c>
      <c r="GJ25" s="59" t="str">
        <f t="shared" si="41"/>
        <v>Y</v>
      </c>
      <c r="GK25" s="59" t="str">
        <f t="shared" si="42"/>
        <v>Y</v>
      </c>
      <c r="GL25" s="59" t="str">
        <f t="shared" si="43"/>
        <v>Y</v>
      </c>
      <c r="GM25" s="59" t="str">
        <f t="shared" si="44"/>
        <v>Y</v>
      </c>
      <c r="GN25" s="59" t="str">
        <f t="shared" si="45"/>
        <v>Y</v>
      </c>
      <c r="GO25" s="59" t="str">
        <f t="shared" si="46"/>
        <v>Y</v>
      </c>
      <c r="GP25" s="59" t="str">
        <f t="shared" si="47"/>
        <v>Y</v>
      </c>
      <c r="GQ25" s="59" t="str">
        <f t="shared" si="48"/>
        <v>Y</v>
      </c>
      <c r="GR25" s="59" t="str">
        <f t="shared" si="49"/>
        <v>Y</v>
      </c>
      <c r="GS25" s="59" t="str">
        <f t="shared" si="50"/>
        <v>Y</v>
      </c>
      <c r="GT25" s="59" t="str">
        <f t="shared" si="51"/>
        <v>Y</v>
      </c>
      <c r="GU25" s="59" t="str">
        <f t="shared" si="52"/>
        <v>Y</v>
      </c>
      <c r="GV25" s="59" t="str">
        <f t="shared" si="53"/>
        <v>Y</v>
      </c>
      <c r="GW25" s="59" t="str">
        <f t="shared" si="54"/>
        <v>Y</v>
      </c>
      <c r="GX25" s="59" t="str">
        <f t="shared" si="55"/>
        <v>Y</v>
      </c>
      <c r="GY25" s="59" t="str">
        <f t="shared" si="56"/>
        <v>Y</v>
      </c>
      <c r="GZ25" s="59" t="str">
        <f t="shared" si="57"/>
        <v>Y</v>
      </c>
      <c r="HA25" s="59" t="str">
        <f t="shared" si="58"/>
        <v>Y</v>
      </c>
      <c r="HB25" s="59" t="str">
        <f t="shared" si="59"/>
        <v>Y</v>
      </c>
      <c r="HC25" s="59" t="str">
        <f t="shared" si="60"/>
        <v>Y</v>
      </c>
      <c r="HD25" s="59" t="str">
        <f t="shared" si="61"/>
        <v>Y</v>
      </c>
      <c r="HE25" s="59" t="str">
        <f t="shared" si="62"/>
        <v>Y</v>
      </c>
      <c r="HF25" s="59" t="str">
        <f t="shared" si="63"/>
        <v>Y</v>
      </c>
      <c r="HG25" s="59" t="str">
        <f t="shared" si="64"/>
        <v>Y</v>
      </c>
      <c r="HH25" s="59" t="str">
        <f t="shared" si="65"/>
        <v>Y</v>
      </c>
      <c r="HI25" s="59" t="str">
        <f t="shared" si="66"/>
        <v>Y</v>
      </c>
      <c r="HJ25" s="68" t="str">
        <f t="shared" si="67"/>
        <v>Y</v>
      </c>
      <c r="HK25" s="59"/>
      <c r="HL25" s="68"/>
    </row>
    <row r="26" spans="1:220" ht="15.75" customHeight="1" x14ac:dyDescent="0.2">
      <c r="A26" s="69" t="s">
        <v>152</v>
      </c>
      <c r="B26" s="70">
        <v>2010</v>
      </c>
      <c r="C26" s="70">
        <v>308</v>
      </c>
      <c r="D26" s="70">
        <v>308</v>
      </c>
      <c r="E26" s="59">
        <v>231</v>
      </c>
      <c r="F26" s="70">
        <v>231</v>
      </c>
      <c r="G26" s="70" t="s">
        <v>59</v>
      </c>
      <c r="H26" s="70" t="s">
        <v>59</v>
      </c>
      <c r="I26" s="70" t="s">
        <v>59</v>
      </c>
      <c r="J26" s="70" t="s">
        <v>59</v>
      </c>
      <c r="K26" s="70" t="s">
        <v>59</v>
      </c>
      <c r="L26" s="59" t="s">
        <v>59</v>
      </c>
      <c r="M26" s="59" t="s">
        <v>59</v>
      </c>
      <c r="N26" s="59" t="s">
        <v>59</v>
      </c>
      <c r="O26" s="59">
        <v>534</v>
      </c>
      <c r="P26" s="59">
        <v>534</v>
      </c>
      <c r="Q26" s="59" t="s">
        <v>59</v>
      </c>
      <c r="R26" s="59" t="s">
        <v>59</v>
      </c>
      <c r="S26" s="59">
        <v>5</v>
      </c>
      <c r="T26" s="59">
        <v>5</v>
      </c>
      <c r="U26" s="70" t="s">
        <v>59</v>
      </c>
      <c r="V26" s="70" t="s">
        <v>59</v>
      </c>
      <c r="W26" s="70" t="s">
        <v>59</v>
      </c>
      <c r="X26" s="70" t="s">
        <v>59</v>
      </c>
      <c r="Y26" s="70" t="s">
        <v>59</v>
      </c>
      <c r="Z26" s="70" t="s">
        <v>59</v>
      </c>
      <c r="AA26" s="70" t="s">
        <v>59</v>
      </c>
      <c r="AB26" s="70" t="s">
        <v>59</v>
      </c>
      <c r="AC26" s="90" t="s">
        <v>131</v>
      </c>
      <c r="AD26" s="59" t="s">
        <v>126</v>
      </c>
      <c r="AE26" s="70" t="s">
        <v>126</v>
      </c>
      <c r="AF26" s="70" t="s">
        <v>103</v>
      </c>
      <c r="AG26" s="70" t="s">
        <v>85</v>
      </c>
      <c r="AH26" s="70" t="s">
        <v>85</v>
      </c>
      <c r="AI26" s="70" t="s">
        <v>86</v>
      </c>
      <c r="AJ26" s="70" t="s">
        <v>86</v>
      </c>
      <c r="AK26" s="70" t="s">
        <v>86</v>
      </c>
      <c r="AL26" s="70" t="s">
        <v>86</v>
      </c>
      <c r="AM26" s="70">
        <v>540</v>
      </c>
      <c r="AN26" s="70">
        <v>540</v>
      </c>
      <c r="AO26" s="70">
        <v>0</v>
      </c>
      <c r="AP26" s="70">
        <v>0</v>
      </c>
      <c r="AQ26" s="70">
        <v>0</v>
      </c>
      <c r="AR26" s="70">
        <v>0</v>
      </c>
      <c r="AS26" s="71" t="s">
        <v>59</v>
      </c>
      <c r="AT26" s="72" t="s">
        <v>59</v>
      </c>
      <c r="AU26" s="71" t="s">
        <v>59</v>
      </c>
      <c r="AV26" s="72" t="s">
        <v>59</v>
      </c>
      <c r="AW26" s="71" t="s">
        <v>59</v>
      </c>
      <c r="AX26" s="72" t="s">
        <v>59</v>
      </c>
      <c r="AY26" s="70">
        <v>540</v>
      </c>
      <c r="AZ26" s="70">
        <v>540</v>
      </c>
      <c r="BA26" s="70">
        <v>87</v>
      </c>
      <c r="BB26" s="70">
        <v>87</v>
      </c>
      <c r="BC26" s="70" t="s">
        <v>99</v>
      </c>
      <c r="BD26" s="70" t="s">
        <v>99</v>
      </c>
      <c r="BE26" s="70">
        <f t="shared" si="68"/>
        <v>41</v>
      </c>
      <c r="BF26" s="70">
        <f t="shared" si="69"/>
        <v>41</v>
      </c>
      <c r="BG26" s="70">
        <f t="shared" si="0"/>
        <v>46</v>
      </c>
      <c r="BH26" s="70">
        <f t="shared" si="1"/>
        <v>46</v>
      </c>
      <c r="BI26" s="70" t="s">
        <v>87</v>
      </c>
      <c r="BJ26" s="70" t="s">
        <v>87</v>
      </c>
      <c r="BK26" s="70" t="s">
        <v>87</v>
      </c>
      <c r="BL26" s="70" t="s">
        <v>87</v>
      </c>
      <c r="BM26" s="70">
        <v>46</v>
      </c>
      <c r="BN26" s="70">
        <v>46</v>
      </c>
      <c r="BO26" s="70" t="s">
        <v>87</v>
      </c>
      <c r="BP26" s="70" t="s">
        <v>87</v>
      </c>
      <c r="BQ26" s="70" t="s">
        <v>87</v>
      </c>
      <c r="BR26" s="70" t="s">
        <v>87</v>
      </c>
      <c r="BS26" s="70" t="s">
        <v>87</v>
      </c>
      <c r="BT26" s="70" t="s">
        <v>87</v>
      </c>
      <c r="BU26" s="70" t="s">
        <v>87</v>
      </c>
      <c r="BV26" s="70" t="s">
        <v>87</v>
      </c>
      <c r="BW26" s="70" t="s">
        <v>87</v>
      </c>
      <c r="BX26" s="70" t="s">
        <v>87</v>
      </c>
      <c r="BY26" s="70" t="s">
        <v>87</v>
      </c>
      <c r="BZ26" s="70" t="s">
        <v>87</v>
      </c>
      <c r="CA26" s="70" t="s">
        <v>87</v>
      </c>
      <c r="CB26" s="70" t="s">
        <v>87</v>
      </c>
      <c r="CC26" s="70" t="s">
        <v>87</v>
      </c>
      <c r="CD26" s="70" t="s">
        <v>87</v>
      </c>
      <c r="CE26" s="70" t="s">
        <v>87</v>
      </c>
      <c r="CF26" s="70" t="s">
        <v>87</v>
      </c>
      <c r="CG26" s="70" t="s">
        <v>87</v>
      </c>
      <c r="CH26" s="70" t="s">
        <v>87</v>
      </c>
      <c r="CI26" s="70" t="s">
        <v>87</v>
      </c>
      <c r="CJ26" s="70" t="s">
        <v>87</v>
      </c>
      <c r="CK26" s="70" t="s">
        <v>87</v>
      </c>
      <c r="CL26" s="70" t="s">
        <v>87</v>
      </c>
      <c r="CM26" s="70" t="s">
        <v>87</v>
      </c>
      <c r="CN26" s="70" t="s">
        <v>87</v>
      </c>
      <c r="CO26" s="70">
        <v>41</v>
      </c>
      <c r="CP26" s="70">
        <v>41</v>
      </c>
      <c r="CQ26" s="70" t="s">
        <v>59</v>
      </c>
      <c r="CR26" s="70" t="s">
        <v>59</v>
      </c>
      <c r="CS26" s="70" t="s">
        <v>59</v>
      </c>
      <c r="CT26" s="70" t="s">
        <v>59</v>
      </c>
      <c r="CU26" s="70" t="s">
        <v>59</v>
      </c>
      <c r="CV26" s="70" t="s">
        <v>59</v>
      </c>
      <c r="CW26" s="70" t="s">
        <v>59</v>
      </c>
      <c r="CX26" s="70" t="s">
        <v>59</v>
      </c>
      <c r="CY26" s="70" t="s">
        <v>59</v>
      </c>
      <c r="CZ26" s="70" t="s">
        <v>59</v>
      </c>
      <c r="DA26" s="70" t="s">
        <v>59</v>
      </c>
      <c r="DB26" s="70" t="s">
        <v>59</v>
      </c>
      <c r="DC26" s="70" t="s">
        <v>59</v>
      </c>
      <c r="DD26" s="70" t="s">
        <v>59</v>
      </c>
      <c r="DE26" s="70" t="s">
        <v>59</v>
      </c>
      <c r="DF26" s="70" t="s">
        <v>59</v>
      </c>
      <c r="DG26" s="70" t="s">
        <v>59</v>
      </c>
      <c r="DH26" s="70" t="s">
        <v>59</v>
      </c>
      <c r="DI26" s="70" t="s">
        <v>59</v>
      </c>
      <c r="DJ26" s="70" t="s">
        <v>59</v>
      </c>
      <c r="DK26" s="70" t="s">
        <v>59</v>
      </c>
      <c r="DL26" s="70" t="s">
        <v>59</v>
      </c>
      <c r="DM26" s="70" t="s">
        <v>59</v>
      </c>
      <c r="DN26" s="59" t="s">
        <v>59</v>
      </c>
      <c r="DO26" s="70" t="s">
        <v>59</v>
      </c>
      <c r="DP26" s="70" t="s">
        <v>59</v>
      </c>
      <c r="DQ26" s="70" t="s">
        <v>59</v>
      </c>
      <c r="DR26" s="70" t="s">
        <v>59</v>
      </c>
      <c r="DS26" s="70" t="s">
        <v>305</v>
      </c>
      <c r="DT26" s="70" t="s">
        <v>305</v>
      </c>
      <c r="DU26" s="70" t="s">
        <v>323</v>
      </c>
      <c r="DV26" s="70" t="s">
        <v>323</v>
      </c>
      <c r="DW26" s="70" t="s">
        <v>104</v>
      </c>
      <c r="DX26" s="70" t="s">
        <v>104</v>
      </c>
      <c r="DY26" s="70">
        <v>1</v>
      </c>
      <c r="DZ26" s="70">
        <v>1</v>
      </c>
      <c r="EA26" s="70">
        <v>1</v>
      </c>
      <c r="EB26" s="70">
        <v>1</v>
      </c>
      <c r="EC26" s="70">
        <v>1</v>
      </c>
      <c r="ED26" s="70">
        <v>1</v>
      </c>
      <c r="EE26" s="70">
        <v>0</v>
      </c>
      <c r="EF26" s="70">
        <v>0</v>
      </c>
      <c r="EG26" s="70">
        <v>1</v>
      </c>
      <c r="EH26" s="70">
        <v>1</v>
      </c>
      <c r="EI26" s="70">
        <v>0</v>
      </c>
      <c r="EJ26" s="70">
        <v>0</v>
      </c>
      <c r="EK26" s="70">
        <v>0</v>
      </c>
      <c r="EL26" s="70">
        <v>0</v>
      </c>
      <c r="EM26" s="70">
        <v>0</v>
      </c>
      <c r="EN26" s="70">
        <v>0</v>
      </c>
      <c r="EO26" s="70">
        <v>1</v>
      </c>
      <c r="EP26" s="70">
        <v>1</v>
      </c>
      <c r="EQ26" s="70">
        <v>1</v>
      </c>
      <c r="ER26" s="70">
        <v>1</v>
      </c>
      <c r="ES26" s="70">
        <f t="shared" si="72"/>
        <v>6</v>
      </c>
      <c r="ET26" s="70">
        <f t="shared" si="72"/>
        <v>6</v>
      </c>
      <c r="EU26" s="74" t="s">
        <v>152</v>
      </c>
      <c r="EV26" s="66">
        <v>2010</v>
      </c>
      <c r="EW26" s="59" t="str">
        <f t="shared" si="2"/>
        <v>Y</v>
      </c>
      <c r="EX26" s="59" t="str">
        <f t="shared" si="3"/>
        <v>Y</v>
      </c>
      <c r="EY26" s="59" t="str">
        <f t="shared" si="4"/>
        <v>Y</v>
      </c>
      <c r="EZ26" s="59" t="str">
        <f t="shared" si="5"/>
        <v>Y</v>
      </c>
      <c r="FA26" s="59" t="str">
        <f t="shared" si="6"/>
        <v>Y</v>
      </c>
      <c r="FB26" s="59" t="str">
        <f t="shared" si="71"/>
        <v>Y</v>
      </c>
      <c r="FC26" s="59" t="str">
        <f t="shared" si="8"/>
        <v>Y</v>
      </c>
      <c r="FD26" s="59" t="str">
        <f t="shared" si="9"/>
        <v>Y</v>
      </c>
      <c r="FE26" s="59" t="str">
        <f t="shared" si="10"/>
        <v>Y</v>
      </c>
      <c r="FF26" s="59" t="str">
        <f t="shared" si="11"/>
        <v>Y</v>
      </c>
      <c r="FG26" s="59" t="str">
        <f t="shared" si="12"/>
        <v>Y</v>
      </c>
      <c r="FH26" s="59" t="str">
        <f t="shared" si="13"/>
        <v>Y</v>
      </c>
      <c r="FI26" s="59" t="str">
        <f t="shared" si="14"/>
        <v>Y</v>
      </c>
      <c r="FJ26" s="59" t="str">
        <f t="shared" si="15"/>
        <v>Y</v>
      </c>
      <c r="FK26" s="59" t="str">
        <f t="shared" si="16"/>
        <v>Y</v>
      </c>
      <c r="FL26" s="59" t="str">
        <f t="shared" si="17"/>
        <v>Y</v>
      </c>
      <c r="FM26" s="59" t="str">
        <f t="shared" si="18"/>
        <v>Y</v>
      </c>
      <c r="FN26" s="59" t="str">
        <f t="shared" si="19"/>
        <v>Y</v>
      </c>
      <c r="FO26" s="59" t="str">
        <f t="shared" si="20"/>
        <v>Y</v>
      </c>
      <c r="FP26" s="59" t="str">
        <f t="shared" si="21"/>
        <v>Y</v>
      </c>
      <c r="FQ26" s="59" t="str">
        <f t="shared" si="22"/>
        <v>Y</v>
      </c>
      <c r="FR26" s="59" t="str">
        <f t="shared" si="23"/>
        <v>Y</v>
      </c>
      <c r="FS26" s="59" t="str">
        <f t="shared" si="24"/>
        <v>Y</v>
      </c>
      <c r="FT26" s="59" t="str">
        <f t="shared" si="25"/>
        <v>Y</v>
      </c>
      <c r="FU26" s="59" t="str">
        <f t="shared" si="26"/>
        <v>Y</v>
      </c>
      <c r="FV26" s="59" t="str">
        <f t="shared" si="27"/>
        <v>Y</v>
      </c>
      <c r="FW26" s="59" t="str">
        <f t="shared" si="28"/>
        <v>Y</v>
      </c>
      <c r="FX26" s="59" t="str">
        <f t="shared" si="29"/>
        <v>Y</v>
      </c>
      <c r="FY26" s="59" t="str">
        <f t="shared" si="30"/>
        <v>Y</v>
      </c>
      <c r="FZ26" s="59" t="str">
        <f t="shared" si="31"/>
        <v>Y</v>
      </c>
      <c r="GA26" s="59" t="str">
        <f t="shared" si="32"/>
        <v>Y</v>
      </c>
      <c r="GB26" s="59" t="str">
        <f t="shared" si="33"/>
        <v>Y</v>
      </c>
      <c r="GC26" s="59" t="str">
        <f t="shared" si="34"/>
        <v>Y</v>
      </c>
      <c r="GD26" s="59" t="str">
        <f t="shared" si="35"/>
        <v>Y</v>
      </c>
      <c r="GE26" s="59" t="str">
        <f t="shared" si="36"/>
        <v>Y</v>
      </c>
      <c r="GF26" s="59" t="str">
        <f t="shared" si="37"/>
        <v>Y</v>
      </c>
      <c r="GG26" s="59" t="str">
        <f t="shared" si="38"/>
        <v>Y</v>
      </c>
      <c r="GH26" s="59" t="str">
        <f t="shared" si="39"/>
        <v>Y</v>
      </c>
      <c r="GI26" s="59" t="str">
        <f t="shared" si="40"/>
        <v>Y</v>
      </c>
      <c r="GJ26" s="59" t="str">
        <f t="shared" si="41"/>
        <v>Y</v>
      </c>
      <c r="GK26" s="59" t="str">
        <f t="shared" si="42"/>
        <v>Y</v>
      </c>
      <c r="GL26" s="59" t="str">
        <f t="shared" si="43"/>
        <v>Y</v>
      </c>
      <c r="GM26" s="59" t="str">
        <f t="shared" si="44"/>
        <v>Y</v>
      </c>
      <c r="GN26" s="59" t="str">
        <f t="shared" si="45"/>
        <v>Y</v>
      </c>
      <c r="GO26" s="59" t="str">
        <f t="shared" si="46"/>
        <v>Y</v>
      </c>
      <c r="GP26" s="59" t="str">
        <f t="shared" si="47"/>
        <v>Y</v>
      </c>
      <c r="GQ26" s="59" t="str">
        <f t="shared" si="48"/>
        <v>Y</v>
      </c>
      <c r="GR26" s="59" t="str">
        <f t="shared" si="49"/>
        <v>Y</v>
      </c>
      <c r="GS26" s="59" t="str">
        <f t="shared" si="50"/>
        <v>Y</v>
      </c>
      <c r="GT26" s="59" t="str">
        <f t="shared" si="51"/>
        <v>Y</v>
      </c>
      <c r="GU26" s="59" t="str">
        <f t="shared" si="52"/>
        <v>Y</v>
      </c>
      <c r="GV26" s="59" t="str">
        <f t="shared" si="53"/>
        <v>Y</v>
      </c>
      <c r="GW26" s="59" t="str">
        <f t="shared" si="54"/>
        <v>Y</v>
      </c>
      <c r="GX26" s="59" t="str">
        <f t="shared" si="55"/>
        <v>Y</v>
      </c>
      <c r="GY26" s="59" t="str">
        <f t="shared" si="56"/>
        <v>Y</v>
      </c>
      <c r="GZ26" s="59" t="str">
        <f t="shared" si="57"/>
        <v>Y</v>
      </c>
      <c r="HA26" s="59" t="str">
        <f t="shared" si="58"/>
        <v>Y</v>
      </c>
      <c r="HB26" s="59" t="str">
        <f t="shared" si="59"/>
        <v>Y</v>
      </c>
      <c r="HC26" s="59" t="str">
        <f t="shared" si="60"/>
        <v>Y</v>
      </c>
      <c r="HD26" s="59" t="str">
        <f t="shared" si="61"/>
        <v>Y</v>
      </c>
      <c r="HE26" s="59" t="str">
        <f t="shared" si="62"/>
        <v>Y</v>
      </c>
      <c r="HF26" s="59" t="str">
        <f t="shared" si="63"/>
        <v>Y</v>
      </c>
      <c r="HG26" s="59" t="str">
        <f t="shared" si="64"/>
        <v>Y</v>
      </c>
      <c r="HH26" s="59" t="str">
        <f t="shared" si="65"/>
        <v>Y</v>
      </c>
      <c r="HI26" s="59" t="str">
        <f t="shared" si="66"/>
        <v>Y</v>
      </c>
      <c r="HJ26" s="68" t="str">
        <f t="shared" si="67"/>
        <v>Y</v>
      </c>
      <c r="HK26" s="59">
        <v>1</v>
      </c>
      <c r="HL26" s="68">
        <v>1</v>
      </c>
    </row>
    <row r="27" spans="1:220" ht="15.75" customHeight="1" x14ac:dyDescent="0.2">
      <c r="A27" s="69" t="s">
        <v>325</v>
      </c>
      <c r="B27" s="70">
        <v>2006</v>
      </c>
      <c r="C27" s="70">
        <v>214</v>
      </c>
      <c r="D27" s="70">
        <v>214</v>
      </c>
      <c r="E27" s="59">
        <v>88</v>
      </c>
      <c r="F27" s="70">
        <v>88</v>
      </c>
      <c r="G27" s="70" t="s">
        <v>59</v>
      </c>
      <c r="H27" s="70" t="s">
        <v>59</v>
      </c>
      <c r="I27" s="70" t="s">
        <v>59</v>
      </c>
      <c r="J27" s="70" t="s">
        <v>59</v>
      </c>
      <c r="K27" s="70">
        <v>28.5</v>
      </c>
      <c r="L27" s="59">
        <v>28.5</v>
      </c>
      <c r="M27" s="59">
        <v>148</v>
      </c>
      <c r="N27" s="59">
        <v>148</v>
      </c>
      <c r="O27" s="59" t="s">
        <v>59</v>
      </c>
      <c r="P27" s="59" t="s">
        <v>59</v>
      </c>
      <c r="Q27" s="59">
        <v>0</v>
      </c>
      <c r="R27" s="59">
        <v>0</v>
      </c>
      <c r="S27" s="59">
        <v>154</v>
      </c>
      <c r="T27" s="59">
        <v>154</v>
      </c>
      <c r="U27" s="70">
        <v>302</v>
      </c>
      <c r="V27" s="70">
        <v>302</v>
      </c>
      <c r="W27" s="70">
        <v>0</v>
      </c>
      <c r="X27" s="70">
        <v>0</v>
      </c>
      <c r="Y27" s="70">
        <v>0</v>
      </c>
      <c r="Z27" s="70">
        <v>0</v>
      </c>
      <c r="AA27" s="70">
        <v>0</v>
      </c>
      <c r="AB27" s="70">
        <v>0</v>
      </c>
      <c r="AC27" s="90" t="s">
        <v>343</v>
      </c>
      <c r="AD27" s="59" t="s">
        <v>83</v>
      </c>
      <c r="AE27" s="70" t="s">
        <v>83</v>
      </c>
      <c r="AF27" s="70" t="s">
        <v>84</v>
      </c>
      <c r="AG27" s="70" t="s">
        <v>85</v>
      </c>
      <c r="AH27" s="70" t="s">
        <v>85</v>
      </c>
      <c r="AI27" s="70" t="s">
        <v>86</v>
      </c>
      <c r="AJ27" s="70" t="s">
        <v>86</v>
      </c>
      <c r="AK27" s="70" t="s">
        <v>86</v>
      </c>
      <c r="AL27" s="70" t="s">
        <v>86</v>
      </c>
      <c r="AM27" s="70">
        <v>302</v>
      </c>
      <c r="AN27" s="70">
        <v>302</v>
      </c>
      <c r="AO27" s="70">
        <v>0</v>
      </c>
      <c r="AP27" s="70">
        <v>0</v>
      </c>
      <c r="AQ27" s="70">
        <v>0</v>
      </c>
      <c r="AR27" s="70">
        <v>0</v>
      </c>
      <c r="AS27" s="71" t="s">
        <v>59</v>
      </c>
      <c r="AT27" s="72" t="s">
        <v>59</v>
      </c>
      <c r="AU27" s="71" t="s">
        <v>59</v>
      </c>
      <c r="AV27" s="72" t="s">
        <v>59</v>
      </c>
      <c r="AW27" s="71" t="s">
        <v>59</v>
      </c>
      <c r="AX27" s="72" t="s">
        <v>59</v>
      </c>
      <c r="AY27" s="70">
        <v>302</v>
      </c>
      <c r="AZ27" s="70">
        <v>302</v>
      </c>
      <c r="BA27" s="70">
        <v>53</v>
      </c>
      <c r="BB27" s="70">
        <v>53</v>
      </c>
      <c r="BC27" s="70" t="s">
        <v>99</v>
      </c>
      <c r="BD27" s="70" t="s">
        <v>99</v>
      </c>
      <c r="BE27" s="70">
        <f t="shared" si="68"/>
        <v>0</v>
      </c>
      <c r="BF27" s="70">
        <f t="shared" si="69"/>
        <v>0</v>
      </c>
      <c r="BG27" s="70">
        <f t="shared" si="0"/>
        <v>53</v>
      </c>
      <c r="BH27" s="70">
        <f t="shared" si="1"/>
        <v>53</v>
      </c>
      <c r="BI27" s="70" t="s">
        <v>87</v>
      </c>
      <c r="BJ27" s="70" t="s">
        <v>87</v>
      </c>
      <c r="BK27" s="70" t="s">
        <v>87</v>
      </c>
      <c r="BL27" s="70" t="s">
        <v>87</v>
      </c>
      <c r="BM27" s="70">
        <v>53</v>
      </c>
      <c r="BN27" s="70">
        <v>53</v>
      </c>
      <c r="BO27" s="70" t="s">
        <v>87</v>
      </c>
      <c r="BP27" s="70" t="s">
        <v>87</v>
      </c>
      <c r="BQ27" s="70" t="s">
        <v>87</v>
      </c>
      <c r="BR27" s="70" t="s">
        <v>87</v>
      </c>
      <c r="BS27" s="70" t="s">
        <v>87</v>
      </c>
      <c r="BT27" s="70" t="s">
        <v>87</v>
      </c>
      <c r="BU27" s="70" t="s">
        <v>87</v>
      </c>
      <c r="BV27" s="70" t="s">
        <v>87</v>
      </c>
      <c r="BW27" s="70" t="s">
        <v>87</v>
      </c>
      <c r="BX27" s="70" t="s">
        <v>87</v>
      </c>
      <c r="BY27" s="70" t="s">
        <v>87</v>
      </c>
      <c r="BZ27" s="70" t="s">
        <v>87</v>
      </c>
      <c r="CA27" s="70" t="s">
        <v>87</v>
      </c>
      <c r="CB27" s="70" t="s">
        <v>87</v>
      </c>
      <c r="CC27" s="70" t="s">
        <v>87</v>
      </c>
      <c r="CD27" s="70" t="s">
        <v>87</v>
      </c>
      <c r="CE27" s="70" t="s">
        <v>87</v>
      </c>
      <c r="CF27" s="70" t="s">
        <v>87</v>
      </c>
      <c r="CG27" s="70" t="s">
        <v>87</v>
      </c>
      <c r="CH27" s="70" t="s">
        <v>87</v>
      </c>
      <c r="CI27" s="70" t="s">
        <v>87</v>
      </c>
      <c r="CJ27" s="70" t="s">
        <v>87</v>
      </c>
      <c r="CK27" s="70" t="s">
        <v>87</v>
      </c>
      <c r="CL27" s="70" t="s">
        <v>87</v>
      </c>
      <c r="CM27" s="70" t="s">
        <v>87</v>
      </c>
      <c r="CN27" s="70" t="s">
        <v>87</v>
      </c>
      <c r="CO27" s="70" t="s">
        <v>87</v>
      </c>
      <c r="CP27" s="70" t="s">
        <v>87</v>
      </c>
      <c r="CQ27" s="70" t="s">
        <v>59</v>
      </c>
      <c r="CR27" s="70" t="s">
        <v>59</v>
      </c>
      <c r="CS27" s="70" t="s">
        <v>59</v>
      </c>
      <c r="CT27" s="70" t="s">
        <v>59</v>
      </c>
      <c r="CU27" s="70" t="s">
        <v>59</v>
      </c>
      <c r="CV27" s="70" t="s">
        <v>59</v>
      </c>
      <c r="CW27" s="70" t="s">
        <v>59</v>
      </c>
      <c r="CX27" s="70" t="s">
        <v>59</v>
      </c>
      <c r="CY27" s="70" t="s">
        <v>59</v>
      </c>
      <c r="CZ27" s="70" t="s">
        <v>59</v>
      </c>
      <c r="DA27" s="70" t="s">
        <v>59</v>
      </c>
      <c r="DB27" s="70" t="s">
        <v>59</v>
      </c>
      <c r="DC27" s="70" t="s">
        <v>88</v>
      </c>
      <c r="DD27" s="70" t="s">
        <v>88</v>
      </c>
      <c r="DE27" s="70" t="s">
        <v>88</v>
      </c>
      <c r="DF27" s="70" t="s">
        <v>88</v>
      </c>
      <c r="DG27" s="70" t="s">
        <v>86</v>
      </c>
      <c r="DH27" s="70" t="s">
        <v>86</v>
      </c>
      <c r="DI27" s="70" t="s">
        <v>86</v>
      </c>
      <c r="DJ27" s="70" t="s">
        <v>86</v>
      </c>
      <c r="DK27" s="70" t="s">
        <v>59</v>
      </c>
      <c r="DL27" s="70" t="s">
        <v>59</v>
      </c>
      <c r="DM27" s="70" t="s">
        <v>59</v>
      </c>
      <c r="DN27" s="59" t="s">
        <v>59</v>
      </c>
      <c r="DO27" s="70" t="s">
        <v>59</v>
      </c>
      <c r="DP27" s="70" t="s">
        <v>59</v>
      </c>
      <c r="DQ27" s="70" t="s">
        <v>59</v>
      </c>
      <c r="DR27" s="70" t="s">
        <v>59</v>
      </c>
      <c r="DS27" s="70" t="s">
        <v>305</v>
      </c>
      <c r="DT27" s="70" t="s">
        <v>305</v>
      </c>
      <c r="DU27" s="70" t="s">
        <v>89</v>
      </c>
      <c r="DV27" s="70" t="s">
        <v>89</v>
      </c>
      <c r="DW27" s="70" t="s">
        <v>90</v>
      </c>
      <c r="DX27" s="70" t="s">
        <v>90</v>
      </c>
      <c r="DY27" s="70">
        <v>1</v>
      </c>
      <c r="DZ27" s="70">
        <v>1</v>
      </c>
      <c r="EA27" s="70">
        <v>0</v>
      </c>
      <c r="EB27" s="70">
        <v>0</v>
      </c>
      <c r="EC27" s="70">
        <v>1</v>
      </c>
      <c r="ED27" s="70">
        <v>1</v>
      </c>
      <c r="EE27" s="70">
        <v>1</v>
      </c>
      <c r="EF27" s="70">
        <v>1</v>
      </c>
      <c r="EG27" s="70">
        <v>1</v>
      </c>
      <c r="EH27" s="70">
        <v>1</v>
      </c>
      <c r="EI27" s="70">
        <v>1</v>
      </c>
      <c r="EJ27" s="70">
        <v>1</v>
      </c>
      <c r="EK27" s="70">
        <v>1</v>
      </c>
      <c r="EL27" s="70">
        <v>1</v>
      </c>
      <c r="EM27" s="70">
        <v>1</v>
      </c>
      <c r="EN27" s="70">
        <v>1</v>
      </c>
      <c r="EO27" s="70">
        <v>1</v>
      </c>
      <c r="EP27" s="70">
        <v>1</v>
      </c>
      <c r="EQ27" s="70">
        <v>1</v>
      </c>
      <c r="ER27" s="70">
        <v>1</v>
      </c>
      <c r="ES27" s="70">
        <v>9</v>
      </c>
      <c r="ET27" s="70">
        <v>9</v>
      </c>
      <c r="EU27" s="74"/>
      <c r="EV27" s="66"/>
      <c r="EW27" s="59" t="str">
        <f t="shared" si="2"/>
        <v>Y</v>
      </c>
      <c r="EX27" s="59" t="str">
        <f t="shared" si="3"/>
        <v>Y</v>
      </c>
      <c r="EY27" s="59" t="str">
        <f t="shared" si="4"/>
        <v>Y</v>
      </c>
      <c r="EZ27" s="59" t="str">
        <f t="shared" si="5"/>
        <v>Y</v>
      </c>
      <c r="FA27" s="59" t="str">
        <f t="shared" si="6"/>
        <v>Y</v>
      </c>
      <c r="FB27" s="59" t="str">
        <f t="shared" si="71"/>
        <v>Y</v>
      </c>
      <c r="FC27" s="59" t="str">
        <f t="shared" si="8"/>
        <v>Y</v>
      </c>
      <c r="FD27" s="59" t="str">
        <f t="shared" si="9"/>
        <v>Y</v>
      </c>
      <c r="FE27" s="59" t="str">
        <f t="shared" si="10"/>
        <v>Y</v>
      </c>
      <c r="FF27" s="59" t="str">
        <f t="shared" si="11"/>
        <v>Y</v>
      </c>
      <c r="FG27" s="59" t="str">
        <f t="shared" si="12"/>
        <v>Y</v>
      </c>
      <c r="FH27" s="59" t="str">
        <f t="shared" si="13"/>
        <v>Y</v>
      </c>
      <c r="FI27" s="59" t="str">
        <f t="shared" si="14"/>
        <v>Y</v>
      </c>
      <c r="FJ27" s="59" t="str">
        <f t="shared" si="15"/>
        <v>Y</v>
      </c>
      <c r="FK27" s="59" t="str">
        <f t="shared" si="16"/>
        <v>Y</v>
      </c>
      <c r="FL27" s="59" t="str">
        <f t="shared" si="17"/>
        <v>Y</v>
      </c>
      <c r="FM27" s="59" t="str">
        <f t="shared" si="18"/>
        <v>Y</v>
      </c>
      <c r="FN27" s="59" t="str">
        <f t="shared" si="19"/>
        <v>Y</v>
      </c>
      <c r="FO27" s="59" t="str">
        <f t="shared" si="20"/>
        <v>Y</v>
      </c>
      <c r="FP27" s="59" t="str">
        <f t="shared" si="21"/>
        <v>Y</v>
      </c>
      <c r="FQ27" s="59" t="str">
        <f t="shared" si="22"/>
        <v>Y</v>
      </c>
      <c r="FR27" s="59" t="str">
        <f t="shared" si="23"/>
        <v>Y</v>
      </c>
      <c r="FS27" s="59" t="str">
        <f t="shared" si="24"/>
        <v>Y</v>
      </c>
      <c r="FT27" s="59" t="str">
        <f t="shared" si="25"/>
        <v>Y</v>
      </c>
      <c r="FU27" s="59" t="str">
        <f t="shared" si="26"/>
        <v>Y</v>
      </c>
      <c r="FV27" s="59" t="str">
        <f t="shared" si="27"/>
        <v>Y</v>
      </c>
      <c r="FW27" s="59" t="str">
        <f t="shared" si="28"/>
        <v>Y</v>
      </c>
      <c r="FX27" s="59" t="str">
        <f t="shared" si="29"/>
        <v>Y</v>
      </c>
      <c r="FY27" s="59" t="str">
        <f t="shared" si="30"/>
        <v>Y</v>
      </c>
      <c r="FZ27" s="59" t="str">
        <f t="shared" si="31"/>
        <v>Y</v>
      </c>
      <c r="GA27" s="59" t="str">
        <f t="shared" si="32"/>
        <v>Y</v>
      </c>
      <c r="GB27" s="59" t="str">
        <f t="shared" si="33"/>
        <v>Y</v>
      </c>
      <c r="GC27" s="59" t="str">
        <f t="shared" si="34"/>
        <v>Y</v>
      </c>
      <c r="GD27" s="59" t="str">
        <f t="shared" si="35"/>
        <v>Y</v>
      </c>
      <c r="GE27" s="59" t="str">
        <f t="shared" si="36"/>
        <v>Y</v>
      </c>
      <c r="GF27" s="59" t="str">
        <f t="shared" si="37"/>
        <v>Y</v>
      </c>
      <c r="GG27" s="59" t="str">
        <f t="shared" si="38"/>
        <v>Y</v>
      </c>
      <c r="GH27" s="59" t="str">
        <f t="shared" si="39"/>
        <v>Y</v>
      </c>
      <c r="GI27" s="59" t="str">
        <f t="shared" si="40"/>
        <v>Y</v>
      </c>
      <c r="GJ27" s="59" t="str">
        <f t="shared" si="41"/>
        <v>Y</v>
      </c>
      <c r="GK27" s="59" t="str">
        <f t="shared" si="42"/>
        <v>Y</v>
      </c>
      <c r="GL27" s="59" t="str">
        <f t="shared" si="43"/>
        <v>Y</v>
      </c>
      <c r="GM27" s="59" t="str">
        <f t="shared" si="44"/>
        <v>Y</v>
      </c>
      <c r="GN27" s="59" t="str">
        <f t="shared" si="45"/>
        <v>Y</v>
      </c>
      <c r="GO27" s="59" t="str">
        <f t="shared" si="46"/>
        <v>Y</v>
      </c>
      <c r="GP27" s="59" t="str">
        <f t="shared" si="47"/>
        <v>Y</v>
      </c>
      <c r="GQ27" s="59" t="str">
        <f t="shared" si="48"/>
        <v>Y</v>
      </c>
      <c r="GR27" s="59" t="str">
        <f t="shared" si="49"/>
        <v>Y</v>
      </c>
      <c r="GS27" s="59" t="str">
        <f t="shared" si="50"/>
        <v>Y</v>
      </c>
      <c r="GT27" s="59" t="str">
        <f t="shared" si="51"/>
        <v>Y</v>
      </c>
      <c r="GU27" s="59" t="str">
        <f t="shared" si="52"/>
        <v>Y</v>
      </c>
      <c r="GV27" s="59" t="str">
        <f t="shared" si="53"/>
        <v>Y</v>
      </c>
      <c r="GW27" s="59" t="str">
        <f t="shared" si="54"/>
        <v>Y</v>
      </c>
      <c r="GX27" s="59" t="str">
        <f t="shared" si="55"/>
        <v>Y</v>
      </c>
      <c r="GY27" s="59" t="str">
        <f t="shared" si="56"/>
        <v>Y</v>
      </c>
      <c r="GZ27" s="59" t="str">
        <f t="shared" si="57"/>
        <v>Y</v>
      </c>
      <c r="HA27" s="59" t="str">
        <f t="shared" si="58"/>
        <v>Y</v>
      </c>
      <c r="HB27" s="59" t="str">
        <f t="shared" si="59"/>
        <v>Y</v>
      </c>
      <c r="HC27" s="59" t="str">
        <f t="shared" si="60"/>
        <v>Y</v>
      </c>
      <c r="HD27" s="59" t="str">
        <f t="shared" si="61"/>
        <v>Y</v>
      </c>
      <c r="HE27" s="59" t="str">
        <f t="shared" si="62"/>
        <v>Y</v>
      </c>
      <c r="HF27" s="59" t="str">
        <f t="shared" si="63"/>
        <v>Y</v>
      </c>
      <c r="HG27" s="59" t="str">
        <f t="shared" si="64"/>
        <v>Y</v>
      </c>
      <c r="HH27" s="59" t="str">
        <f t="shared" si="65"/>
        <v>Y</v>
      </c>
      <c r="HI27" s="59" t="str">
        <f t="shared" si="66"/>
        <v>Y</v>
      </c>
      <c r="HJ27" s="68" t="str">
        <f t="shared" si="67"/>
        <v>Y</v>
      </c>
      <c r="HK27" s="59"/>
      <c r="HL27" s="68"/>
    </row>
    <row r="28" spans="1:220" ht="15.75" customHeight="1" x14ac:dyDescent="0.2">
      <c r="A28" s="69" t="s">
        <v>326</v>
      </c>
      <c r="B28" s="70">
        <v>2018</v>
      </c>
      <c r="C28" s="70">
        <v>66</v>
      </c>
      <c r="D28" s="70">
        <v>66</v>
      </c>
      <c r="E28" s="59">
        <v>47</v>
      </c>
      <c r="F28" s="70">
        <v>47</v>
      </c>
      <c r="G28" s="70" t="s">
        <v>59</v>
      </c>
      <c r="H28" s="70" t="s">
        <v>59</v>
      </c>
      <c r="I28" s="70" t="s">
        <v>59</v>
      </c>
      <c r="J28" s="70" t="s">
        <v>59</v>
      </c>
      <c r="K28" s="70">
        <v>26.2</v>
      </c>
      <c r="L28" s="59">
        <v>26.2</v>
      </c>
      <c r="M28" s="59" t="s">
        <v>59</v>
      </c>
      <c r="N28" s="59" t="s">
        <v>59</v>
      </c>
      <c r="O28" s="59" t="s">
        <v>59</v>
      </c>
      <c r="P28" s="59" t="s">
        <v>59</v>
      </c>
      <c r="Q28" s="59" t="s">
        <v>59</v>
      </c>
      <c r="R28" s="59" t="s">
        <v>59</v>
      </c>
      <c r="S28" s="59" t="s">
        <v>59</v>
      </c>
      <c r="T28" s="59" t="s">
        <v>59</v>
      </c>
      <c r="U28" s="70">
        <v>0</v>
      </c>
      <c r="V28" s="70">
        <v>0</v>
      </c>
      <c r="W28" s="70">
        <v>113</v>
      </c>
      <c r="X28" s="70">
        <v>113</v>
      </c>
      <c r="Y28" s="70">
        <v>0</v>
      </c>
      <c r="Z28" s="70">
        <v>0</v>
      </c>
      <c r="AA28" s="70">
        <v>0</v>
      </c>
      <c r="AB28" s="70">
        <v>0</v>
      </c>
      <c r="AC28" s="90" t="s">
        <v>101</v>
      </c>
      <c r="AD28" s="59" t="s">
        <v>112</v>
      </c>
      <c r="AE28" s="70" t="s">
        <v>112</v>
      </c>
      <c r="AF28" s="70" t="s">
        <v>113</v>
      </c>
      <c r="AG28" s="70" t="s">
        <v>327</v>
      </c>
      <c r="AH28" s="70" t="s">
        <v>85</v>
      </c>
      <c r="AI28" s="70" t="s">
        <v>86</v>
      </c>
      <c r="AJ28" s="70" t="s">
        <v>86</v>
      </c>
      <c r="AK28" s="70" t="s">
        <v>86</v>
      </c>
      <c r="AL28" s="70" t="s">
        <v>86</v>
      </c>
      <c r="AM28" s="70">
        <v>113</v>
      </c>
      <c r="AN28" s="70">
        <v>113</v>
      </c>
      <c r="AO28" s="70">
        <v>0</v>
      </c>
      <c r="AP28" s="70">
        <v>0</v>
      </c>
      <c r="AQ28" s="70">
        <v>0</v>
      </c>
      <c r="AR28" s="70">
        <v>0</v>
      </c>
      <c r="AS28" s="71">
        <v>30</v>
      </c>
      <c r="AT28" s="71">
        <v>30</v>
      </c>
      <c r="AU28" s="71" t="s">
        <v>59</v>
      </c>
      <c r="AV28" s="72" t="s">
        <v>59</v>
      </c>
      <c r="AW28" s="71" t="s">
        <v>59</v>
      </c>
      <c r="AX28" s="72" t="s">
        <v>59</v>
      </c>
      <c r="AY28" s="70">
        <v>113</v>
      </c>
      <c r="AZ28" s="70">
        <v>113</v>
      </c>
      <c r="BA28" s="70">
        <v>24</v>
      </c>
      <c r="BB28" s="70">
        <v>24</v>
      </c>
      <c r="BC28" s="70" t="s">
        <v>95</v>
      </c>
      <c r="BD28" s="70" t="s">
        <v>95</v>
      </c>
      <c r="BE28" s="70">
        <f t="shared" si="68"/>
        <v>6</v>
      </c>
      <c r="BF28" s="70">
        <f t="shared" si="69"/>
        <v>6</v>
      </c>
      <c r="BG28" s="70">
        <f t="shared" si="0"/>
        <v>18</v>
      </c>
      <c r="BH28" s="70">
        <f t="shared" si="1"/>
        <v>18</v>
      </c>
      <c r="BI28" s="70">
        <v>6</v>
      </c>
      <c r="BJ28" s="70">
        <v>6</v>
      </c>
      <c r="BK28" s="70">
        <v>0</v>
      </c>
      <c r="BL28" s="70">
        <v>0</v>
      </c>
      <c r="BM28" s="70">
        <v>18</v>
      </c>
      <c r="BN28" s="70">
        <v>18</v>
      </c>
      <c r="BO28" s="70">
        <v>0</v>
      </c>
      <c r="BP28" s="70">
        <v>0</v>
      </c>
      <c r="BQ28" s="70">
        <v>0</v>
      </c>
      <c r="BR28" s="70">
        <v>0</v>
      </c>
      <c r="BS28" s="70">
        <v>0</v>
      </c>
      <c r="BT28" s="70">
        <v>0</v>
      </c>
      <c r="BU28" s="70">
        <v>0</v>
      </c>
      <c r="BV28" s="70">
        <v>0</v>
      </c>
      <c r="BW28" s="70">
        <v>0</v>
      </c>
      <c r="BX28" s="70">
        <v>0</v>
      </c>
      <c r="BY28" s="70">
        <v>0</v>
      </c>
      <c r="BZ28" s="70">
        <v>0</v>
      </c>
      <c r="CA28" s="70">
        <v>0</v>
      </c>
      <c r="CB28" s="70">
        <v>0</v>
      </c>
      <c r="CC28" s="70">
        <v>0</v>
      </c>
      <c r="CD28" s="70">
        <v>0</v>
      </c>
      <c r="CE28" s="70">
        <v>0</v>
      </c>
      <c r="CF28" s="70">
        <v>0</v>
      </c>
      <c r="CG28" s="70">
        <v>0</v>
      </c>
      <c r="CH28" s="70">
        <v>0</v>
      </c>
      <c r="CI28" s="70">
        <v>0</v>
      </c>
      <c r="CJ28" s="70">
        <v>0</v>
      </c>
      <c r="CK28" s="70">
        <v>0</v>
      </c>
      <c r="CL28" s="70">
        <v>0</v>
      </c>
      <c r="CM28" s="70">
        <v>0</v>
      </c>
      <c r="CN28" s="70">
        <v>0</v>
      </c>
      <c r="CO28" s="70">
        <v>0</v>
      </c>
      <c r="CP28" s="70">
        <v>0</v>
      </c>
      <c r="CQ28" s="70" t="s">
        <v>285</v>
      </c>
      <c r="CR28" s="70" t="s">
        <v>285</v>
      </c>
      <c r="CS28" s="70" t="s">
        <v>285</v>
      </c>
      <c r="CT28" s="70" t="s">
        <v>285</v>
      </c>
      <c r="CU28" s="70" t="s">
        <v>59</v>
      </c>
      <c r="CV28" s="70" t="s">
        <v>59</v>
      </c>
      <c r="CW28" s="70" t="s">
        <v>108</v>
      </c>
      <c r="CX28" s="70" t="s">
        <v>108</v>
      </c>
      <c r="CY28" s="70" t="s">
        <v>285</v>
      </c>
      <c r="CZ28" s="70" t="s">
        <v>285</v>
      </c>
      <c r="DA28" s="70" t="s">
        <v>280</v>
      </c>
      <c r="DB28" s="70" t="s">
        <v>280</v>
      </c>
      <c r="DC28" s="70" t="s">
        <v>59</v>
      </c>
      <c r="DD28" s="70" t="s">
        <v>59</v>
      </c>
      <c r="DE28" s="70" t="s">
        <v>280</v>
      </c>
      <c r="DF28" s="70" t="s">
        <v>280</v>
      </c>
      <c r="DG28" s="70" t="s">
        <v>59</v>
      </c>
      <c r="DH28" s="70" t="s">
        <v>59</v>
      </c>
      <c r="DI28" s="70" t="s">
        <v>59</v>
      </c>
      <c r="DJ28" s="70" t="s">
        <v>59</v>
      </c>
      <c r="DK28" s="70" t="s">
        <v>59</v>
      </c>
      <c r="DL28" s="70" t="s">
        <v>59</v>
      </c>
      <c r="DM28" s="70" t="s">
        <v>59</v>
      </c>
      <c r="DN28" s="59" t="s">
        <v>59</v>
      </c>
      <c r="DO28" s="70" t="s">
        <v>328</v>
      </c>
      <c r="DP28" s="70" t="s">
        <v>328</v>
      </c>
      <c r="DQ28" s="70" t="s">
        <v>59</v>
      </c>
      <c r="DR28" s="70" t="s">
        <v>59</v>
      </c>
      <c r="DS28" s="70" t="s">
        <v>305</v>
      </c>
      <c r="DT28" s="70" t="s">
        <v>305</v>
      </c>
      <c r="DU28" s="70" t="s">
        <v>59</v>
      </c>
      <c r="DV28" s="70" t="s">
        <v>59</v>
      </c>
      <c r="DW28" s="70" t="s">
        <v>104</v>
      </c>
      <c r="DX28" s="70" t="s">
        <v>104</v>
      </c>
      <c r="DY28" s="70">
        <v>1</v>
      </c>
      <c r="DZ28" s="70">
        <v>1</v>
      </c>
      <c r="EA28" s="70">
        <v>1</v>
      </c>
      <c r="EB28" s="70">
        <v>1</v>
      </c>
      <c r="EC28" s="70">
        <v>1</v>
      </c>
      <c r="ED28" s="70">
        <v>1</v>
      </c>
      <c r="EE28" s="70">
        <v>1</v>
      </c>
      <c r="EF28" s="70">
        <v>1</v>
      </c>
      <c r="EG28" s="70">
        <v>1</v>
      </c>
      <c r="EH28" s="70">
        <v>1</v>
      </c>
      <c r="EI28" s="70">
        <v>1</v>
      </c>
      <c r="EJ28" s="70">
        <v>1</v>
      </c>
      <c r="EK28" s="70">
        <v>1</v>
      </c>
      <c r="EL28" s="70">
        <v>1</v>
      </c>
      <c r="EM28" s="70">
        <v>1</v>
      </c>
      <c r="EN28" s="70">
        <v>1</v>
      </c>
      <c r="EO28" s="70">
        <v>1</v>
      </c>
      <c r="EP28" s="70">
        <v>1</v>
      </c>
      <c r="EQ28" s="70">
        <v>1</v>
      </c>
      <c r="ER28" s="70">
        <v>1</v>
      </c>
      <c r="ES28" s="70">
        <v>10</v>
      </c>
      <c r="ET28" s="70">
        <v>10</v>
      </c>
      <c r="EU28" s="74"/>
      <c r="EV28" s="66"/>
      <c r="EW28" s="59" t="str">
        <f t="shared" si="2"/>
        <v>Y</v>
      </c>
      <c r="EX28" s="59" t="str">
        <f t="shared" si="3"/>
        <v>Y</v>
      </c>
      <c r="EY28" s="59" t="str">
        <f t="shared" si="4"/>
        <v>Y</v>
      </c>
      <c r="EZ28" s="59" t="str">
        <f t="shared" si="5"/>
        <v>Y</v>
      </c>
      <c r="FA28" s="59" t="str">
        <f t="shared" si="6"/>
        <v>Y</v>
      </c>
      <c r="FB28" s="59" t="str">
        <f t="shared" si="71"/>
        <v>Y</v>
      </c>
      <c r="FC28" s="59" t="str">
        <f t="shared" si="8"/>
        <v>Y</v>
      </c>
      <c r="FD28" s="59" t="str">
        <f t="shared" si="9"/>
        <v>Y</v>
      </c>
      <c r="FE28" s="59" t="str">
        <f t="shared" si="10"/>
        <v>Y</v>
      </c>
      <c r="FF28" s="59" t="str">
        <f t="shared" si="11"/>
        <v>Y</v>
      </c>
      <c r="FG28" s="59" t="str">
        <f t="shared" si="12"/>
        <v>Y</v>
      </c>
      <c r="FH28" s="59" t="str">
        <f t="shared" si="13"/>
        <v>Y</v>
      </c>
      <c r="FI28" s="59" t="str">
        <f t="shared" si="14"/>
        <v>Y</v>
      </c>
      <c r="FJ28" s="59" t="str">
        <f t="shared" si="15"/>
        <v>Y</v>
      </c>
      <c r="FK28" s="59" t="str">
        <f t="shared" si="16"/>
        <v>Y</v>
      </c>
      <c r="FL28" s="59" t="str">
        <f t="shared" si="17"/>
        <v>Y</v>
      </c>
      <c r="FM28" s="59" t="str">
        <f t="shared" si="18"/>
        <v>Y</v>
      </c>
      <c r="FN28" s="59" t="str">
        <f t="shared" si="19"/>
        <v>Y</v>
      </c>
      <c r="FO28" s="59" t="str">
        <f t="shared" si="20"/>
        <v>Y</v>
      </c>
      <c r="FP28" s="59" t="str">
        <f t="shared" si="21"/>
        <v>Y</v>
      </c>
      <c r="FQ28" s="59" t="str">
        <f t="shared" si="22"/>
        <v>Y</v>
      </c>
      <c r="FR28" s="59" t="str">
        <f t="shared" si="23"/>
        <v>Y</v>
      </c>
      <c r="FS28" s="59" t="str">
        <f t="shared" si="24"/>
        <v>Y</v>
      </c>
      <c r="FT28" s="59" t="str">
        <f t="shared" si="25"/>
        <v>Y</v>
      </c>
      <c r="FU28" s="59" t="str">
        <f t="shared" si="26"/>
        <v>Y</v>
      </c>
      <c r="FV28" s="59" t="str">
        <f t="shared" si="27"/>
        <v>Y</v>
      </c>
      <c r="FW28" s="59" t="str">
        <f t="shared" si="28"/>
        <v>Y</v>
      </c>
      <c r="FX28" s="59" t="str">
        <f t="shared" si="29"/>
        <v>Y</v>
      </c>
      <c r="FY28" s="59" t="str">
        <f t="shared" si="30"/>
        <v>Y</v>
      </c>
      <c r="FZ28" s="59" t="str">
        <f t="shared" si="31"/>
        <v>Y</v>
      </c>
      <c r="GA28" s="59" t="str">
        <f t="shared" si="32"/>
        <v>Y</v>
      </c>
      <c r="GB28" s="59" t="str">
        <f t="shared" si="33"/>
        <v>Y</v>
      </c>
      <c r="GC28" s="59" t="str">
        <f t="shared" si="34"/>
        <v>Y</v>
      </c>
      <c r="GD28" s="59" t="str">
        <f t="shared" si="35"/>
        <v>Y</v>
      </c>
      <c r="GE28" s="59" t="str">
        <f t="shared" si="36"/>
        <v>Y</v>
      </c>
      <c r="GF28" s="59" t="str">
        <f t="shared" si="37"/>
        <v>Y</v>
      </c>
      <c r="GG28" s="59" t="str">
        <f t="shared" si="38"/>
        <v>Y</v>
      </c>
      <c r="GH28" s="59" t="str">
        <f t="shared" si="39"/>
        <v>Y</v>
      </c>
      <c r="GI28" s="59" t="str">
        <f t="shared" si="40"/>
        <v>Y</v>
      </c>
      <c r="GJ28" s="59" t="str">
        <f t="shared" si="41"/>
        <v>Y</v>
      </c>
      <c r="GK28" s="59" t="str">
        <f t="shared" si="42"/>
        <v>Y</v>
      </c>
      <c r="GL28" s="59" t="str">
        <f t="shared" si="43"/>
        <v>Y</v>
      </c>
      <c r="GM28" s="59" t="str">
        <f t="shared" si="44"/>
        <v>Y</v>
      </c>
      <c r="GN28" s="59" t="str">
        <f t="shared" si="45"/>
        <v>Y</v>
      </c>
      <c r="GO28" s="59" t="str">
        <f t="shared" si="46"/>
        <v>Y</v>
      </c>
      <c r="GP28" s="59" t="str">
        <f t="shared" si="47"/>
        <v>Y</v>
      </c>
      <c r="GQ28" s="59" t="str">
        <f t="shared" si="48"/>
        <v>Y</v>
      </c>
      <c r="GR28" s="59" t="str">
        <f t="shared" si="49"/>
        <v>Y</v>
      </c>
      <c r="GS28" s="59" t="str">
        <f t="shared" si="50"/>
        <v>Y</v>
      </c>
      <c r="GT28" s="59" t="str">
        <f t="shared" si="51"/>
        <v>Y</v>
      </c>
      <c r="GU28" s="59" t="str">
        <f t="shared" si="52"/>
        <v>Y</v>
      </c>
      <c r="GV28" s="59" t="str">
        <f t="shared" si="53"/>
        <v>Y</v>
      </c>
      <c r="GW28" s="59" t="str">
        <f t="shared" si="54"/>
        <v>Y</v>
      </c>
      <c r="GX28" s="59" t="str">
        <f t="shared" si="55"/>
        <v>Y</v>
      </c>
      <c r="GY28" s="59" t="str">
        <f t="shared" si="56"/>
        <v>Y</v>
      </c>
      <c r="GZ28" s="59" t="str">
        <f t="shared" si="57"/>
        <v>Y</v>
      </c>
      <c r="HA28" s="59" t="str">
        <f t="shared" si="58"/>
        <v>Y</v>
      </c>
      <c r="HB28" s="59" t="str">
        <f t="shared" si="59"/>
        <v>Y</v>
      </c>
      <c r="HC28" s="59" t="str">
        <f t="shared" si="60"/>
        <v>Y</v>
      </c>
      <c r="HD28" s="59" t="str">
        <f t="shared" si="61"/>
        <v>Y</v>
      </c>
      <c r="HE28" s="59" t="str">
        <f t="shared" si="62"/>
        <v>Y</v>
      </c>
      <c r="HF28" s="59" t="str">
        <f t="shared" si="63"/>
        <v>Y</v>
      </c>
      <c r="HG28" s="59" t="str">
        <f t="shared" si="64"/>
        <v>Y</v>
      </c>
      <c r="HH28" s="59" t="str">
        <f t="shared" si="65"/>
        <v>Y</v>
      </c>
      <c r="HI28" s="59" t="str">
        <f t="shared" si="66"/>
        <v>Y</v>
      </c>
      <c r="HJ28" s="68" t="str">
        <f t="shared" si="67"/>
        <v>Y</v>
      </c>
      <c r="HK28" s="59"/>
      <c r="HL28" s="68"/>
    </row>
    <row r="29" spans="1:220" ht="15.75" customHeight="1" x14ac:dyDescent="0.2">
      <c r="A29" s="69" t="s">
        <v>153</v>
      </c>
      <c r="B29" s="70">
        <v>1990</v>
      </c>
      <c r="C29" s="70">
        <v>100</v>
      </c>
      <c r="D29" s="70">
        <v>100</v>
      </c>
      <c r="E29" s="59">
        <v>0</v>
      </c>
      <c r="F29" s="70">
        <v>0</v>
      </c>
      <c r="G29" s="70" t="s">
        <v>59</v>
      </c>
      <c r="H29" s="70" t="s">
        <v>59</v>
      </c>
      <c r="I29" s="70" t="s">
        <v>59</v>
      </c>
      <c r="J29" s="70" t="s">
        <v>59</v>
      </c>
      <c r="K29" s="70">
        <v>28.2</v>
      </c>
      <c r="L29" s="59">
        <v>28.2</v>
      </c>
      <c r="M29" s="59">
        <v>100</v>
      </c>
      <c r="N29" s="59">
        <v>100</v>
      </c>
      <c r="O29" s="59">
        <v>0</v>
      </c>
      <c r="P29" s="59">
        <v>0</v>
      </c>
      <c r="Q29" s="59">
        <v>0</v>
      </c>
      <c r="R29" s="59">
        <v>0</v>
      </c>
      <c r="S29" s="59">
        <v>0</v>
      </c>
      <c r="T29" s="59">
        <v>0</v>
      </c>
      <c r="U29" s="70">
        <v>0</v>
      </c>
      <c r="V29" s="70">
        <v>0</v>
      </c>
      <c r="W29" s="70">
        <v>100</v>
      </c>
      <c r="X29" s="70">
        <v>100</v>
      </c>
      <c r="Y29" s="70">
        <v>0</v>
      </c>
      <c r="Z29" s="70">
        <v>0</v>
      </c>
      <c r="AA29" s="70">
        <v>0</v>
      </c>
      <c r="AB29" s="70">
        <v>0</v>
      </c>
      <c r="AC29" s="59" t="s">
        <v>101</v>
      </c>
      <c r="AD29" s="59" t="s">
        <v>106</v>
      </c>
      <c r="AE29" s="70" t="s">
        <v>106</v>
      </c>
      <c r="AF29" s="70" t="s">
        <v>107</v>
      </c>
      <c r="AG29" s="70" t="s">
        <v>85</v>
      </c>
      <c r="AH29" s="70" t="s">
        <v>85</v>
      </c>
      <c r="AI29" s="70" t="s">
        <v>86</v>
      </c>
      <c r="AJ29" s="70" t="s">
        <v>86</v>
      </c>
      <c r="AK29" s="70" t="s">
        <v>85</v>
      </c>
      <c r="AL29" s="70" t="s">
        <v>85</v>
      </c>
      <c r="AM29" s="70" t="s">
        <v>59</v>
      </c>
      <c r="AN29" s="70" t="s">
        <v>59</v>
      </c>
      <c r="AO29" s="70" t="s">
        <v>59</v>
      </c>
      <c r="AP29" s="70" t="s">
        <v>59</v>
      </c>
      <c r="AQ29" s="70" t="s">
        <v>59</v>
      </c>
      <c r="AR29" s="70" t="s">
        <v>59</v>
      </c>
      <c r="AS29" s="71" t="s">
        <v>59</v>
      </c>
      <c r="AT29" s="72" t="s">
        <v>59</v>
      </c>
      <c r="AU29" s="71" t="s">
        <v>59</v>
      </c>
      <c r="AV29" s="72" t="s">
        <v>59</v>
      </c>
      <c r="AW29" s="71" t="s">
        <v>59</v>
      </c>
      <c r="AX29" s="72" t="s">
        <v>59</v>
      </c>
      <c r="AY29" s="70">
        <v>70</v>
      </c>
      <c r="AZ29" s="70">
        <v>70</v>
      </c>
      <c r="BA29" s="70">
        <v>42</v>
      </c>
      <c r="BB29" s="70">
        <v>42</v>
      </c>
      <c r="BC29" s="70" t="s">
        <v>95</v>
      </c>
      <c r="BD29" s="70" t="s">
        <v>95</v>
      </c>
      <c r="BE29" s="70">
        <f t="shared" si="68"/>
        <v>0</v>
      </c>
      <c r="BF29" s="70">
        <f t="shared" si="69"/>
        <v>0</v>
      </c>
      <c r="BG29" s="70">
        <f t="shared" si="0"/>
        <v>42</v>
      </c>
      <c r="BH29" s="70">
        <f t="shared" si="1"/>
        <v>42</v>
      </c>
      <c r="BI29" s="70" t="s">
        <v>87</v>
      </c>
      <c r="BJ29" s="70" t="s">
        <v>87</v>
      </c>
      <c r="BK29" s="70" t="s">
        <v>87</v>
      </c>
      <c r="BL29" s="70" t="s">
        <v>87</v>
      </c>
      <c r="BM29" s="70">
        <v>42</v>
      </c>
      <c r="BN29" s="70">
        <v>42</v>
      </c>
      <c r="BO29" s="70" t="s">
        <v>87</v>
      </c>
      <c r="BP29" s="70" t="s">
        <v>87</v>
      </c>
      <c r="BQ29" s="70" t="s">
        <v>87</v>
      </c>
      <c r="BR29" s="70" t="s">
        <v>87</v>
      </c>
      <c r="BS29" s="70" t="s">
        <v>87</v>
      </c>
      <c r="BT29" s="70" t="s">
        <v>87</v>
      </c>
      <c r="BU29" s="70" t="s">
        <v>87</v>
      </c>
      <c r="BV29" s="70" t="s">
        <v>87</v>
      </c>
      <c r="BW29" s="70" t="s">
        <v>87</v>
      </c>
      <c r="BX29" s="70" t="s">
        <v>87</v>
      </c>
      <c r="BY29" s="70" t="s">
        <v>87</v>
      </c>
      <c r="BZ29" s="70" t="s">
        <v>87</v>
      </c>
      <c r="CA29" s="70" t="s">
        <v>87</v>
      </c>
      <c r="CB29" s="70" t="s">
        <v>87</v>
      </c>
      <c r="CC29" s="70" t="s">
        <v>87</v>
      </c>
      <c r="CD29" s="70" t="s">
        <v>87</v>
      </c>
      <c r="CE29" s="70" t="s">
        <v>87</v>
      </c>
      <c r="CF29" s="70" t="s">
        <v>87</v>
      </c>
      <c r="CG29" s="70" t="s">
        <v>87</v>
      </c>
      <c r="CH29" s="70" t="s">
        <v>87</v>
      </c>
      <c r="CI29" s="70" t="s">
        <v>87</v>
      </c>
      <c r="CJ29" s="70" t="s">
        <v>87</v>
      </c>
      <c r="CK29" s="70" t="s">
        <v>87</v>
      </c>
      <c r="CL29" s="70" t="s">
        <v>87</v>
      </c>
      <c r="CM29" s="70" t="s">
        <v>87</v>
      </c>
      <c r="CN29" s="70" t="s">
        <v>87</v>
      </c>
      <c r="CO29" s="70" t="s">
        <v>87</v>
      </c>
      <c r="CP29" s="70" t="s">
        <v>87</v>
      </c>
      <c r="CQ29" s="70">
        <v>0</v>
      </c>
      <c r="CR29" s="70">
        <v>0</v>
      </c>
      <c r="CS29" s="70">
        <v>0</v>
      </c>
      <c r="CT29" s="70">
        <v>0</v>
      </c>
      <c r="CU29" s="70">
        <v>0</v>
      </c>
      <c r="CV29" s="70">
        <v>0</v>
      </c>
      <c r="CW29" s="70" t="s">
        <v>121</v>
      </c>
      <c r="CX29" s="70" t="s">
        <v>121</v>
      </c>
      <c r="CY29" s="70">
        <v>0</v>
      </c>
      <c r="CZ29" s="70">
        <v>0</v>
      </c>
      <c r="DA29" s="70">
        <v>0</v>
      </c>
      <c r="DB29" s="70">
        <v>0</v>
      </c>
      <c r="DC29" s="70" t="s">
        <v>88</v>
      </c>
      <c r="DD29" s="70" t="s">
        <v>88</v>
      </c>
      <c r="DE29" s="70" t="s">
        <v>88</v>
      </c>
      <c r="DF29" s="70" t="s">
        <v>88</v>
      </c>
      <c r="DG29" s="70" t="s">
        <v>59</v>
      </c>
      <c r="DH29" s="70" t="s">
        <v>59</v>
      </c>
      <c r="DI29" s="70" t="s">
        <v>59</v>
      </c>
      <c r="DJ29" s="70" t="s">
        <v>59</v>
      </c>
      <c r="DK29" s="70" t="s">
        <v>59</v>
      </c>
      <c r="DL29" s="70" t="s">
        <v>59</v>
      </c>
      <c r="DM29" s="70" t="s">
        <v>59</v>
      </c>
      <c r="DN29" s="59" t="s">
        <v>59</v>
      </c>
      <c r="DO29" s="70" t="s">
        <v>59</v>
      </c>
      <c r="DP29" s="70" t="s">
        <v>59</v>
      </c>
      <c r="DQ29" s="70" t="s">
        <v>59</v>
      </c>
      <c r="DR29" s="70" t="s">
        <v>59</v>
      </c>
      <c r="DS29" s="70" t="s">
        <v>305</v>
      </c>
      <c r="DT29" s="70" t="s">
        <v>305</v>
      </c>
      <c r="DU29" s="70" t="s">
        <v>137</v>
      </c>
      <c r="DV29" s="70" t="s">
        <v>137</v>
      </c>
      <c r="DW29" s="70" t="s">
        <v>154</v>
      </c>
      <c r="DX29" s="70" t="s">
        <v>154</v>
      </c>
      <c r="DY29" s="70">
        <v>0</v>
      </c>
      <c r="DZ29" s="70">
        <v>0</v>
      </c>
      <c r="EA29" s="70">
        <v>1</v>
      </c>
      <c r="EB29" s="70">
        <v>1</v>
      </c>
      <c r="EC29" s="70">
        <v>1</v>
      </c>
      <c r="ED29" s="70">
        <v>1</v>
      </c>
      <c r="EE29" s="70">
        <v>1</v>
      </c>
      <c r="EF29" s="70">
        <v>1</v>
      </c>
      <c r="EG29" s="70">
        <v>1</v>
      </c>
      <c r="EH29" s="70">
        <v>1</v>
      </c>
      <c r="EI29" s="70">
        <v>1</v>
      </c>
      <c r="EJ29" s="70">
        <v>1</v>
      </c>
      <c r="EK29" s="70">
        <v>1</v>
      </c>
      <c r="EL29" s="70">
        <v>1</v>
      </c>
      <c r="EM29" s="70">
        <v>1</v>
      </c>
      <c r="EN29" s="70">
        <v>1</v>
      </c>
      <c r="EO29" s="70">
        <v>0</v>
      </c>
      <c r="EP29" s="70">
        <v>0</v>
      </c>
      <c r="EQ29" s="70">
        <v>1</v>
      </c>
      <c r="ER29" s="70">
        <v>1</v>
      </c>
      <c r="ES29" s="70">
        <f t="shared" ref="ES29:ET30" si="73">SUM(DY29,EA29,EC29,EE29,EG29,EI29,EK29,EM29,EO29,EQ29)</f>
        <v>8</v>
      </c>
      <c r="ET29" s="70">
        <f t="shared" si="73"/>
        <v>8</v>
      </c>
      <c r="EU29" s="74" t="s">
        <v>153</v>
      </c>
      <c r="EV29" s="66">
        <v>1990</v>
      </c>
      <c r="EW29" s="59" t="str">
        <f t="shared" si="2"/>
        <v>Y</v>
      </c>
      <c r="EX29" s="59" t="str">
        <f t="shared" si="3"/>
        <v>Y</v>
      </c>
      <c r="EY29" s="59" t="str">
        <f t="shared" si="4"/>
        <v>Y</v>
      </c>
      <c r="EZ29" s="59" t="str">
        <f t="shared" si="5"/>
        <v>Y</v>
      </c>
      <c r="FA29" s="59" t="str">
        <f t="shared" si="6"/>
        <v>Y</v>
      </c>
      <c r="FB29" s="59" t="str">
        <f t="shared" si="71"/>
        <v>Y</v>
      </c>
      <c r="FC29" s="59" t="str">
        <f t="shared" si="8"/>
        <v>Y</v>
      </c>
      <c r="FD29" s="59" t="str">
        <f t="shared" si="9"/>
        <v>Y</v>
      </c>
      <c r="FE29" s="59" t="str">
        <f t="shared" si="10"/>
        <v>Y</v>
      </c>
      <c r="FF29" s="59" t="str">
        <f t="shared" si="11"/>
        <v>Y</v>
      </c>
      <c r="FG29" s="59" t="str">
        <f t="shared" si="12"/>
        <v>Y</v>
      </c>
      <c r="FH29" s="59" t="str">
        <f t="shared" si="13"/>
        <v>Y</v>
      </c>
      <c r="FI29" s="59" t="str">
        <f t="shared" si="14"/>
        <v>Y</v>
      </c>
      <c r="FJ29" s="59" t="str">
        <f t="shared" si="15"/>
        <v>Y</v>
      </c>
      <c r="FK29" s="59" t="str">
        <f t="shared" si="16"/>
        <v>Y</v>
      </c>
      <c r="FL29" s="59" t="str">
        <f t="shared" si="17"/>
        <v>Y</v>
      </c>
      <c r="FM29" s="59" t="str">
        <f t="shared" si="18"/>
        <v>Y</v>
      </c>
      <c r="FN29" s="59" t="str">
        <f t="shared" si="19"/>
        <v>Y</v>
      </c>
      <c r="FO29" s="59" t="str">
        <f t="shared" si="20"/>
        <v>Y</v>
      </c>
      <c r="FP29" s="59" t="str">
        <f t="shared" si="21"/>
        <v>Y</v>
      </c>
      <c r="FQ29" s="59" t="str">
        <f t="shared" si="22"/>
        <v>Y</v>
      </c>
      <c r="FR29" s="59" t="str">
        <f t="shared" si="23"/>
        <v>Y</v>
      </c>
      <c r="FS29" s="59" t="str">
        <f t="shared" si="24"/>
        <v>Y</v>
      </c>
      <c r="FT29" s="59" t="str">
        <f t="shared" si="25"/>
        <v>Y</v>
      </c>
      <c r="FU29" s="59" t="str">
        <f t="shared" si="26"/>
        <v>Y</v>
      </c>
      <c r="FV29" s="59" t="str">
        <f t="shared" si="27"/>
        <v>Y</v>
      </c>
      <c r="FW29" s="59" t="str">
        <f t="shared" si="28"/>
        <v>Y</v>
      </c>
      <c r="FX29" s="59" t="str">
        <f t="shared" si="29"/>
        <v>Y</v>
      </c>
      <c r="FY29" s="59" t="str">
        <f t="shared" si="30"/>
        <v>Y</v>
      </c>
      <c r="FZ29" s="59" t="str">
        <f t="shared" si="31"/>
        <v>Y</v>
      </c>
      <c r="GA29" s="59" t="str">
        <f t="shared" si="32"/>
        <v>Y</v>
      </c>
      <c r="GB29" s="59" t="str">
        <f t="shared" si="33"/>
        <v>Y</v>
      </c>
      <c r="GC29" s="59" t="str">
        <f t="shared" si="34"/>
        <v>Y</v>
      </c>
      <c r="GD29" s="59" t="str">
        <f t="shared" si="35"/>
        <v>Y</v>
      </c>
      <c r="GE29" s="59" t="str">
        <f t="shared" si="36"/>
        <v>Y</v>
      </c>
      <c r="GF29" s="59" t="str">
        <f t="shared" si="37"/>
        <v>Y</v>
      </c>
      <c r="GG29" s="59" t="str">
        <f t="shared" si="38"/>
        <v>Y</v>
      </c>
      <c r="GH29" s="59" t="str">
        <f t="shared" si="39"/>
        <v>Y</v>
      </c>
      <c r="GI29" s="59" t="str">
        <f t="shared" si="40"/>
        <v>Y</v>
      </c>
      <c r="GJ29" s="59" t="str">
        <f t="shared" si="41"/>
        <v>Y</v>
      </c>
      <c r="GK29" s="59" t="str">
        <f t="shared" si="42"/>
        <v>Y</v>
      </c>
      <c r="GL29" s="59" t="str">
        <f t="shared" si="43"/>
        <v>Y</v>
      </c>
      <c r="GM29" s="59" t="str">
        <f t="shared" si="44"/>
        <v>Y</v>
      </c>
      <c r="GN29" s="59" t="str">
        <f t="shared" si="45"/>
        <v>Y</v>
      </c>
      <c r="GO29" s="59" t="str">
        <f t="shared" si="46"/>
        <v>Y</v>
      </c>
      <c r="GP29" s="59" t="str">
        <f t="shared" si="47"/>
        <v>Y</v>
      </c>
      <c r="GQ29" s="59" t="str">
        <f t="shared" si="48"/>
        <v>Y</v>
      </c>
      <c r="GR29" s="59" t="str">
        <f t="shared" si="49"/>
        <v>Y</v>
      </c>
      <c r="GS29" s="59" t="str">
        <f t="shared" si="50"/>
        <v>Y</v>
      </c>
      <c r="GT29" s="59" t="str">
        <f t="shared" si="51"/>
        <v>Y</v>
      </c>
      <c r="GU29" s="59" t="str">
        <f t="shared" si="52"/>
        <v>Y</v>
      </c>
      <c r="GV29" s="59" t="str">
        <f t="shared" si="53"/>
        <v>Y</v>
      </c>
      <c r="GW29" s="59" t="str">
        <f t="shared" si="54"/>
        <v>Y</v>
      </c>
      <c r="GX29" s="59" t="str">
        <f t="shared" si="55"/>
        <v>Y</v>
      </c>
      <c r="GY29" s="59" t="str">
        <f t="shared" si="56"/>
        <v>Y</v>
      </c>
      <c r="GZ29" s="59" t="str">
        <f t="shared" si="57"/>
        <v>Y</v>
      </c>
      <c r="HA29" s="59" t="str">
        <f t="shared" si="58"/>
        <v>Y</v>
      </c>
      <c r="HB29" s="59" t="str">
        <f t="shared" si="59"/>
        <v>Y</v>
      </c>
      <c r="HC29" s="59" t="str">
        <f t="shared" si="60"/>
        <v>Y</v>
      </c>
      <c r="HD29" s="59" t="str">
        <f t="shared" si="61"/>
        <v>Y</v>
      </c>
      <c r="HE29" s="59" t="str">
        <f t="shared" si="62"/>
        <v>Y</v>
      </c>
      <c r="HF29" s="59" t="str">
        <f t="shared" si="63"/>
        <v>Y</v>
      </c>
      <c r="HG29" s="59" t="str">
        <f t="shared" si="64"/>
        <v>Y</v>
      </c>
      <c r="HH29" s="59" t="str">
        <f t="shared" si="65"/>
        <v>Y</v>
      </c>
      <c r="HI29" s="59" t="str">
        <f t="shared" si="66"/>
        <v>Y</v>
      </c>
      <c r="HJ29" s="68" t="str">
        <f t="shared" si="67"/>
        <v>Y</v>
      </c>
      <c r="HK29" s="59"/>
      <c r="HL29" s="68"/>
    </row>
    <row r="30" spans="1:220" ht="15.75" customHeight="1" x14ac:dyDescent="0.2">
      <c r="A30" s="69" t="s">
        <v>155</v>
      </c>
      <c r="B30" s="70">
        <v>2022</v>
      </c>
      <c r="C30" s="70">
        <v>448</v>
      </c>
      <c r="D30" s="70">
        <v>448</v>
      </c>
      <c r="E30" s="59">
        <v>463</v>
      </c>
      <c r="F30" s="70">
        <v>463</v>
      </c>
      <c r="G30" s="70" t="s">
        <v>59</v>
      </c>
      <c r="H30" s="70" t="s">
        <v>59</v>
      </c>
      <c r="I30" s="70" t="s">
        <v>59</v>
      </c>
      <c r="J30" s="70" t="s">
        <v>59</v>
      </c>
      <c r="K30" s="70" t="s">
        <v>151</v>
      </c>
      <c r="L30" s="59" t="s">
        <v>151</v>
      </c>
      <c r="M30" s="59" t="s">
        <v>59</v>
      </c>
      <c r="N30" s="59" t="s">
        <v>59</v>
      </c>
      <c r="O30" s="59" t="s">
        <v>59</v>
      </c>
      <c r="P30" s="59" t="s">
        <v>59</v>
      </c>
      <c r="Q30" s="59" t="s">
        <v>59</v>
      </c>
      <c r="R30" s="59" t="s">
        <v>59</v>
      </c>
      <c r="S30" s="59" t="s">
        <v>59</v>
      </c>
      <c r="T30" s="59" t="s">
        <v>59</v>
      </c>
      <c r="U30" s="70">
        <v>0</v>
      </c>
      <c r="V30" s="70">
        <v>0</v>
      </c>
      <c r="W30" s="70">
        <v>911</v>
      </c>
      <c r="X30" s="70">
        <v>911</v>
      </c>
      <c r="Y30" s="70">
        <v>0</v>
      </c>
      <c r="Z30" s="70">
        <v>0</v>
      </c>
      <c r="AA30" s="70">
        <v>0</v>
      </c>
      <c r="AB30" s="70">
        <v>0</v>
      </c>
      <c r="AC30" s="59" t="s">
        <v>101</v>
      </c>
      <c r="AD30" s="59" t="s">
        <v>112</v>
      </c>
      <c r="AE30" s="70" t="s">
        <v>112</v>
      </c>
      <c r="AF30" s="70" t="s">
        <v>113</v>
      </c>
      <c r="AG30" s="70" t="s">
        <v>86</v>
      </c>
      <c r="AH30" s="70" t="s">
        <v>86</v>
      </c>
      <c r="AI30" s="70" t="s">
        <v>85</v>
      </c>
      <c r="AJ30" s="70" t="s">
        <v>85</v>
      </c>
      <c r="AK30" s="70" t="s">
        <v>85</v>
      </c>
      <c r="AL30" s="70" t="s">
        <v>85</v>
      </c>
      <c r="AM30" s="70" t="s">
        <v>59</v>
      </c>
      <c r="AN30" s="70" t="s">
        <v>59</v>
      </c>
      <c r="AO30" s="70" t="s">
        <v>59</v>
      </c>
      <c r="AP30" s="70" t="s">
        <v>59</v>
      </c>
      <c r="AQ30" s="70" t="s">
        <v>59</v>
      </c>
      <c r="AR30" s="70" t="s">
        <v>59</v>
      </c>
      <c r="AS30" s="71" t="s">
        <v>59</v>
      </c>
      <c r="AT30" s="72" t="s">
        <v>59</v>
      </c>
      <c r="AU30" s="71" t="s">
        <v>59</v>
      </c>
      <c r="AV30" s="72" t="s">
        <v>59</v>
      </c>
      <c r="AW30" s="71" t="s">
        <v>59</v>
      </c>
      <c r="AX30" s="72" t="s">
        <v>59</v>
      </c>
      <c r="AY30" s="70">
        <v>911</v>
      </c>
      <c r="AZ30" s="70">
        <v>911</v>
      </c>
      <c r="BA30" s="70">
        <v>2</v>
      </c>
      <c r="BB30" s="70">
        <v>2</v>
      </c>
      <c r="BC30" s="70" t="s">
        <v>99</v>
      </c>
      <c r="BD30" s="70" t="s">
        <v>99</v>
      </c>
      <c r="BE30" s="70">
        <f t="shared" si="68"/>
        <v>2</v>
      </c>
      <c r="BF30" s="70">
        <f t="shared" si="69"/>
        <v>2</v>
      </c>
      <c r="BG30" s="70">
        <f t="shared" si="0"/>
        <v>0</v>
      </c>
      <c r="BH30" s="70">
        <f t="shared" si="1"/>
        <v>0</v>
      </c>
      <c r="BI30" s="70">
        <v>2</v>
      </c>
      <c r="BJ30" s="70">
        <v>2</v>
      </c>
      <c r="BK30" s="70" t="s">
        <v>87</v>
      </c>
      <c r="BL30" s="70" t="s">
        <v>87</v>
      </c>
      <c r="BM30" s="70" t="s">
        <v>87</v>
      </c>
      <c r="BN30" s="70" t="s">
        <v>87</v>
      </c>
      <c r="BO30" s="70" t="s">
        <v>87</v>
      </c>
      <c r="BP30" s="70" t="s">
        <v>87</v>
      </c>
      <c r="BQ30" s="70" t="s">
        <v>87</v>
      </c>
      <c r="BR30" s="70" t="s">
        <v>87</v>
      </c>
      <c r="BS30" s="70" t="s">
        <v>87</v>
      </c>
      <c r="BT30" s="70" t="s">
        <v>87</v>
      </c>
      <c r="BU30" s="70" t="s">
        <v>87</v>
      </c>
      <c r="BV30" s="70" t="s">
        <v>87</v>
      </c>
      <c r="BW30" s="70" t="s">
        <v>87</v>
      </c>
      <c r="BX30" s="70" t="s">
        <v>87</v>
      </c>
      <c r="BY30" s="70" t="s">
        <v>87</v>
      </c>
      <c r="BZ30" s="70" t="s">
        <v>87</v>
      </c>
      <c r="CA30" s="70" t="s">
        <v>87</v>
      </c>
      <c r="CB30" s="70" t="s">
        <v>87</v>
      </c>
      <c r="CC30" s="70" t="s">
        <v>87</v>
      </c>
      <c r="CD30" s="70" t="s">
        <v>87</v>
      </c>
      <c r="CE30" s="70" t="s">
        <v>87</v>
      </c>
      <c r="CF30" s="70" t="s">
        <v>87</v>
      </c>
      <c r="CG30" s="70" t="s">
        <v>87</v>
      </c>
      <c r="CH30" s="70" t="s">
        <v>87</v>
      </c>
      <c r="CI30" s="70" t="s">
        <v>87</v>
      </c>
      <c r="CJ30" s="70" t="s">
        <v>87</v>
      </c>
      <c r="CK30" s="70" t="s">
        <v>87</v>
      </c>
      <c r="CL30" s="70" t="s">
        <v>87</v>
      </c>
      <c r="CM30" s="70" t="s">
        <v>87</v>
      </c>
      <c r="CN30" s="70" t="s">
        <v>87</v>
      </c>
      <c r="CO30" s="70" t="s">
        <v>87</v>
      </c>
      <c r="CP30" s="70" t="s">
        <v>87</v>
      </c>
      <c r="CQ30" s="70" t="s">
        <v>121</v>
      </c>
      <c r="CR30" s="70" t="s">
        <v>121</v>
      </c>
      <c r="CS30" s="70" t="s">
        <v>121</v>
      </c>
      <c r="CT30" s="70" t="s">
        <v>121</v>
      </c>
      <c r="CU30" s="70" t="s">
        <v>121</v>
      </c>
      <c r="CV30" s="70" t="s">
        <v>121</v>
      </c>
      <c r="CW30" s="70" t="s">
        <v>59</v>
      </c>
      <c r="CX30" s="70" t="s">
        <v>59</v>
      </c>
      <c r="CY30" s="70" t="s">
        <v>59</v>
      </c>
      <c r="CZ30" s="70" t="s">
        <v>59</v>
      </c>
      <c r="DA30" s="70" t="s">
        <v>88</v>
      </c>
      <c r="DB30" s="70" t="s">
        <v>88</v>
      </c>
      <c r="DC30" s="70" t="s">
        <v>59</v>
      </c>
      <c r="DD30" s="70" t="s">
        <v>59</v>
      </c>
      <c r="DE30" s="70" t="s">
        <v>88</v>
      </c>
      <c r="DF30" s="70" t="s">
        <v>88</v>
      </c>
      <c r="DG30" s="70" t="s">
        <v>59</v>
      </c>
      <c r="DH30" s="70" t="s">
        <v>59</v>
      </c>
      <c r="DI30" s="70" t="s">
        <v>59</v>
      </c>
      <c r="DJ30" s="70" t="s">
        <v>59</v>
      </c>
      <c r="DK30" s="70" t="s">
        <v>59</v>
      </c>
      <c r="DL30" s="70" t="s">
        <v>59</v>
      </c>
      <c r="DM30" s="70" t="s">
        <v>59</v>
      </c>
      <c r="DN30" s="59" t="s">
        <v>59</v>
      </c>
      <c r="DO30" s="70" t="s">
        <v>59</v>
      </c>
      <c r="DP30" s="70" t="s">
        <v>59</v>
      </c>
      <c r="DQ30" s="70" t="s">
        <v>59</v>
      </c>
      <c r="DR30" s="70" t="s">
        <v>59</v>
      </c>
      <c r="DS30" s="70" t="s">
        <v>305</v>
      </c>
      <c r="DT30" s="70" t="s">
        <v>305</v>
      </c>
      <c r="DU30" s="70" t="s">
        <v>59</v>
      </c>
      <c r="DV30" s="70" t="s">
        <v>59</v>
      </c>
      <c r="DW30" s="70" t="s">
        <v>104</v>
      </c>
      <c r="DX30" s="70" t="s">
        <v>104</v>
      </c>
      <c r="DY30" s="70">
        <v>1</v>
      </c>
      <c r="DZ30" s="70">
        <v>1</v>
      </c>
      <c r="EA30" s="70">
        <v>0</v>
      </c>
      <c r="EB30" s="70">
        <v>0</v>
      </c>
      <c r="EC30" s="70">
        <v>1</v>
      </c>
      <c r="ED30" s="70">
        <v>1</v>
      </c>
      <c r="EE30" s="70">
        <v>1</v>
      </c>
      <c r="EF30" s="70">
        <v>1</v>
      </c>
      <c r="EG30" s="70">
        <v>1</v>
      </c>
      <c r="EH30" s="70">
        <v>1</v>
      </c>
      <c r="EI30" s="70">
        <v>1</v>
      </c>
      <c r="EJ30" s="70">
        <v>1</v>
      </c>
      <c r="EK30" s="70">
        <v>1</v>
      </c>
      <c r="EL30" s="70">
        <v>1</v>
      </c>
      <c r="EM30" s="70">
        <v>1</v>
      </c>
      <c r="EN30" s="70">
        <v>1</v>
      </c>
      <c r="EO30" s="70">
        <v>1</v>
      </c>
      <c r="EP30" s="70">
        <v>1</v>
      </c>
      <c r="EQ30" s="70">
        <v>1</v>
      </c>
      <c r="ER30" s="70">
        <v>1</v>
      </c>
      <c r="ES30" s="70">
        <f t="shared" si="73"/>
        <v>9</v>
      </c>
      <c r="ET30" s="70">
        <f t="shared" si="73"/>
        <v>9</v>
      </c>
      <c r="EU30" s="74" t="s">
        <v>155</v>
      </c>
      <c r="EV30" s="66">
        <v>2022</v>
      </c>
      <c r="EW30" s="59" t="str">
        <f t="shared" si="2"/>
        <v>Y</v>
      </c>
      <c r="EX30" s="59" t="str">
        <f t="shared" si="3"/>
        <v>Y</v>
      </c>
      <c r="EY30" s="59" t="str">
        <f t="shared" si="4"/>
        <v>Y</v>
      </c>
      <c r="EZ30" s="59" t="str">
        <f t="shared" si="5"/>
        <v>Y</v>
      </c>
      <c r="FA30" s="59" t="str">
        <f t="shared" si="6"/>
        <v>Y</v>
      </c>
      <c r="FB30" s="59" t="str">
        <f t="shared" si="71"/>
        <v>Y</v>
      </c>
      <c r="FC30" s="59" t="str">
        <f t="shared" si="8"/>
        <v>Y</v>
      </c>
      <c r="FD30" s="59" t="str">
        <f t="shared" si="9"/>
        <v>Y</v>
      </c>
      <c r="FE30" s="59" t="str">
        <f t="shared" si="10"/>
        <v>Y</v>
      </c>
      <c r="FF30" s="59" t="str">
        <f t="shared" si="11"/>
        <v>Y</v>
      </c>
      <c r="FG30" s="59" t="str">
        <f t="shared" si="12"/>
        <v>Y</v>
      </c>
      <c r="FH30" s="59" t="str">
        <f t="shared" si="13"/>
        <v>Y</v>
      </c>
      <c r="FI30" s="59" t="str">
        <f t="shared" si="14"/>
        <v>Y</v>
      </c>
      <c r="FJ30" s="59" t="str">
        <f t="shared" si="15"/>
        <v>Y</v>
      </c>
      <c r="FK30" s="59" t="str">
        <f t="shared" si="16"/>
        <v>Y</v>
      </c>
      <c r="FL30" s="59" t="str">
        <f t="shared" si="17"/>
        <v>Y</v>
      </c>
      <c r="FM30" s="59" t="str">
        <f t="shared" si="18"/>
        <v>Y</v>
      </c>
      <c r="FN30" s="59" t="str">
        <f t="shared" si="19"/>
        <v>Y</v>
      </c>
      <c r="FO30" s="59" t="str">
        <f t="shared" si="20"/>
        <v>Y</v>
      </c>
      <c r="FP30" s="59" t="str">
        <f t="shared" si="21"/>
        <v>Y</v>
      </c>
      <c r="FQ30" s="59" t="str">
        <f t="shared" si="22"/>
        <v>Y</v>
      </c>
      <c r="FR30" s="59" t="str">
        <f t="shared" si="23"/>
        <v>Y</v>
      </c>
      <c r="FS30" s="59" t="str">
        <f t="shared" si="24"/>
        <v>Y</v>
      </c>
      <c r="FT30" s="59" t="str">
        <f t="shared" si="25"/>
        <v>Y</v>
      </c>
      <c r="FU30" s="59" t="str">
        <f t="shared" si="26"/>
        <v>Y</v>
      </c>
      <c r="FV30" s="59" t="str">
        <f t="shared" si="27"/>
        <v>Y</v>
      </c>
      <c r="FW30" s="59" t="str">
        <f t="shared" si="28"/>
        <v>Y</v>
      </c>
      <c r="FX30" s="59" t="str">
        <f t="shared" si="29"/>
        <v>Y</v>
      </c>
      <c r="FY30" s="59" t="str">
        <f t="shared" si="30"/>
        <v>Y</v>
      </c>
      <c r="FZ30" s="59" t="str">
        <f t="shared" si="31"/>
        <v>Y</v>
      </c>
      <c r="GA30" s="59" t="str">
        <f t="shared" si="32"/>
        <v>Y</v>
      </c>
      <c r="GB30" s="59" t="str">
        <f t="shared" si="33"/>
        <v>Y</v>
      </c>
      <c r="GC30" s="59" t="str">
        <f t="shared" si="34"/>
        <v>Y</v>
      </c>
      <c r="GD30" s="59" t="str">
        <f t="shared" si="35"/>
        <v>Y</v>
      </c>
      <c r="GE30" s="59" t="str">
        <f t="shared" si="36"/>
        <v>Y</v>
      </c>
      <c r="GF30" s="59" t="str">
        <f t="shared" si="37"/>
        <v>Y</v>
      </c>
      <c r="GG30" s="59" t="str">
        <f t="shared" si="38"/>
        <v>Y</v>
      </c>
      <c r="GH30" s="59" t="str">
        <f t="shared" si="39"/>
        <v>Y</v>
      </c>
      <c r="GI30" s="59" t="str">
        <f t="shared" si="40"/>
        <v>Y</v>
      </c>
      <c r="GJ30" s="59" t="str">
        <f t="shared" si="41"/>
        <v>Y</v>
      </c>
      <c r="GK30" s="59" t="str">
        <f t="shared" si="42"/>
        <v>Y</v>
      </c>
      <c r="GL30" s="59" t="str">
        <f t="shared" si="43"/>
        <v>Y</v>
      </c>
      <c r="GM30" s="59" t="str">
        <f t="shared" si="44"/>
        <v>Y</v>
      </c>
      <c r="GN30" s="59" t="str">
        <f t="shared" si="45"/>
        <v>Y</v>
      </c>
      <c r="GO30" s="59" t="str">
        <f t="shared" si="46"/>
        <v>Y</v>
      </c>
      <c r="GP30" s="59" t="str">
        <f t="shared" si="47"/>
        <v>Y</v>
      </c>
      <c r="GQ30" s="59" t="str">
        <f t="shared" si="48"/>
        <v>Y</v>
      </c>
      <c r="GR30" s="59" t="str">
        <f t="shared" si="49"/>
        <v>Y</v>
      </c>
      <c r="GS30" s="59" t="str">
        <f t="shared" si="50"/>
        <v>Y</v>
      </c>
      <c r="GT30" s="59" t="str">
        <f t="shared" si="51"/>
        <v>Y</v>
      </c>
      <c r="GU30" s="59" t="str">
        <f t="shared" si="52"/>
        <v>Y</v>
      </c>
      <c r="GV30" s="59" t="str">
        <f t="shared" si="53"/>
        <v>Y</v>
      </c>
      <c r="GW30" s="59" t="str">
        <f t="shared" si="54"/>
        <v>Y</v>
      </c>
      <c r="GX30" s="59" t="str">
        <f t="shared" si="55"/>
        <v>Y</v>
      </c>
      <c r="GY30" s="59" t="str">
        <f t="shared" si="56"/>
        <v>Y</v>
      </c>
      <c r="GZ30" s="59" t="str">
        <f t="shared" si="57"/>
        <v>Y</v>
      </c>
      <c r="HA30" s="59" t="str">
        <f t="shared" si="58"/>
        <v>Y</v>
      </c>
      <c r="HB30" s="59" t="str">
        <f t="shared" si="59"/>
        <v>Y</v>
      </c>
      <c r="HC30" s="59" t="str">
        <f t="shared" si="60"/>
        <v>Y</v>
      </c>
      <c r="HD30" s="59" t="str">
        <f t="shared" si="61"/>
        <v>Y</v>
      </c>
      <c r="HE30" s="59" t="str">
        <f t="shared" si="62"/>
        <v>Y</v>
      </c>
      <c r="HF30" s="59" t="str">
        <f t="shared" si="63"/>
        <v>Y</v>
      </c>
      <c r="HG30" s="59" t="str">
        <f t="shared" si="64"/>
        <v>Y</v>
      </c>
      <c r="HH30" s="59" t="str">
        <f t="shared" si="65"/>
        <v>Y</v>
      </c>
      <c r="HI30" s="59" t="str">
        <f t="shared" si="66"/>
        <v>Y</v>
      </c>
      <c r="HJ30" s="68" t="str">
        <f t="shared" si="67"/>
        <v>Y</v>
      </c>
      <c r="HK30" s="59"/>
      <c r="HL30" s="68"/>
    </row>
    <row r="31" spans="1:220" ht="15.75" customHeight="1" x14ac:dyDescent="0.2">
      <c r="A31" s="92" t="s">
        <v>329</v>
      </c>
      <c r="B31" s="70">
        <v>2013</v>
      </c>
      <c r="C31" s="93">
        <v>77</v>
      </c>
      <c r="D31" s="93">
        <v>77</v>
      </c>
      <c r="E31" s="93">
        <v>44</v>
      </c>
      <c r="F31" s="93">
        <v>44</v>
      </c>
      <c r="G31" s="93" t="s">
        <v>59</v>
      </c>
      <c r="H31" s="93" t="s">
        <v>59</v>
      </c>
      <c r="I31" s="93">
        <v>21.5</v>
      </c>
      <c r="J31" s="93">
        <v>21.5</v>
      </c>
      <c r="K31" s="93">
        <v>36</v>
      </c>
      <c r="L31" s="93">
        <v>36</v>
      </c>
      <c r="M31" s="93" t="s">
        <v>59</v>
      </c>
      <c r="N31" s="93" t="s">
        <v>59</v>
      </c>
      <c r="O31" s="93" t="s">
        <v>59</v>
      </c>
      <c r="P31" s="93" t="s">
        <v>59</v>
      </c>
      <c r="Q31" s="93" t="s">
        <v>59</v>
      </c>
      <c r="R31" s="93" t="s">
        <v>59</v>
      </c>
      <c r="S31" s="93" t="s">
        <v>59</v>
      </c>
      <c r="T31" s="93" t="s">
        <v>59</v>
      </c>
      <c r="U31" s="93">
        <v>0</v>
      </c>
      <c r="V31" s="93">
        <v>0</v>
      </c>
      <c r="W31" s="93">
        <v>121</v>
      </c>
      <c r="X31" s="93">
        <v>121</v>
      </c>
      <c r="Y31" s="93">
        <v>0</v>
      </c>
      <c r="Z31" s="93">
        <v>0</v>
      </c>
      <c r="AA31" s="93">
        <v>0</v>
      </c>
      <c r="AB31" s="93">
        <v>0</v>
      </c>
      <c r="AC31" s="93" t="s">
        <v>101</v>
      </c>
      <c r="AD31" s="93" t="s">
        <v>102</v>
      </c>
      <c r="AE31" s="93" t="s">
        <v>102</v>
      </c>
      <c r="AF31" s="93"/>
      <c r="AG31" s="93" t="s">
        <v>327</v>
      </c>
      <c r="AH31" s="93" t="s">
        <v>85</v>
      </c>
      <c r="AI31" s="93" t="s">
        <v>330</v>
      </c>
      <c r="AJ31" s="93" t="s">
        <v>86</v>
      </c>
      <c r="AK31" s="93" t="s">
        <v>327</v>
      </c>
      <c r="AL31" s="93" t="s">
        <v>85</v>
      </c>
      <c r="AM31" s="93" t="s">
        <v>59</v>
      </c>
      <c r="AN31" s="93" t="s">
        <v>59</v>
      </c>
      <c r="AO31" s="93" t="s">
        <v>59</v>
      </c>
      <c r="AP31" s="93" t="s">
        <v>59</v>
      </c>
      <c r="AQ31" s="93" t="s">
        <v>59</v>
      </c>
      <c r="AR31" s="93" t="s">
        <v>59</v>
      </c>
      <c r="AS31" s="71" t="s">
        <v>59</v>
      </c>
      <c r="AT31" s="72" t="s">
        <v>59</v>
      </c>
      <c r="AU31" s="71" t="s">
        <v>59</v>
      </c>
      <c r="AV31" s="72" t="s">
        <v>59</v>
      </c>
      <c r="AW31" s="71" t="s">
        <v>59</v>
      </c>
      <c r="AX31" s="72" t="s">
        <v>59</v>
      </c>
      <c r="AY31" s="93">
        <v>121</v>
      </c>
      <c r="AZ31" s="93">
        <v>121</v>
      </c>
      <c r="BA31" s="93">
        <v>2</v>
      </c>
      <c r="BB31" s="93">
        <v>2</v>
      </c>
      <c r="BC31" s="93" t="s">
        <v>99</v>
      </c>
      <c r="BD31" s="93" t="s">
        <v>99</v>
      </c>
      <c r="BE31" s="70">
        <f t="shared" si="68"/>
        <v>2</v>
      </c>
      <c r="BF31" s="70">
        <f t="shared" si="69"/>
        <v>2</v>
      </c>
      <c r="BG31" s="70">
        <f t="shared" si="0"/>
        <v>0</v>
      </c>
      <c r="BH31" s="70">
        <f t="shared" si="1"/>
        <v>0</v>
      </c>
      <c r="BI31" s="93">
        <v>2</v>
      </c>
      <c r="BJ31" s="93">
        <v>2</v>
      </c>
      <c r="BK31" s="93" t="s">
        <v>87</v>
      </c>
      <c r="BL31" s="93" t="s">
        <v>87</v>
      </c>
      <c r="BM31" s="70" t="s">
        <v>87</v>
      </c>
      <c r="BN31" s="93" t="s">
        <v>87</v>
      </c>
      <c r="BO31" s="70" t="s">
        <v>87</v>
      </c>
      <c r="BP31" s="93" t="s">
        <v>87</v>
      </c>
      <c r="BQ31" s="70" t="s">
        <v>87</v>
      </c>
      <c r="BR31" s="93" t="s">
        <v>87</v>
      </c>
      <c r="BS31" s="70" t="s">
        <v>87</v>
      </c>
      <c r="BT31" s="93" t="s">
        <v>87</v>
      </c>
      <c r="BU31" s="70" t="s">
        <v>87</v>
      </c>
      <c r="BV31" s="93" t="s">
        <v>87</v>
      </c>
      <c r="BW31" s="70" t="s">
        <v>87</v>
      </c>
      <c r="BX31" s="93" t="s">
        <v>87</v>
      </c>
      <c r="BY31" s="70" t="s">
        <v>87</v>
      </c>
      <c r="BZ31" s="93" t="s">
        <v>87</v>
      </c>
      <c r="CA31" s="70" t="s">
        <v>87</v>
      </c>
      <c r="CB31" s="93" t="s">
        <v>87</v>
      </c>
      <c r="CC31" s="70" t="s">
        <v>87</v>
      </c>
      <c r="CD31" s="93" t="s">
        <v>87</v>
      </c>
      <c r="CE31" s="70" t="s">
        <v>87</v>
      </c>
      <c r="CF31" s="93" t="s">
        <v>87</v>
      </c>
      <c r="CG31" s="70" t="s">
        <v>87</v>
      </c>
      <c r="CH31" s="93" t="s">
        <v>87</v>
      </c>
      <c r="CI31" s="70" t="s">
        <v>87</v>
      </c>
      <c r="CJ31" s="93" t="s">
        <v>87</v>
      </c>
      <c r="CK31" s="70" t="s">
        <v>87</v>
      </c>
      <c r="CL31" s="93" t="s">
        <v>87</v>
      </c>
      <c r="CM31" s="70" t="s">
        <v>87</v>
      </c>
      <c r="CN31" s="93" t="s">
        <v>87</v>
      </c>
      <c r="CO31" s="70" t="s">
        <v>87</v>
      </c>
      <c r="CP31" s="93" t="s">
        <v>87</v>
      </c>
      <c r="CQ31" s="93" t="s">
        <v>280</v>
      </c>
      <c r="CR31" s="93" t="s">
        <v>280</v>
      </c>
      <c r="CS31" s="93" t="s">
        <v>59</v>
      </c>
      <c r="CT31" s="93" t="s">
        <v>59</v>
      </c>
      <c r="CU31" s="93" t="s">
        <v>59</v>
      </c>
      <c r="CV31" s="93" t="s">
        <v>59</v>
      </c>
      <c r="CW31" s="93" t="s">
        <v>88</v>
      </c>
      <c r="CX31" s="93" t="s">
        <v>88</v>
      </c>
      <c r="CY31" s="93" t="s">
        <v>121</v>
      </c>
      <c r="CZ31" s="93" t="s">
        <v>121</v>
      </c>
      <c r="DA31" s="93" t="s">
        <v>88</v>
      </c>
      <c r="DB31" s="93" t="s">
        <v>88</v>
      </c>
      <c r="DC31" s="93" t="s">
        <v>88</v>
      </c>
      <c r="DD31" s="93" t="s">
        <v>88</v>
      </c>
      <c r="DE31" s="93" t="s">
        <v>88</v>
      </c>
      <c r="DF31" s="93" t="s">
        <v>88</v>
      </c>
      <c r="DG31" s="93" t="s">
        <v>330</v>
      </c>
      <c r="DH31" s="93" t="s">
        <v>86</v>
      </c>
      <c r="DI31" s="93" t="s">
        <v>88</v>
      </c>
      <c r="DJ31" s="93" t="s">
        <v>88</v>
      </c>
      <c r="DK31" s="93" t="s">
        <v>59</v>
      </c>
      <c r="DL31" s="93" t="s">
        <v>59</v>
      </c>
      <c r="DM31" s="93" t="s">
        <v>59</v>
      </c>
      <c r="DN31" s="93" t="s">
        <v>59</v>
      </c>
      <c r="DO31" s="93" t="s">
        <v>59</v>
      </c>
      <c r="DP31" s="93" t="s">
        <v>59</v>
      </c>
      <c r="DQ31" s="93" t="s">
        <v>59</v>
      </c>
      <c r="DR31" s="93" t="s">
        <v>59</v>
      </c>
      <c r="DS31" s="94" t="s">
        <v>305</v>
      </c>
      <c r="DT31" s="93" t="s">
        <v>305</v>
      </c>
      <c r="DU31" s="93" t="s">
        <v>59</v>
      </c>
      <c r="DV31" s="93" t="s">
        <v>59</v>
      </c>
      <c r="DW31" s="93" t="s">
        <v>90</v>
      </c>
      <c r="DX31" s="93" t="s">
        <v>90</v>
      </c>
      <c r="DY31" s="93">
        <v>1</v>
      </c>
      <c r="DZ31" s="93">
        <v>1</v>
      </c>
      <c r="EA31" s="93">
        <v>1</v>
      </c>
      <c r="EB31" s="93">
        <v>1</v>
      </c>
      <c r="EC31" s="93">
        <v>1</v>
      </c>
      <c r="ED31" s="93">
        <v>1</v>
      </c>
      <c r="EE31" s="93">
        <v>1</v>
      </c>
      <c r="EF31" s="93">
        <v>1</v>
      </c>
      <c r="EG31" s="93">
        <v>1</v>
      </c>
      <c r="EH31" s="93">
        <v>1</v>
      </c>
      <c r="EI31" s="93">
        <v>0</v>
      </c>
      <c r="EJ31" s="93">
        <v>0</v>
      </c>
      <c r="EK31" s="93">
        <v>1</v>
      </c>
      <c r="EL31" s="93">
        <v>1</v>
      </c>
      <c r="EM31" s="93">
        <v>1</v>
      </c>
      <c r="EN31" s="93">
        <v>1</v>
      </c>
      <c r="EO31" s="93">
        <v>1</v>
      </c>
      <c r="EP31" s="93">
        <v>1</v>
      </c>
      <c r="EQ31" s="93">
        <v>1</v>
      </c>
      <c r="ER31" s="93">
        <v>1</v>
      </c>
      <c r="ES31" s="70">
        <v>9</v>
      </c>
      <c r="ET31" s="70">
        <v>9</v>
      </c>
      <c r="EU31" s="95"/>
      <c r="EV31" s="66"/>
      <c r="EW31" s="59" t="str">
        <f t="shared" si="2"/>
        <v>Y</v>
      </c>
      <c r="EX31" s="59" t="str">
        <f t="shared" si="3"/>
        <v>Y</v>
      </c>
      <c r="EY31" s="59" t="str">
        <f t="shared" si="4"/>
        <v>Y</v>
      </c>
      <c r="EZ31" s="59" t="str">
        <f t="shared" si="5"/>
        <v>Y</v>
      </c>
      <c r="FA31" s="59" t="str">
        <f t="shared" si="6"/>
        <v>Y</v>
      </c>
      <c r="FB31" s="59" t="str">
        <f t="shared" si="71"/>
        <v>Y</v>
      </c>
      <c r="FC31" s="59" t="str">
        <f t="shared" si="8"/>
        <v>Y</v>
      </c>
      <c r="FD31" s="59" t="str">
        <f t="shared" si="9"/>
        <v>Y</v>
      </c>
      <c r="FE31" s="59" t="str">
        <f t="shared" si="10"/>
        <v>Y</v>
      </c>
      <c r="FF31" s="59" t="str">
        <f t="shared" si="11"/>
        <v>Y</v>
      </c>
      <c r="FG31" s="59" t="str">
        <f t="shared" si="12"/>
        <v>Y</v>
      </c>
      <c r="FH31" s="59" t="str">
        <f t="shared" si="13"/>
        <v>Y</v>
      </c>
      <c r="FI31" s="59" t="str">
        <f t="shared" si="14"/>
        <v>Y</v>
      </c>
      <c r="FJ31" s="59" t="str">
        <f t="shared" si="15"/>
        <v>Y</v>
      </c>
      <c r="FK31" s="59" t="str">
        <f t="shared" si="16"/>
        <v>Y</v>
      </c>
      <c r="FL31" s="59" t="str">
        <f t="shared" si="17"/>
        <v>Y</v>
      </c>
      <c r="FM31" s="59" t="str">
        <f t="shared" si="18"/>
        <v>Y</v>
      </c>
      <c r="FN31" s="59" t="str">
        <f t="shared" si="19"/>
        <v>Y</v>
      </c>
      <c r="FO31" s="59" t="str">
        <f t="shared" si="20"/>
        <v>Y</v>
      </c>
      <c r="FP31" s="59" t="str">
        <f t="shared" si="21"/>
        <v>Y</v>
      </c>
      <c r="FQ31" s="59" t="str">
        <f t="shared" si="22"/>
        <v>Y</v>
      </c>
      <c r="FR31" s="59" t="str">
        <f t="shared" si="23"/>
        <v>Y</v>
      </c>
      <c r="FS31" s="59" t="str">
        <f t="shared" si="24"/>
        <v>Y</v>
      </c>
      <c r="FT31" s="59" t="str">
        <f t="shared" si="25"/>
        <v>Y</v>
      </c>
      <c r="FU31" s="59" t="str">
        <f t="shared" si="26"/>
        <v>Y</v>
      </c>
      <c r="FV31" s="59" t="str">
        <f t="shared" si="27"/>
        <v>Y</v>
      </c>
      <c r="FW31" s="59" t="str">
        <f t="shared" si="28"/>
        <v>Y</v>
      </c>
      <c r="FX31" s="59" t="str">
        <f t="shared" si="29"/>
        <v>Y</v>
      </c>
      <c r="FY31" s="59" t="str">
        <f t="shared" si="30"/>
        <v>Y</v>
      </c>
      <c r="FZ31" s="59" t="str">
        <f t="shared" si="31"/>
        <v>Y</v>
      </c>
      <c r="GA31" s="59" t="str">
        <f t="shared" si="32"/>
        <v>Y</v>
      </c>
      <c r="GB31" s="59" t="str">
        <f t="shared" si="33"/>
        <v>Y</v>
      </c>
      <c r="GC31" s="59" t="str">
        <f t="shared" si="34"/>
        <v>Y</v>
      </c>
      <c r="GD31" s="59" t="str">
        <f t="shared" si="35"/>
        <v>Y</v>
      </c>
      <c r="GE31" s="59" t="str">
        <f t="shared" si="36"/>
        <v>Y</v>
      </c>
      <c r="GF31" s="59" t="str">
        <f t="shared" si="37"/>
        <v>Y</v>
      </c>
      <c r="GG31" s="59" t="str">
        <f t="shared" si="38"/>
        <v>Y</v>
      </c>
      <c r="GH31" s="59" t="str">
        <f t="shared" si="39"/>
        <v>Y</v>
      </c>
      <c r="GI31" s="59" t="str">
        <f t="shared" si="40"/>
        <v>Y</v>
      </c>
      <c r="GJ31" s="59" t="str">
        <f t="shared" si="41"/>
        <v>Y</v>
      </c>
      <c r="GK31" s="59" t="str">
        <f t="shared" si="42"/>
        <v>Y</v>
      </c>
      <c r="GL31" s="59" t="str">
        <f t="shared" si="43"/>
        <v>Y</v>
      </c>
      <c r="GM31" s="59" t="str">
        <f t="shared" si="44"/>
        <v>Y</v>
      </c>
      <c r="GN31" s="59" t="str">
        <f t="shared" si="45"/>
        <v>Y</v>
      </c>
      <c r="GO31" s="59" t="str">
        <f t="shared" si="46"/>
        <v>Y</v>
      </c>
      <c r="GP31" s="59" t="str">
        <f t="shared" si="47"/>
        <v>Y</v>
      </c>
      <c r="GQ31" s="59" t="str">
        <f t="shared" si="48"/>
        <v>Y</v>
      </c>
      <c r="GR31" s="59" t="str">
        <f t="shared" si="49"/>
        <v>Y</v>
      </c>
      <c r="GS31" s="59" t="str">
        <f t="shared" si="50"/>
        <v>Y</v>
      </c>
      <c r="GT31" s="59" t="str">
        <f t="shared" si="51"/>
        <v>Y</v>
      </c>
      <c r="GU31" s="59" t="str">
        <f t="shared" si="52"/>
        <v>Y</v>
      </c>
      <c r="GV31" s="59" t="str">
        <f t="shared" si="53"/>
        <v>Y</v>
      </c>
      <c r="GW31" s="59" t="str">
        <f t="shared" si="54"/>
        <v>Y</v>
      </c>
      <c r="GX31" s="59" t="str">
        <f t="shared" si="55"/>
        <v>Y</v>
      </c>
      <c r="GY31" s="59" t="str">
        <f t="shared" si="56"/>
        <v>Y</v>
      </c>
      <c r="GZ31" s="59" t="str">
        <f t="shared" si="57"/>
        <v>Y</v>
      </c>
      <c r="HA31" s="59" t="str">
        <f t="shared" si="58"/>
        <v>Y</v>
      </c>
      <c r="HB31" s="59" t="str">
        <f t="shared" si="59"/>
        <v>Y</v>
      </c>
      <c r="HC31" s="59" t="str">
        <f t="shared" si="60"/>
        <v>Y</v>
      </c>
      <c r="HD31" s="59" t="str">
        <f t="shared" si="61"/>
        <v>Y</v>
      </c>
      <c r="HE31" s="59" t="str">
        <f t="shared" si="62"/>
        <v>Y</v>
      </c>
      <c r="HF31" s="59" t="str">
        <f t="shared" si="63"/>
        <v>Y</v>
      </c>
      <c r="HG31" s="59" t="str">
        <f t="shared" si="64"/>
        <v>Y</v>
      </c>
      <c r="HH31" s="59" t="str">
        <f t="shared" si="65"/>
        <v>Y</v>
      </c>
      <c r="HI31" s="59" t="str">
        <f t="shared" si="66"/>
        <v>Y</v>
      </c>
      <c r="HJ31" s="68" t="str">
        <f t="shared" si="67"/>
        <v>Y</v>
      </c>
      <c r="HK31" s="59"/>
      <c r="HL31" s="68"/>
    </row>
    <row r="32" spans="1:220" ht="15.75" customHeight="1" x14ac:dyDescent="0.2">
      <c r="A32" s="70" t="s">
        <v>156</v>
      </c>
      <c r="B32" s="70">
        <v>2020</v>
      </c>
      <c r="C32" s="93" t="s">
        <v>59</v>
      </c>
      <c r="D32" s="93" t="s">
        <v>59</v>
      </c>
      <c r="E32" s="93" t="s">
        <v>59</v>
      </c>
      <c r="F32" s="93" t="s">
        <v>59</v>
      </c>
      <c r="G32" s="93" t="s">
        <v>59</v>
      </c>
      <c r="H32" s="93" t="s">
        <v>59</v>
      </c>
      <c r="I32" s="93" t="s">
        <v>59</v>
      </c>
      <c r="J32" s="93" t="s">
        <v>59</v>
      </c>
      <c r="K32" s="93" t="s">
        <v>59</v>
      </c>
      <c r="L32" s="93" t="s">
        <v>59</v>
      </c>
      <c r="M32" s="93" t="s">
        <v>59</v>
      </c>
      <c r="N32" s="93" t="s">
        <v>59</v>
      </c>
      <c r="O32" s="93" t="s">
        <v>59</v>
      </c>
      <c r="P32" s="93" t="s">
        <v>59</v>
      </c>
      <c r="Q32" s="93" t="s">
        <v>59</v>
      </c>
      <c r="R32" s="93" t="s">
        <v>59</v>
      </c>
      <c r="S32" s="93" t="s">
        <v>59</v>
      </c>
      <c r="T32" s="93" t="s">
        <v>59</v>
      </c>
      <c r="U32" s="93" t="s">
        <v>59</v>
      </c>
      <c r="V32" s="93" t="s">
        <v>59</v>
      </c>
      <c r="W32" s="93" t="s">
        <v>59</v>
      </c>
      <c r="X32" s="93" t="s">
        <v>59</v>
      </c>
      <c r="Y32" s="93" t="s">
        <v>59</v>
      </c>
      <c r="Z32" s="93" t="s">
        <v>59</v>
      </c>
      <c r="AA32" s="93" t="s">
        <v>59</v>
      </c>
      <c r="AB32" s="93" t="s">
        <v>59</v>
      </c>
      <c r="AC32" s="93" t="s">
        <v>131</v>
      </c>
      <c r="AD32" s="93" t="s">
        <v>126</v>
      </c>
      <c r="AE32" s="93" t="s">
        <v>126</v>
      </c>
      <c r="AF32" s="93" t="s">
        <v>103</v>
      </c>
      <c r="AG32" s="93" t="s">
        <v>85</v>
      </c>
      <c r="AH32" s="93" t="s">
        <v>85</v>
      </c>
      <c r="AI32" s="93" t="s">
        <v>86</v>
      </c>
      <c r="AJ32" s="93" t="s">
        <v>86</v>
      </c>
      <c r="AK32" s="93" t="s">
        <v>85</v>
      </c>
      <c r="AL32" s="93" t="s">
        <v>85</v>
      </c>
      <c r="AM32" s="93" t="s">
        <v>59</v>
      </c>
      <c r="AN32" s="93" t="s">
        <v>59</v>
      </c>
      <c r="AO32" s="93" t="s">
        <v>59</v>
      </c>
      <c r="AP32" s="93" t="s">
        <v>59</v>
      </c>
      <c r="AQ32" s="93" t="s">
        <v>59</v>
      </c>
      <c r="AR32" s="93" t="s">
        <v>59</v>
      </c>
      <c r="AS32" s="71" t="s">
        <v>59</v>
      </c>
      <c r="AT32" s="72" t="s">
        <v>59</v>
      </c>
      <c r="AU32" s="71" t="s">
        <v>59</v>
      </c>
      <c r="AV32" s="72" t="s">
        <v>59</v>
      </c>
      <c r="AW32" s="71" t="s">
        <v>59</v>
      </c>
      <c r="AX32" s="72" t="s">
        <v>59</v>
      </c>
      <c r="AY32" s="93">
        <v>313</v>
      </c>
      <c r="AZ32" s="93">
        <v>313</v>
      </c>
      <c r="BA32" s="93">
        <v>67</v>
      </c>
      <c r="BB32" s="93">
        <v>67</v>
      </c>
      <c r="BC32" s="93" t="s">
        <v>95</v>
      </c>
      <c r="BD32" s="93" t="s">
        <v>95</v>
      </c>
      <c r="BE32" s="70">
        <f t="shared" si="68"/>
        <v>59</v>
      </c>
      <c r="BF32" s="70">
        <f t="shared" si="69"/>
        <v>59</v>
      </c>
      <c r="BG32" s="70">
        <f t="shared" si="0"/>
        <v>8</v>
      </c>
      <c r="BH32" s="70">
        <f t="shared" si="1"/>
        <v>8</v>
      </c>
      <c r="BI32" s="93" t="s">
        <v>87</v>
      </c>
      <c r="BJ32" s="93" t="s">
        <v>87</v>
      </c>
      <c r="BK32" s="93" t="s">
        <v>87</v>
      </c>
      <c r="BL32" s="93" t="s">
        <v>87</v>
      </c>
      <c r="BM32" s="93">
        <v>8</v>
      </c>
      <c r="BN32" s="93">
        <v>8</v>
      </c>
      <c r="BO32" s="93" t="s">
        <v>87</v>
      </c>
      <c r="BP32" s="93" t="s">
        <v>87</v>
      </c>
      <c r="BQ32" s="93" t="s">
        <v>87</v>
      </c>
      <c r="BR32" s="93" t="s">
        <v>87</v>
      </c>
      <c r="BS32" s="93" t="s">
        <v>87</v>
      </c>
      <c r="BT32" s="93" t="s">
        <v>87</v>
      </c>
      <c r="BU32" s="93" t="s">
        <v>87</v>
      </c>
      <c r="BV32" s="93" t="s">
        <v>87</v>
      </c>
      <c r="BW32" s="93" t="s">
        <v>87</v>
      </c>
      <c r="BX32" s="93" t="s">
        <v>87</v>
      </c>
      <c r="BY32" s="93" t="s">
        <v>87</v>
      </c>
      <c r="BZ32" s="93" t="s">
        <v>87</v>
      </c>
      <c r="CA32" s="93" t="s">
        <v>87</v>
      </c>
      <c r="CB32" s="93" t="s">
        <v>87</v>
      </c>
      <c r="CC32" s="93" t="s">
        <v>87</v>
      </c>
      <c r="CD32" s="93" t="s">
        <v>87</v>
      </c>
      <c r="CE32" s="93" t="s">
        <v>87</v>
      </c>
      <c r="CF32" s="93" t="s">
        <v>87</v>
      </c>
      <c r="CG32" s="93" t="s">
        <v>87</v>
      </c>
      <c r="CH32" s="93" t="s">
        <v>87</v>
      </c>
      <c r="CI32" s="93" t="s">
        <v>87</v>
      </c>
      <c r="CJ32" s="93" t="s">
        <v>87</v>
      </c>
      <c r="CK32" s="93" t="s">
        <v>87</v>
      </c>
      <c r="CL32" s="93" t="s">
        <v>87</v>
      </c>
      <c r="CM32" s="93" t="s">
        <v>87</v>
      </c>
      <c r="CN32" s="93" t="s">
        <v>87</v>
      </c>
      <c r="CO32" s="93">
        <v>59</v>
      </c>
      <c r="CP32" s="93">
        <v>59</v>
      </c>
      <c r="CQ32" s="93" t="s">
        <v>59</v>
      </c>
      <c r="CR32" s="93" t="s">
        <v>59</v>
      </c>
      <c r="CS32" s="93" t="s">
        <v>59</v>
      </c>
      <c r="CT32" s="93" t="s">
        <v>59</v>
      </c>
      <c r="CU32" s="93" t="s">
        <v>59</v>
      </c>
      <c r="CV32" s="93" t="s">
        <v>59</v>
      </c>
      <c r="CW32" s="93" t="s">
        <v>59</v>
      </c>
      <c r="CX32" s="93" t="s">
        <v>59</v>
      </c>
      <c r="CY32" s="93" t="s">
        <v>59</v>
      </c>
      <c r="CZ32" s="93" t="s">
        <v>59</v>
      </c>
      <c r="DA32" s="93" t="s">
        <v>59</v>
      </c>
      <c r="DB32" s="93" t="s">
        <v>59</v>
      </c>
      <c r="DC32" s="93" t="s">
        <v>59</v>
      </c>
      <c r="DD32" s="93" t="s">
        <v>59</v>
      </c>
      <c r="DE32" s="93" t="s">
        <v>88</v>
      </c>
      <c r="DF32" s="93" t="s">
        <v>88</v>
      </c>
      <c r="DG32" s="93" t="s">
        <v>86</v>
      </c>
      <c r="DH32" s="93" t="s">
        <v>86</v>
      </c>
      <c r="DI32" s="93" t="s">
        <v>59</v>
      </c>
      <c r="DJ32" s="93" t="s">
        <v>59</v>
      </c>
      <c r="DK32" s="93" t="s">
        <v>59</v>
      </c>
      <c r="DL32" s="93" t="s">
        <v>59</v>
      </c>
      <c r="DM32" s="93" t="s">
        <v>59</v>
      </c>
      <c r="DN32" s="93" t="s">
        <v>59</v>
      </c>
      <c r="DO32" s="93" t="s">
        <v>59</v>
      </c>
      <c r="DP32" s="93" t="s">
        <v>59</v>
      </c>
      <c r="DQ32" s="93" t="s">
        <v>59</v>
      </c>
      <c r="DR32" s="93" t="s">
        <v>59</v>
      </c>
      <c r="DS32" s="94" t="s">
        <v>340</v>
      </c>
      <c r="DT32" s="93" t="s">
        <v>331</v>
      </c>
      <c r="DU32" s="93" t="s">
        <v>59</v>
      </c>
      <c r="DV32" s="93" t="s">
        <v>59</v>
      </c>
      <c r="DW32" s="93" t="s">
        <v>59</v>
      </c>
      <c r="DX32" s="93" t="s">
        <v>59</v>
      </c>
      <c r="DY32" s="93">
        <v>1</v>
      </c>
      <c r="DZ32" s="93">
        <v>1</v>
      </c>
      <c r="EA32" s="93">
        <v>1</v>
      </c>
      <c r="EB32" s="93">
        <v>1</v>
      </c>
      <c r="EC32" s="93">
        <v>1</v>
      </c>
      <c r="ED32" s="93">
        <v>1</v>
      </c>
      <c r="EE32" s="93">
        <v>1</v>
      </c>
      <c r="EF32" s="93">
        <v>1</v>
      </c>
      <c r="EG32" s="93">
        <v>1</v>
      </c>
      <c r="EH32" s="93">
        <v>1</v>
      </c>
      <c r="EI32" s="93">
        <v>0</v>
      </c>
      <c r="EJ32" s="93">
        <v>0</v>
      </c>
      <c r="EK32" s="93">
        <v>0</v>
      </c>
      <c r="EL32" s="93">
        <v>0</v>
      </c>
      <c r="EM32" s="93">
        <v>1</v>
      </c>
      <c r="EN32" s="93">
        <v>1</v>
      </c>
      <c r="EO32" s="93">
        <v>1</v>
      </c>
      <c r="EP32" s="93">
        <v>1</v>
      </c>
      <c r="EQ32" s="93">
        <v>0</v>
      </c>
      <c r="ER32" s="93">
        <v>0</v>
      </c>
      <c r="ES32" s="70">
        <f t="shared" ref="ES32:ET34" si="74">SUM(DY32,EA32,EC32,EE32,EG32,EI32,EK32,EM32,EO32,EQ32)</f>
        <v>7</v>
      </c>
      <c r="ET32" s="70">
        <f t="shared" si="74"/>
        <v>7</v>
      </c>
      <c r="EU32" s="66"/>
      <c r="EV32" s="66"/>
      <c r="EW32" s="59" t="str">
        <f t="shared" si="2"/>
        <v>Y</v>
      </c>
      <c r="EX32" s="59" t="str">
        <f t="shared" si="3"/>
        <v>Y</v>
      </c>
      <c r="EY32" s="59" t="str">
        <f t="shared" si="4"/>
        <v>Y</v>
      </c>
      <c r="EZ32" s="59" t="str">
        <f t="shared" si="5"/>
        <v>Y</v>
      </c>
      <c r="FA32" s="59" t="str">
        <f t="shared" si="6"/>
        <v>Y</v>
      </c>
      <c r="FB32" s="59" t="str">
        <f t="shared" si="71"/>
        <v>Y</v>
      </c>
      <c r="FC32" s="59" t="str">
        <f t="shared" si="8"/>
        <v>Y</v>
      </c>
      <c r="FD32" s="59" t="str">
        <f t="shared" si="9"/>
        <v>Y</v>
      </c>
      <c r="FE32" s="59" t="str">
        <f t="shared" si="10"/>
        <v>Y</v>
      </c>
      <c r="FF32" s="59" t="str">
        <f t="shared" si="11"/>
        <v>Y</v>
      </c>
      <c r="FG32" s="59" t="str">
        <f t="shared" si="12"/>
        <v>Y</v>
      </c>
      <c r="FH32" s="59" t="str">
        <f t="shared" si="13"/>
        <v>Y</v>
      </c>
      <c r="FI32" s="59" t="str">
        <f t="shared" si="14"/>
        <v>Y</v>
      </c>
      <c r="FJ32" s="59" t="str">
        <f t="shared" si="15"/>
        <v>Y</v>
      </c>
      <c r="FK32" s="59" t="str">
        <f t="shared" si="16"/>
        <v>Y</v>
      </c>
      <c r="FL32" s="59" t="str">
        <f t="shared" si="17"/>
        <v>Y</v>
      </c>
      <c r="FM32" s="59" t="str">
        <f t="shared" si="18"/>
        <v>Y</v>
      </c>
      <c r="FN32" s="59" t="str">
        <f t="shared" si="19"/>
        <v>Y</v>
      </c>
      <c r="FO32" s="59" t="str">
        <f t="shared" si="20"/>
        <v>Y</v>
      </c>
      <c r="FP32" s="59" t="str">
        <f t="shared" si="21"/>
        <v>Y</v>
      </c>
      <c r="FQ32" s="59" t="str">
        <f t="shared" si="22"/>
        <v>Y</v>
      </c>
      <c r="FR32" s="59" t="str">
        <f t="shared" si="23"/>
        <v>Y</v>
      </c>
      <c r="FS32" s="59" t="str">
        <f t="shared" si="24"/>
        <v>Y</v>
      </c>
      <c r="FT32" s="59" t="str">
        <f t="shared" si="25"/>
        <v>Y</v>
      </c>
      <c r="FU32" s="59" t="str">
        <f t="shared" si="26"/>
        <v>Y</v>
      </c>
      <c r="FV32" s="59" t="str">
        <f t="shared" si="27"/>
        <v>Y</v>
      </c>
      <c r="FW32" s="59" t="str">
        <f t="shared" si="28"/>
        <v>Y</v>
      </c>
      <c r="FX32" s="59" t="str">
        <f t="shared" si="29"/>
        <v>Y</v>
      </c>
      <c r="FY32" s="59" t="str">
        <f t="shared" si="30"/>
        <v>Y</v>
      </c>
      <c r="FZ32" s="59" t="str">
        <f t="shared" si="31"/>
        <v>Y</v>
      </c>
      <c r="GA32" s="59" t="str">
        <f t="shared" si="32"/>
        <v>Y</v>
      </c>
      <c r="GB32" s="59" t="str">
        <f t="shared" si="33"/>
        <v>Y</v>
      </c>
      <c r="GC32" s="59" t="str">
        <f t="shared" si="34"/>
        <v>Y</v>
      </c>
      <c r="GD32" s="59" t="str">
        <f t="shared" si="35"/>
        <v>Y</v>
      </c>
      <c r="GE32" s="59" t="str">
        <f t="shared" si="36"/>
        <v>Y</v>
      </c>
      <c r="GF32" s="59" t="str">
        <f t="shared" si="37"/>
        <v>Y</v>
      </c>
      <c r="GG32" s="59" t="str">
        <f t="shared" si="38"/>
        <v>Y</v>
      </c>
      <c r="GH32" s="59" t="str">
        <f t="shared" si="39"/>
        <v>Y</v>
      </c>
      <c r="GI32" s="59" t="str">
        <f t="shared" si="40"/>
        <v>Y</v>
      </c>
      <c r="GJ32" s="59" t="str">
        <f t="shared" si="41"/>
        <v>Y</v>
      </c>
      <c r="GK32" s="59" t="str">
        <f t="shared" si="42"/>
        <v>Y</v>
      </c>
      <c r="GL32" s="59" t="str">
        <f t="shared" si="43"/>
        <v>Y</v>
      </c>
      <c r="GM32" s="59" t="str">
        <f t="shared" si="44"/>
        <v>Y</v>
      </c>
      <c r="GN32" s="59" t="str">
        <f t="shared" si="45"/>
        <v>Y</v>
      </c>
      <c r="GO32" s="59" t="str">
        <f t="shared" si="46"/>
        <v>Y</v>
      </c>
      <c r="GP32" s="59" t="str">
        <f t="shared" si="47"/>
        <v>Y</v>
      </c>
      <c r="GQ32" s="59" t="str">
        <f t="shared" si="48"/>
        <v>Y</v>
      </c>
      <c r="GR32" s="59" t="str">
        <f t="shared" si="49"/>
        <v>Y</v>
      </c>
      <c r="GS32" s="59" t="str">
        <f t="shared" si="50"/>
        <v>Y</v>
      </c>
      <c r="GT32" s="59" t="str">
        <f t="shared" si="51"/>
        <v>Y</v>
      </c>
      <c r="GU32" s="59" t="str">
        <f t="shared" si="52"/>
        <v>Y</v>
      </c>
      <c r="GV32" s="59" t="str">
        <f t="shared" si="53"/>
        <v>Y</v>
      </c>
      <c r="GW32" s="59" t="str">
        <f t="shared" si="54"/>
        <v>Y</v>
      </c>
      <c r="GX32" s="59" t="str">
        <f t="shared" si="55"/>
        <v>Y</v>
      </c>
      <c r="GY32" s="59" t="str">
        <f t="shared" si="56"/>
        <v>Y</v>
      </c>
      <c r="GZ32" s="59" t="str">
        <f t="shared" si="57"/>
        <v>Y</v>
      </c>
      <c r="HA32" s="59" t="str">
        <f t="shared" si="58"/>
        <v>Y</v>
      </c>
      <c r="HB32" s="59" t="str">
        <f t="shared" si="59"/>
        <v>Y</v>
      </c>
      <c r="HC32" s="59" t="str">
        <f t="shared" si="60"/>
        <v>Y</v>
      </c>
      <c r="HD32" s="59" t="str">
        <f t="shared" si="61"/>
        <v>Y</v>
      </c>
      <c r="HE32" s="59" t="str">
        <f t="shared" si="62"/>
        <v>Y</v>
      </c>
      <c r="HF32" s="59" t="str">
        <f t="shared" si="63"/>
        <v>Y</v>
      </c>
      <c r="HG32" s="59" t="str">
        <f t="shared" si="64"/>
        <v>Y</v>
      </c>
      <c r="HH32" s="59" t="str">
        <f t="shared" si="65"/>
        <v>Y</v>
      </c>
      <c r="HI32" s="59" t="str">
        <f t="shared" si="66"/>
        <v>Y</v>
      </c>
      <c r="HJ32" s="68" t="str">
        <f t="shared" si="67"/>
        <v>Y</v>
      </c>
      <c r="HK32" s="59"/>
      <c r="HL32" s="59"/>
    </row>
    <row r="33" spans="1:220" ht="15.75" customHeight="1" x14ac:dyDescent="0.2">
      <c r="A33" s="69" t="s">
        <v>157</v>
      </c>
      <c r="B33" s="70">
        <v>2016</v>
      </c>
      <c r="C33" s="70">
        <v>658</v>
      </c>
      <c r="D33" s="70">
        <v>658</v>
      </c>
      <c r="E33" s="59">
        <v>296</v>
      </c>
      <c r="F33" s="70">
        <v>296</v>
      </c>
      <c r="G33" s="70">
        <v>21.3</v>
      </c>
      <c r="H33" s="70">
        <v>21.3</v>
      </c>
      <c r="I33" s="70">
        <v>20.7</v>
      </c>
      <c r="J33" s="70">
        <v>20.7</v>
      </c>
      <c r="K33" s="70">
        <v>21.3</v>
      </c>
      <c r="L33" s="59">
        <v>21.3</v>
      </c>
      <c r="M33" s="59">
        <v>59</v>
      </c>
      <c r="N33" s="59">
        <v>59</v>
      </c>
      <c r="O33" s="59">
        <v>710</v>
      </c>
      <c r="P33" s="59">
        <v>710</v>
      </c>
      <c r="Q33" s="59">
        <v>139</v>
      </c>
      <c r="R33" s="59">
        <v>139</v>
      </c>
      <c r="S33" s="59">
        <v>46</v>
      </c>
      <c r="T33" s="59">
        <v>46</v>
      </c>
      <c r="U33" s="70">
        <v>0</v>
      </c>
      <c r="V33" s="70">
        <v>0</v>
      </c>
      <c r="W33" s="70">
        <v>0</v>
      </c>
      <c r="X33" s="70">
        <v>0</v>
      </c>
      <c r="Y33" s="70">
        <v>954</v>
      </c>
      <c r="Z33" s="70">
        <v>954</v>
      </c>
      <c r="AA33" s="70">
        <v>0</v>
      </c>
      <c r="AB33" s="70">
        <v>0</v>
      </c>
      <c r="AC33" s="59" t="s">
        <v>92</v>
      </c>
      <c r="AD33" s="59" t="s">
        <v>126</v>
      </c>
      <c r="AE33" s="70" t="s">
        <v>126</v>
      </c>
      <c r="AF33" s="70" t="s">
        <v>103</v>
      </c>
      <c r="AG33" s="70" t="s">
        <v>86</v>
      </c>
      <c r="AH33" s="70" t="s">
        <v>86</v>
      </c>
      <c r="AI33" s="70" t="s">
        <v>85</v>
      </c>
      <c r="AJ33" s="70" t="s">
        <v>85</v>
      </c>
      <c r="AK33" s="70" t="s">
        <v>86</v>
      </c>
      <c r="AL33" s="70" t="s">
        <v>86</v>
      </c>
      <c r="AM33" s="70">
        <v>954</v>
      </c>
      <c r="AN33" s="70">
        <v>954</v>
      </c>
      <c r="AO33" s="70">
        <v>0</v>
      </c>
      <c r="AP33" s="70">
        <v>0</v>
      </c>
      <c r="AQ33" s="70">
        <v>0</v>
      </c>
      <c r="AR33" s="70">
        <v>0</v>
      </c>
      <c r="AS33" s="71">
        <v>316.10000000000002</v>
      </c>
      <c r="AT33" s="72" t="s">
        <v>59</v>
      </c>
      <c r="AU33" s="71">
        <v>328.3</v>
      </c>
      <c r="AV33" s="72" t="s">
        <v>59</v>
      </c>
      <c r="AW33" s="71">
        <v>154.69999999999999</v>
      </c>
      <c r="AX33" s="72">
        <v>154.69999999999999</v>
      </c>
      <c r="AY33" s="70">
        <v>954</v>
      </c>
      <c r="AZ33" s="70">
        <v>954</v>
      </c>
      <c r="BA33" s="70">
        <v>67</v>
      </c>
      <c r="BB33" s="70">
        <v>67</v>
      </c>
      <c r="BC33" s="70" t="s">
        <v>99</v>
      </c>
      <c r="BD33" s="70" t="s">
        <v>99</v>
      </c>
      <c r="BE33" s="70">
        <f t="shared" si="68"/>
        <v>0</v>
      </c>
      <c r="BF33" s="70">
        <f t="shared" si="69"/>
        <v>0</v>
      </c>
      <c r="BG33" s="70">
        <f t="shared" si="0"/>
        <v>67</v>
      </c>
      <c r="BH33" s="70">
        <f t="shared" si="1"/>
        <v>67</v>
      </c>
      <c r="BI33" s="70" t="s">
        <v>87</v>
      </c>
      <c r="BJ33" s="70" t="s">
        <v>87</v>
      </c>
      <c r="BK33" s="70" t="s">
        <v>87</v>
      </c>
      <c r="BL33" s="70" t="s">
        <v>87</v>
      </c>
      <c r="BM33" s="70">
        <v>67</v>
      </c>
      <c r="BN33" s="70">
        <v>67</v>
      </c>
      <c r="BO33" s="70" t="s">
        <v>87</v>
      </c>
      <c r="BP33" s="70" t="s">
        <v>87</v>
      </c>
      <c r="BQ33" s="70" t="s">
        <v>87</v>
      </c>
      <c r="BR33" s="70" t="s">
        <v>87</v>
      </c>
      <c r="BS33" s="70" t="s">
        <v>87</v>
      </c>
      <c r="BT33" s="70" t="s">
        <v>87</v>
      </c>
      <c r="BU33" s="70" t="s">
        <v>87</v>
      </c>
      <c r="BV33" s="70" t="s">
        <v>87</v>
      </c>
      <c r="BW33" s="70" t="s">
        <v>87</v>
      </c>
      <c r="BX33" s="70" t="s">
        <v>87</v>
      </c>
      <c r="BY33" s="70" t="s">
        <v>87</v>
      </c>
      <c r="BZ33" s="70" t="s">
        <v>87</v>
      </c>
      <c r="CA33" s="70" t="s">
        <v>87</v>
      </c>
      <c r="CB33" s="70" t="s">
        <v>87</v>
      </c>
      <c r="CC33" s="70" t="s">
        <v>87</v>
      </c>
      <c r="CD33" s="70" t="s">
        <v>87</v>
      </c>
      <c r="CE33" s="70" t="s">
        <v>87</v>
      </c>
      <c r="CF33" s="70" t="s">
        <v>87</v>
      </c>
      <c r="CG33" s="70" t="s">
        <v>87</v>
      </c>
      <c r="CH33" s="70" t="s">
        <v>87</v>
      </c>
      <c r="CI33" s="70" t="s">
        <v>87</v>
      </c>
      <c r="CJ33" s="70" t="s">
        <v>87</v>
      </c>
      <c r="CK33" s="70" t="s">
        <v>87</v>
      </c>
      <c r="CL33" s="70" t="s">
        <v>87</v>
      </c>
      <c r="CM33" s="70" t="s">
        <v>87</v>
      </c>
      <c r="CN33" s="70" t="s">
        <v>87</v>
      </c>
      <c r="CO33" s="70" t="s">
        <v>87</v>
      </c>
      <c r="CP33" s="70" t="s">
        <v>87</v>
      </c>
      <c r="CQ33" s="70" t="s">
        <v>59</v>
      </c>
      <c r="CR33" s="70" t="s">
        <v>59</v>
      </c>
      <c r="CS33" s="70" t="s">
        <v>59</v>
      </c>
      <c r="CT33" s="70" t="s">
        <v>59</v>
      </c>
      <c r="CU33" s="70" t="s">
        <v>59</v>
      </c>
      <c r="CV33" s="70" t="s">
        <v>59</v>
      </c>
      <c r="CW33" s="70" t="s">
        <v>59</v>
      </c>
      <c r="CX33" s="70" t="s">
        <v>59</v>
      </c>
      <c r="CY33" s="70" t="s">
        <v>59</v>
      </c>
      <c r="CZ33" s="70" t="s">
        <v>59</v>
      </c>
      <c r="DA33" s="70" t="s">
        <v>59</v>
      </c>
      <c r="DB33" s="70" t="s">
        <v>59</v>
      </c>
      <c r="DC33" s="70" t="s">
        <v>59</v>
      </c>
      <c r="DD33" s="70" t="s">
        <v>59</v>
      </c>
      <c r="DE33" s="70" t="s">
        <v>88</v>
      </c>
      <c r="DF33" s="70" t="s">
        <v>88</v>
      </c>
      <c r="DG33" s="70" t="s">
        <v>86</v>
      </c>
      <c r="DH33" s="70" t="s">
        <v>86</v>
      </c>
      <c r="DI33" s="70" t="s">
        <v>59</v>
      </c>
      <c r="DJ33" s="70" t="s">
        <v>59</v>
      </c>
      <c r="DK33" s="70" t="s">
        <v>59</v>
      </c>
      <c r="DL33" s="70" t="s">
        <v>59</v>
      </c>
      <c r="DM33" s="70" t="s">
        <v>59</v>
      </c>
      <c r="DN33" s="59" t="s">
        <v>59</v>
      </c>
      <c r="DO33" s="70" t="s">
        <v>59</v>
      </c>
      <c r="DP33" s="70" t="s">
        <v>59</v>
      </c>
      <c r="DQ33" s="70" t="s">
        <v>59</v>
      </c>
      <c r="DR33" s="70" t="s">
        <v>59</v>
      </c>
      <c r="DS33" s="70" t="s">
        <v>305</v>
      </c>
      <c r="DT33" s="70" t="s">
        <v>305</v>
      </c>
      <c r="DU33" s="70" t="s">
        <v>332</v>
      </c>
      <c r="DV33" s="70" t="s">
        <v>158</v>
      </c>
      <c r="DW33" s="70" t="s">
        <v>104</v>
      </c>
      <c r="DX33" s="70" t="s">
        <v>104</v>
      </c>
      <c r="DY33" s="70">
        <v>1</v>
      </c>
      <c r="DZ33" s="70">
        <v>1</v>
      </c>
      <c r="EA33" s="70">
        <v>1</v>
      </c>
      <c r="EB33" s="70">
        <v>1</v>
      </c>
      <c r="EC33" s="70">
        <v>1</v>
      </c>
      <c r="ED33" s="70">
        <v>1</v>
      </c>
      <c r="EE33" s="70">
        <v>1</v>
      </c>
      <c r="EF33" s="70">
        <v>1</v>
      </c>
      <c r="EG33" s="70">
        <v>1</v>
      </c>
      <c r="EH33" s="70">
        <v>1</v>
      </c>
      <c r="EI33" s="70">
        <v>0</v>
      </c>
      <c r="EJ33" s="70">
        <v>0</v>
      </c>
      <c r="EK33" s="70">
        <v>1</v>
      </c>
      <c r="EL33" s="70">
        <v>1</v>
      </c>
      <c r="EM33" s="70">
        <v>1</v>
      </c>
      <c r="EN33" s="70">
        <v>1</v>
      </c>
      <c r="EO33" s="70">
        <v>1</v>
      </c>
      <c r="EP33" s="70">
        <v>1</v>
      </c>
      <c r="EQ33" s="70">
        <v>1</v>
      </c>
      <c r="ER33" s="70">
        <v>1</v>
      </c>
      <c r="ES33" s="70">
        <f t="shared" si="74"/>
        <v>9</v>
      </c>
      <c r="ET33" s="70">
        <f t="shared" si="74"/>
        <v>9</v>
      </c>
      <c r="EU33" s="74" t="s">
        <v>157</v>
      </c>
      <c r="EV33" s="66">
        <v>2016</v>
      </c>
      <c r="EW33" s="59" t="str">
        <f t="shared" si="2"/>
        <v>Y</v>
      </c>
      <c r="EX33" s="59" t="str">
        <f t="shared" si="3"/>
        <v>Y</v>
      </c>
      <c r="EY33" s="59" t="str">
        <f t="shared" si="4"/>
        <v>Y</v>
      </c>
      <c r="EZ33" s="59" t="str">
        <f t="shared" si="5"/>
        <v>Y</v>
      </c>
      <c r="FA33" s="59" t="str">
        <f t="shared" si="6"/>
        <v>Y</v>
      </c>
      <c r="FB33" s="59" t="str">
        <f t="shared" si="71"/>
        <v>Y</v>
      </c>
      <c r="FC33" s="59" t="str">
        <f t="shared" si="8"/>
        <v>Y</v>
      </c>
      <c r="FD33" s="59" t="str">
        <f t="shared" si="9"/>
        <v>Y</v>
      </c>
      <c r="FE33" s="59" t="str">
        <f t="shared" si="10"/>
        <v>Y</v>
      </c>
      <c r="FF33" s="59" t="str">
        <f t="shared" si="11"/>
        <v>Y</v>
      </c>
      <c r="FG33" s="59" t="str">
        <f t="shared" si="12"/>
        <v>Y</v>
      </c>
      <c r="FH33" s="59" t="str">
        <f t="shared" si="13"/>
        <v>Y</v>
      </c>
      <c r="FI33" s="59" t="str">
        <f t="shared" si="14"/>
        <v>Y</v>
      </c>
      <c r="FJ33" s="59" t="str">
        <f t="shared" si="15"/>
        <v>Y</v>
      </c>
      <c r="FK33" s="59" t="str">
        <f t="shared" si="16"/>
        <v>Y</v>
      </c>
      <c r="FL33" s="59" t="str">
        <f t="shared" si="17"/>
        <v>Y</v>
      </c>
      <c r="FM33" s="59" t="str">
        <f t="shared" si="18"/>
        <v>Y</v>
      </c>
      <c r="FN33" s="59" t="str">
        <f t="shared" si="19"/>
        <v>Y</v>
      </c>
      <c r="FO33" s="59" t="str">
        <f t="shared" si="20"/>
        <v>Y</v>
      </c>
      <c r="FP33" s="59" t="str">
        <f t="shared" si="21"/>
        <v>Y</v>
      </c>
      <c r="FQ33" s="59" t="str">
        <f t="shared" si="22"/>
        <v>Y</v>
      </c>
      <c r="FR33" s="59" t="str">
        <f t="shared" si="23"/>
        <v>Y</v>
      </c>
      <c r="FS33" s="59" t="str">
        <f t="shared" si="24"/>
        <v>Y</v>
      </c>
      <c r="FT33" s="59" t="str">
        <f t="shared" si="25"/>
        <v>Y</v>
      </c>
      <c r="FU33" s="59" t="str">
        <f t="shared" si="26"/>
        <v>Y</v>
      </c>
      <c r="FV33" s="59" t="str">
        <f t="shared" si="27"/>
        <v>Y</v>
      </c>
      <c r="FW33" s="59" t="str">
        <f t="shared" si="28"/>
        <v>Y</v>
      </c>
      <c r="FX33" s="59" t="str">
        <f t="shared" si="29"/>
        <v>Y</v>
      </c>
      <c r="FY33" s="59" t="str">
        <f t="shared" si="30"/>
        <v>Y</v>
      </c>
      <c r="FZ33" s="59" t="str">
        <f t="shared" si="31"/>
        <v>Y</v>
      </c>
      <c r="GA33" s="59" t="str">
        <f t="shared" si="32"/>
        <v>Y</v>
      </c>
      <c r="GB33" s="59" t="str">
        <f t="shared" si="33"/>
        <v>Y</v>
      </c>
      <c r="GC33" s="59" t="str">
        <f t="shared" si="34"/>
        <v>Y</v>
      </c>
      <c r="GD33" s="59" t="str">
        <f t="shared" si="35"/>
        <v>Y</v>
      </c>
      <c r="GE33" s="59" t="str">
        <f t="shared" si="36"/>
        <v>Y</v>
      </c>
      <c r="GF33" s="59" t="str">
        <f t="shared" si="37"/>
        <v>Y</v>
      </c>
      <c r="GG33" s="59" t="str">
        <f t="shared" si="38"/>
        <v>Y</v>
      </c>
      <c r="GH33" s="59" t="str">
        <f t="shared" si="39"/>
        <v>Y</v>
      </c>
      <c r="GI33" s="59" t="str">
        <f t="shared" si="40"/>
        <v>Y</v>
      </c>
      <c r="GJ33" s="59" t="str">
        <f t="shared" si="41"/>
        <v>Y</v>
      </c>
      <c r="GK33" s="59" t="str">
        <f t="shared" si="42"/>
        <v>Y</v>
      </c>
      <c r="GL33" s="59" t="str">
        <f t="shared" si="43"/>
        <v>Y</v>
      </c>
      <c r="GM33" s="59" t="str">
        <f t="shared" si="44"/>
        <v>Y</v>
      </c>
      <c r="GN33" s="59" t="str">
        <f t="shared" si="45"/>
        <v>Y</v>
      </c>
      <c r="GO33" s="59" t="str">
        <f t="shared" si="46"/>
        <v>Y</v>
      </c>
      <c r="GP33" s="59" t="str">
        <f t="shared" si="47"/>
        <v>Y</v>
      </c>
      <c r="GQ33" s="59" t="str">
        <f t="shared" si="48"/>
        <v>Y</v>
      </c>
      <c r="GR33" s="59" t="str">
        <f t="shared" si="49"/>
        <v>Y</v>
      </c>
      <c r="GS33" s="59" t="str">
        <f t="shared" si="50"/>
        <v>Y</v>
      </c>
      <c r="GT33" s="59" t="str">
        <f t="shared" si="51"/>
        <v>Y</v>
      </c>
      <c r="GU33" s="59" t="str">
        <f t="shared" si="52"/>
        <v>Y</v>
      </c>
      <c r="GV33" s="59" t="str">
        <f t="shared" si="53"/>
        <v>Y</v>
      </c>
      <c r="GW33" s="59" t="str">
        <f t="shared" si="54"/>
        <v>Y</v>
      </c>
      <c r="GX33" s="59" t="str">
        <f t="shared" si="55"/>
        <v>Y</v>
      </c>
      <c r="GY33" s="59" t="str">
        <f t="shared" si="56"/>
        <v>Y</v>
      </c>
      <c r="GZ33" s="59" t="str">
        <f t="shared" si="57"/>
        <v>Y</v>
      </c>
      <c r="HA33" s="59" t="str">
        <f t="shared" si="58"/>
        <v>Y</v>
      </c>
      <c r="HB33" s="59" t="str">
        <f t="shared" si="59"/>
        <v>Y</v>
      </c>
      <c r="HC33" s="59" t="str">
        <f t="shared" si="60"/>
        <v>Y</v>
      </c>
      <c r="HD33" s="59" t="str">
        <f t="shared" si="61"/>
        <v>Y</v>
      </c>
      <c r="HE33" s="59" t="str">
        <f t="shared" si="62"/>
        <v>Y</v>
      </c>
      <c r="HF33" s="59" t="str">
        <f t="shared" si="63"/>
        <v>Y</v>
      </c>
      <c r="HG33" s="59" t="str">
        <f t="shared" si="64"/>
        <v>Y</v>
      </c>
      <c r="HH33" s="59" t="str">
        <f t="shared" si="65"/>
        <v>Y</v>
      </c>
      <c r="HI33" s="59" t="str">
        <f t="shared" si="66"/>
        <v>Y</v>
      </c>
      <c r="HJ33" s="68" t="str">
        <f t="shared" si="67"/>
        <v>Y</v>
      </c>
      <c r="HK33" s="59"/>
      <c r="HL33" s="68"/>
    </row>
    <row r="34" spans="1:220" ht="15.75" customHeight="1" x14ac:dyDescent="0.2">
      <c r="A34" s="69" t="s">
        <v>159</v>
      </c>
      <c r="B34" s="70">
        <v>2006</v>
      </c>
      <c r="C34" s="70" t="s">
        <v>59</v>
      </c>
      <c r="D34" s="70" t="s">
        <v>59</v>
      </c>
      <c r="E34" s="70" t="s">
        <v>59</v>
      </c>
      <c r="F34" s="70" t="s">
        <v>59</v>
      </c>
      <c r="G34" s="70" t="s">
        <v>59</v>
      </c>
      <c r="H34" s="70" t="s">
        <v>59</v>
      </c>
      <c r="I34" s="70" t="s">
        <v>59</v>
      </c>
      <c r="J34" s="70" t="s">
        <v>59</v>
      </c>
      <c r="K34" s="70" t="s">
        <v>59</v>
      </c>
      <c r="L34" s="70" t="s">
        <v>59</v>
      </c>
      <c r="M34" s="70" t="s">
        <v>59</v>
      </c>
      <c r="N34" s="70" t="s">
        <v>59</v>
      </c>
      <c r="O34" s="70" t="s">
        <v>59</v>
      </c>
      <c r="P34" s="70" t="s">
        <v>59</v>
      </c>
      <c r="Q34" s="70" t="s">
        <v>59</v>
      </c>
      <c r="R34" s="70" t="s">
        <v>59</v>
      </c>
      <c r="S34" s="70" t="s">
        <v>59</v>
      </c>
      <c r="T34" s="70" t="s">
        <v>59</v>
      </c>
      <c r="U34" s="70" t="s">
        <v>59</v>
      </c>
      <c r="V34" s="70" t="s">
        <v>59</v>
      </c>
      <c r="W34" s="70" t="s">
        <v>59</v>
      </c>
      <c r="X34" s="70" t="s">
        <v>59</v>
      </c>
      <c r="Y34" s="70" t="s">
        <v>59</v>
      </c>
      <c r="Z34" s="70" t="s">
        <v>59</v>
      </c>
      <c r="AA34" s="70" t="s">
        <v>59</v>
      </c>
      <c r="AB34" s="70" t="s">
        <v>59</v>
      </c>
      <c r="AC34" s="59" t="s">
        <v>131</v>
      </c>
      <c r="AD34" s="59" t="s">
        <v>160</v>
      </c>
      <c r="AE34" s="70" t="s">
        <v>160</v>
      </c>
      <c r="AF34" s="70" t="s">
        <v>113</v>
      </c>
      <c r="AG34" s="70" t="s">
        <v>85</v>
      </c>
      <c r="AH34" s="70" t="s">
        <v>85</v>
      </c>
      <c r="AI34" s="70" t="s">
        <v>86</v>
      </c>
      <c r="AJ34" s="70" t="s">
        <v>86</v>
      </c>
      <c r="AK34" s="70" t="s">
        <v>86</v>
      </c>
      <c r="AL34" s="70" t="s">
        <v>86</v>
      </c>
      <c r="AM34" s="70">
        <v>117</v>
      </c>
      <c r="AN34" s="70">
        <v>117</v>
      </c>
      <c r="AO34" s="70">
        <v>0</v>
      </c>
      <c r="AP34" s="70">
        <v>0</v>
      </c>
      <c r="AQ34" s="70">
        <v>0</v>
      </c>
      <c r="AR34" s="70">
        <v>0</v>
      </c>
      <c r="AS34" s="71">
        <v>197</v>
      </c>
      <c r="AT34" s="72" t="s">
        <v>59</v>
      </c>
      <c r="AU34" s="71" t="s">
        <v>59</v>
      </c>
      <c r="AV34" s="72" t="s">
        <v>59</v>
      </c>
      <c r="AW34" s="71" t="s">
        <v>59</v>
      </c>
      <c r="AX34" s="72" t="s">
        <v>59</v>
      </c>
      <c r="AY34" s="70">
        <v>117</v>
      </c>
      <c r="AZ34" s="70">
        <v>117</v>
      </c>
      <c r="BA34" s="70">
        <v>9</v>
      </c>
      <c r="BB34" s="70">
        <v>9</v>
      </c>
      <c r="BC34" s="70" t="s">
        <v>99</v>
      </c>
      <c r="BD34" s="70" t="s">
        <v>99</v>
      </c>
      <c r="BE34" s="70">
        <f t="shared" si="68"/>
        <v>0</v>
      </c>
      <c r="BF34" s="70">
        <f t="shared" si="69"/>
        <v>0</v>
      </c>
      <c r="BG34" s="70">
        <f t="shared" si="0"/>
        <v>9</v>
      </c>
      <c r="BH34" s="70">
        <f t="shared" si="1"/>
        <v>9</v>
      </c>
      <c r="BI34" s="70" t="s">
        <v>87</v>
      </c>
      <c r="BJ34" s="70" t="s">
        <v>87</v>
      </c>
      <c r="BK34" s="70" t="s">
        <v>87</v>
      </c>
      <c r="BL34" s="70" t="s">
        <v>87</v>
      </c>
      <c r="BM34" s="70">
        <v>9</v>
      </c>
      <c r="BN34" s="70">
        <v>9</v>
      </c>
      <c r="BO34" s="70" t="s">
        <v>87</v>
      </c>
      <c r="BP34" s="70" t="s">
        <v>87</v>
      </c>
      <c r="BQ34" s="70" t="s">
        <v>87</v>
      </c>
      <c r="BR34" s="70" t="s">
        <v>87</v>
      </c>
      <c r="BS34" s="70" t="s">
        <v>87</v>
      </c>
      <c r="BT34" s="70" t="s">
        <v>87</v>
      </c>
      <c r="BU34" s="70" t="s">
        <v>87</v>
      </c>
      <c r="BV34" s="70" t="s">
        <v>87</v>
      </c>
      <c r="BW34" s="70" t="s">
        <v>87</v>
      </c>
      <c r="BX34" s="70" t="s">
        <v>87</v>
      </c>
      <c r="BY34" s="70" t="s">
        <v>87</v>
      </c>
      <c r="BZ34" s="70" t="s">
        <v>87</v>
      </c>
      <c r="CA34" s="70" t="s">
        <v>87</v>
      </c>
      <c r="CB34" s="70" t="s">
        <v>87</v>
      </c>
      <c r="CC34" s="70" t="s">
        <v>87</v>
      </c>
      <c r="CD34" s="70" t="s">
        <v>87</v>
      </c>
      <c r="CE34" s="70" t="s">
        <v>87</v>
      </c>
      <c r="CF34" s="70" t="s">
        <v>87</v>
      </c>
      <c r="CG34" s="70" t="s">
        <v>87</v>
      </c>
      <c r="CH34" s="70" t="s">
        <v>87</v>
      </c>
      <c r="CI34" s="70" t="s">
        <v>87</v>
      </c>
      <c r="CJ34" s="70" t="s">
        <v>87</v>
      </c>
      <c r="CK34" s="70" t="s">
        <v>87</v>
      </c>
      <c r="CL34" s="70" t="s">
        <v>87</v>
      </c>
      <c r="CM34" s="70" t="s">
        <v>87</v>
      </c>
      <c r="CN34" s="70" t="s">
        <v>87</v>
      </c>
      <c r="CO34" s="70" t="s">
        <v>87</v>
      </c>
      <c r="CP34" s="70" t="s">
        <v>87</v>
      </c>
      <c r="CQ34" s="70" t="s">
        <v>59</v>
      </c>
      <c r="CR34" s="70" t="s">
        <v>59</v>
      </c>
      <c r="CS34" s="70" t="s">
        <v>59</v>
      </c>
      <c r="CT34" s="70" t="s">
        <v>59</v>
      </c>
      <c r="CU34" s="70" t="s">
        <v>59</v>
      </c>
      <c r="CV34" s="70" t="s">
        <v>59</v>
      </c>
      <c r="CW34" s="70" t="s">
        <v>59</v>
      </c>
      <c r="CX34" s="70" t="s">
        <v>59</v>
      </c>
      <c r="CY34" s="70" t="s">
        <v>59</v>
      </c>
      <c r="CZ34" s="70" t="s">
        <v>59</v>
      </c>
      <c r="DA34" s="70" t="s">
        <v>59</v>
      </c>
      <c r="DB34" s="70" t="s">
        <v>59</v>
      </c>
      <c r="DC34" s="70" t="s">
        <v>59</v>
      </c>
      <c r="DD34" s="70" t="s">
        <v>59</v>
      </c>
      <c r="DE34" s="70" t="s">
        <v>88</v>
      </c>
      <c r="DF34" s="70" t="s">
        <v>88</v>
      </c>
      <c r="DG34" s="70" t="s">
        <v>86</v>
      </c>
      <c r="DH34" s="70" t="s">
        <v>86</v>
      </c>
      <c r="DI34" s="70" t="s">
        <v>59</v>
      </c>
      <c r="DJ34" s="70" t="s">
        <v>59</v>
      </c>
      <c r="DK34" s="70" t="s">
        <v>59</v>
      </c>
      <c r="DL34" s="70" t="s">
        <v>59</v>
      </c>
      <c r="DM34" s="70" t="s">
        <v>59</v>
      </c>
      <c r="DN34" s="59" t="s">
        <v>59</v>
      </c>
      <c r="DO34" s="70" t="s">
        <v>59</v>
      </c>
      <c r="DP34" s="70" t="s">
        <v>59</v>
      </c>
      <c r="DQ34" s="70" t="s">
        <v>59</v>
      </c>
      <c r="DR34" s="70" t="s">
        <v>59</v>
      </c>
      <c r="DS34" s="70" t="s">
        <v>305</v>
      </c>
      <c r="DT34" s="70" t="s">
        <v>122</v>
      </c>
      <c r="DU34" s="70" t="s">
        <v>323</v>
      </c>
      <c r="DV34" s="70" t="s">
        <v>323</v>
      </c>
      <c r="DW34" s="70" t="s">
        <v>90</v>
      </c>
      <c r="DX34" s="70" t="s">
        <v>90</v>
      </c>
      <c r="DY34" s="70">
        <v>1</v>
      </c>
      <c r="DZ34" s="70">
        <v>1</v>
      </c>
      <c r="EA34" s="70">
        <v>1</v>
      </c>
      <c r="EB34" s="70">
        <v>1</v>
      </c>
      <c r="EC34" s="70">
        <v>1</v>
      </c>
      <c r="ED34" s="70">
        <v>1</v>
      </c>
      <c r="EE34" s="70">
        <v>0</v>
      </c>
      <c r="EF34" s="70">
        <v>0</v>
      </c>
      <c r="EG34" s="70">
        <v>1</v>
      </c>
      <c r="EH34" s="70">
        <v>1</v>
      </c>
      <c r="EI34" s="70">
        <v>0</v>
      </c>
      <c r="EJ34" s="70">
        <v>0</v>
      </c>
      <c r="EK34" s="70">
        <v>1</v>
      </c>
      <c r="EL34" s="70">
        <v>1</v>
      </c>
      <c r="EM34" s="70">
        <v>1</v>
      </c>
      <c r="EN34" s="70">
        <v>1</v>
      </c>
      <c r="EO34" s="70">
        <v>1</v>
      </c>
      <c r="EP34" s="70">
        <v>1</v>
      </c>
      <c r="EQ34" s="70">
        <v>1</v>
      </c>
      <c r="ER34" s="70">
        <v>1</v>
      </c>
      <c r="ES34" s="70">
        <f t="shared" si="74"/>
        <v>8</v>
      </c>
      <c r="ET34" s="70">
        <f t="shared" si="74"/>
        <v>8</v>
      </c>
      <c r="EU34" s="74" t="s">
        <v>159</v>
      </c>
      <c r="EV34" s="66">
        <v>2006</v>
      </c>
      <c r="EW34" s="59" t="str">
        <f t="shared" si="2"/>
        <v>Y</v>
      </c>
      <c r="EX34" s="59" t="str">
        <f t="shared" si="3"/>
        <v>Y</v>
      </c>
      <c r="EY34" s="59" t="str">
        <f t="shared" si="4"/>
        <v>Y</v>
      </c>
      <c r="EZ34" s="59" t="str">
        <f t="shared" si="5"/>
        <v>Y</v>
      </c>
      <c r="FA34" s="59" t="str">
        <f t="shared" si="6"/>
        <v>Y</v>
      </c>
      <c r="FB34" s="59" t="str">
        <f t="shared" si="71"/>
        <v>Y</v>
      </c>
      <c r="FC34" s="59" t="str">
        <f t="shared" si="8"/>
        <v>Y</v>
      </c>
      <c r="FD34" s="59" t="str">
        <f t="shared" si="9"/>
        <v>Y</v>
      </c>
      <c r="FE34" s="59" t="str">
        <f t="shared" si="10"/>
        <v>Y</v>
      </c>
      <c r="FF34" s="59" t="str">
        <f t="shared" si="11"/>
        <v>Y</v>
      </c>
      <c r="FG34" s="59" t="str">
        <f t="shared" si="12"/>
        <v>Y</v>
      </c>
      <c r="FH34" s="59" t="str">
        <f t="shared" si="13"/>
        <v>Y</v>
      </c>
      <c r="FI34" s="59" t="str">
        <f t="shared" si="14"/>
        <v>Y</v>
      </c>
      <c r="FJ34" s="59" t="str">
        <f t="shared" si="15"/>
        <v>Y</v>
      </c>
      <c r="FK34" s="59" t="str">
        <f t="shared" si="16"/>
        <v>Y</v>
      </c>
      <c r="FL34" s="59" t="str">
        <f t="shared" si="17"/>
        <v>Y</v>
      </c>
      <c r="FM34" s="59" t="str">
        <f t="shared" si="18"/>
        <v>Y</v>
      </c>
      <c r="FN34" s="59" t="str">
        <f t="shared" si="19"/>
        <v>Y</v>
      </c>
      <c r="FO34" s="59" t="str">
        <f t="shared" si="20"/>
        <v>Y</v>
      </c>
      <c r="FP34" s="59" t="str">
        <f t="shared" si="21"/>
        <v>Y</v>
      </c>
      <c r="FQ34" s="59" t="str">
        <f t="shared" si="22"/>
        <v>Y</v>
      </c>
      <c r="FR34" s="59" t="str">
        <f t="shared" si="23"/>
        <v>Y</v>
      </c>
      <c r="FS34" s="59" t="str">
        <f t="shared" si="24"/>
        <v>Y</v>
      </c>
      <c r="FT34" s="59" t="str">
        <f t="shared" si="25"/>
        <v>Y</v>
      </c>
      <c r="FU34" s="59" t="str">
        <f t="shared" si="26"/>
        <v>Y</v>
      </c>
      <c r="FV34" s="59" t="str">
        <f t="shared" si="27"/>
        <v>Y</v>
      </c>
      <c r="FW34" s="59" t="str">
        <f t="shared" si="28"/>
        <v>Y</v>
      </c>
      <c r="FX34" s="59" t="str">
        <f t="shared" si="29"/>
        <v>Y</v>
      </c>
      <c r="FY34" s="59" t="str">
        <f t="shared" si="30"/>
        <v>Y</v>
      </c>
      <c r="FZ34" s="59" t="str">
        <f t="shared" si="31"/>
        <v>Y</v>
      </c>
      <c r="GA34" s="59" t="str">
        <f t="shared" si="32"/>
        <v>Y</v>
      </c>
      <c r="GB34" s="59" t="str">
        <f t="shared" si="33"/>
        <v>Y</v>
      </c>
      <c r="GC34" s="59" t="str">
        <f t="shared" si="34"/>
        <v>Y</v>
      </c>
      <c r="GD34" s="59" t="str">
        <f t="shared" si="35"/>
        <v>Y</v>
      </c>
      <c r="GE34" s="59" t="str">
        <f t="shared" si="36"/>
        <v>Y</v>
      </c>
      <c r="GF34" s="59" t="str">
        <f t="shared" si="37"/>
        <v>Y</v>
      </c>
      <c r="GG34" s="59" t="str">
        <f t="shared" si="38"/>
        <v>Y</v>
      </c>
      <c r="GH34" s="59" t="str">
        <f t="shared" si="39"/>
        <v>Y</v>
      </c>
      <c r="GI34" s="59" t="str">
        <f t="shared" si="40"/>
        <v>Y</v>
      </c>
      <c r="GJ34" s="59" t="str">
        <f t="shared" si="41"/>
        <v>Y</v>
      </c>
      <c r="GK34" s="59" t="str">
        <f t="shared" si="42"/>
        <v>Y</v>
      </c>
      <c r="GL34" s="59" t="str">
        <f t="shared" si="43"/>
        <v>Y</v>
      </c>
      <c r="GM34" s="59" t="str">
        <f t="shared" si="44"/>
        <v>Y</v>
      </c>
      <c r="GN34" s="59" t="str">
        <f t="shared" si="45"/>
        <v>Y</v>
      </c>
      <c r="GO34" s="59" t="str">
        <f t="shared" si="46"/>
        <v>Y</v>
      </c>
      <c r="GP34" s="59" t="str">
        <f t="shared" si="47"/>
        <v>Y</v>
      </c>
      <c r="GQ34" s="59" t="str">
        <f t="shared" si="48"/>
        <v>Y</v>
      </c>
      <c r="GR34" s="59" t="str">
        <f t="shared" si="49"/>
        <v>Y</v>
      </c>
      <c r="GS34" s="59" t="str">
        <f t="shared" si="50"/>
        <v>Y</v>
      </c>
      <c r="GT34" s="59" t="str">
        <f t="shared" si="51"/>
        <v>Y</v>
      </c>
      <c r="GU34" s="59" t="str">
        <f t="shared" si="52"/>
        <v>Y</v>
      </c>
      <c r="GV34" s="59" t="str">
        <f t="shared" si="53"/>
        <v>Y</v>
      </c>
      <c r="GW34" s="59" t="str">
        <f t="shared" si="54"/>
        <v>Y</v>
      </c>
      <c r="GX34" s="59" t="str">
        <f t="shared" si="55"/>
        <v>Y</v>
      </c>
      <c r="GY34" s="59" t="str">
        <f t="shared" si="56"/>
        <v>Y</v>
      </c>
      <c r="GZ34" s="59" t="str">
        <f t="shared" si="57"/>
        <v>Y</v>
      </c>
      <c r="HA34" s="59" t="str">
        <f t="shared" si="58"/>
        <v>Y</v>
      </c>
      <c r="HB34" s="59" t="str">
        <f t="shared" si="59"/>
        <v>Y</v>
      </c>
      <c r="HC34" s="59" t="str">
        <f t="shared" si="60"/>
        <v>Y</v>
      </c>
      <c r="HD34" s="59" t="str">
        <f t="shared" si="61"/>
        <v>Y</v>
      </c>
      <c r="HE34" s="59" t="str">
        <f t="shared" si="62"/>
        <v>Y</v>
      </c>
      <c r="HF34" s="59" t="str">
        <f t="shared" si="63"/>
        <v>Y</v>
      </c>
      <c r="HG34" s="59" t="str">
        <f t="shared" si="64"/>
        <v>Y</v>
      </c>
      <c r="HH34" s="59" t="str">
        <f t="shared" si="65"/>
        <v>Y</v>
      </c>
      <c r="HI34" s="59" t="str">
        <f t="shared" si="66"/>
        <v>Y</v>
      </c>
      <c r="HJ34" s="68" t="str">
        <f t="shared" si="67"/>
        <v>Y</v>
      </c>
      <c r="HK34" s="59"/>
      <c r="HL34" s="68"/>
    </row>
    <row r="35" spans="1:220" ht="15.75" customHeight="1" x14ac:dyDescent="0.2">
      <c r="A35" s="69" t="s">
        <v>333</v>
      </c>
      <c r="B35" s="70">
        <v>2014</v>
      </c>
      <c r="C35" s="70" t="s">
        <v>59</v>
      </c>
      <c r="D35" s="70" t="s">
        <v>59</v>
      </c>
      <c r="E35" s="59" t="s">
        <v>59</v>
      </c>
      <c r="F35" s="70" t="s">
        <v>59</v>
      </c>
      <c r="G35" s="70" t="s">
        <v>59</v>
      </c>
      <c r="H35" s="70" t="s">
        <v>59</v>
      </c>
      <c r="I35" s="70" t="s">
        <v>59</v>
      </c>
      <c r="J35" s="70" t="s">
        <v>59</v>
      </c>
      <c r="K35" s="70" t="s">
        <v>59</v>
      </c>
      <c r="L35" s="59" t="s">
        <v>59</v>
      </c>
      <c r="M35" s="59" t="s">
        <v>59</v>
      </c>
      <c r="N35" s="59" t="s">
        <v>59</v>
      </c>
      <c r="O35" s="59" t="s">
        <v>59</v>
      </c>
      <c r="P35" s="59" t="s">
        <v>59</v>
      </c>
      <c r="Q35" s="59" t="s">
        <v>59</v>
      </c>
      <c r="R35" s="59" t="s">
        <v>59</v>
      </c>
      <c r="S35" s="59" t="s">
        <v>59</v>
      </c>
      <c r="T35" s="59" t="s">
        <v>59</v>
      </c>
      <c r="U35" s="70">
        <v>0</v>
      </c>
      <c r="V35" s="70">
        <v>0</v>
      </c>
      <c r="W35" s="70">
        <v>115</v>
      </c>
      <c r="X35" s="70">
        <v>115</v>
      </c>
      <c r="Y35" s="70">
        <v>0</v>
      </c>
      <c r="Z35" s="70">
        <v>0</v>
      </c>
      <c r="AA35" s="70">
        <v>0</v>
      </c>
      <c r="AB35" s="70">
        <v>0</v>
      </c>
      <c r="AC35" s="59" t="s">
        <v>101</v>
      </c>
      <c r="AD35" s="59" t="s">
        <v>83</v>
      </c>
      <c r="AE35" s="70" t="s">
        <v>83</v>
      </c>
      <c r="AF35" s="70" t="s">
        <v>84</v>
      </c>
      <c r="AG35" s="70" t="s">
        <v>86</v>
      </c>
      <c r="AH35" s="70" t="s">
        <v>86</v>
      </c>
      <c r="AI35" s="70" t="s">
        <v>85</v>
      </c>
      <c r="AJ35" s="70" t="s">
        <v>85</v>
      </c>
      <c r="AK35" s="70" t="s">
        <v>86</v>
      </c>
      <c r="AL35" s="70" t="s">
        <v>86</v>
      </c>
      <c r="AM35" s="70">
        <v>115</v>
      </c>
      <c r="AN35" s="70">
        <v>115</v>
      </c>
      <c r="AO35" s="70">
        <v>0</v>
      </c>
      <c r="AP35" s="70">
        <v>0</v>
      </c>
      <c r="AQ35" s="70">
        <v>0</v>
      </c>
      <c r="AR35" s="70">
        <v>0</v>
      </c>
      <c r="AS35" s="71" t="s">
        <v>59</v>
      </c>
      <c r="AT35" s="72" t="s">
        <v>59</v>
      </c>
      <c r="AU35" s="71" t="s">
        <v>59</v>
      </c>
      <c r="AV35" s="72" t="s">
        <v>59</v>
      </c>
      <c r="AW35" s="71" t="s">
        <v>59</v>
      </c>
      <c r="AX35" s="72" t="s">
        <v>59</v>
      </c>
      <c r="AY35" s="70">
        <v>115</v>
      </c>
      <c r="AZ35" s="70">
        <v>115</v>
      </c>
      <c r="BA35" s="70">
        <v>0</v>
      </c>
      <c r="BB35" s="70">
        <v>0</v>
      </c>
      <c r="BC35" s="70" t="s">
        <v>95</v>
      </c>
      <c r="BD35" s="70" t="s">
        <v>95</v>
      </c>
      <c r="BE35" s="70">
        <f t="shared" si="68"/>
        <v>0</v>
      </c>
      <c r="BF35" s="70">
        <f t="shared" si="69"/>
        <v>0</v>
      </c>
      <c r="BG35" s="70">
        <f t="shared" si="0"/>
        <v>0</v>
      </c>
      <c r="BH35" s="70">
        <f t="shared" si="1"/>
        <v>0</v>
      </c>
      <c r="BI35" s="70" t="s">
        <v>87</v>
      </c>
      <c r="BJ35" s="70" t="s">
        <v>87</v>
      </c>
      <c r="BK35" s="70">
        <v>0</v>
      </c>
      <c r="BL35" s="70">
        <v>0</v>
      </c>
      <c r="BM35" s="70" t="s">
        <v>87</v>
      </c>
      <c r="BN35" s="70" t="s">
        <v>87</v>
      </c>
      <c r="BO35" s="70" t="s">
        <v>87</v>
      </c>
      <c r="BP35" s="70" t="s">
        <v>87</v>
      </c>
      <c r="BQ35" s="70">
        <v>0</v>
      </c>
      <c r="BR35" s="70">
        <v>0</v>
      </c>
      <c r="BS35" s="70">
        <v>0</v>
      </c>
      <c r="BT35" s="70">
        <v>0</v>
      </c>
      <c r="BU35" s="70" t="s">
        <v>87</v>
      </c>
      <c r="BV35" s="70" t="s">
        <v>87</v>
      </c>
      <c r="BW35" s="70" t="s">
        <v>87</v>
      </c>
      <c r="BX35" s="70" t="s">
        <v>87</v>
      </c>
      <c r="BY35" s="70" t="s">
        <v>87</v>
      </c>
      <c r="BZ35" s="70" t="s">
        <v>87</v>
      </c>
      <c r="CA35" s="70">
        <v>0</v>
      </c>
      <c r="CB35" s="70">
        <v>0</v>
      </c>
      <c r="CC35" s="70">
        <v>0</v>
      </c>
      <c r="CD35" s="70">
        <v>0</v>
      </c>
      <c r="CE35" s="70">
        <v>0</v>
      </c>
      <c r="CF35" s="70">
        <v>0</v>
      </c>
      <c r="CG35" s="70" t="s">
        <v>87</v>
      </c>
      <c r="CH35" s="70" t="s">
        <v>87</v>
      </c>
      <c r="CI35" s="70">
        <v>0</v>
      </c>
      <c r="CJ35" s="70">
        <v>0</v>
      </c>
      <c r="CK35" s="70" t="s">
        <v>87</v>
      </c>
      <c r="CL35" s="70" t="s">
        <v>87</v>
      </c>
      <c r="CM35" s="70" t="s">
        <v>87</v>
      </c>
      <c r="CN35" s="70" t="s">
        <v>87</v>
      </c>
      <c r="CO35" s="70" t="s">
        <v>87</v>
      </c>
      <c r="CP35" s="70" t="s">
        <v>87</v>
      </c>
      <c r="CQ35" s="70" t="s">
        <v>162</v>
      </c>
      <c r="CR35" s="70" t="s">
        <v>121</v>
      </c>
      <c r="CS35" s="70" t="s">
        <v>121</v>
      </c>
      <c r="CT35" s="70" t="s">
        <v>121</v>
      </c>
      <c r="CU35" s="70" t="s">
        <v>59</v>
      </c>
      <c r="CV35" s="70" t="s">
        <v>59</v>
      </c>
      <c r="CW35" s="70" t="s">
        <v>108</v>
      </c>
      <c r="CX35" s="70" t="s">
        <v>108</v>
      </c>
      <c r="CY35" s="70" t="s">
        <v>59</v>
      </c>
      <c r="CZ35" s="70" t="s">
        <v>59</v>
      </c>
      <c r="DA35" s="70" t="s">
        <v>285</v>
      </c>
      <c r="DB35" s="70" t="s">
        <v>285</v>
      </c>
      <c r="DC35" s="70" t="s">
        <v>285</v>
      </c>
      <c r="DD35" s="70" t="s">
        <v>285</v>
      </c>
      <c r="DE35" s="70" t="s">
        <v>59</v>
      </c>
      <c r="DF35" s="70" t="s">
        <v>59</v>
      </c>
      <c r="DG35" s="70" t="s">
        <v>59</v>
      </c>
      <c r="DH35" s="70" t="s">
        <v>59</v>
      </c>
      <c r="DI35" s="70" t="s">
        <v>59</v>
      </c>
      <c r="DJ35" s="70" t="s">
        <v>59</v>
      </c>
      <c r="DK35" s="70" t="s">
        <v>59</v>
      </c>
      <c r="DL35" s="70" t="s">
        <v>59</v>
      </c>
      <c r="DM35" s="70" t="s">
        <v>59</v>
      </c>
      <c r="DN35" s="59" t="s">
        <v>59</v>
      </c>
      <c r="DO35" s="70" t="s">
        <v>59</v>
      </c>
      <c r="DP35" s="70" t="s">
        <v>59</v>
      </c>
      <c r="DQ35" s="70" t="s">
        <v>59</v>
      </c>
      <c r="DR35" s="70" t="s">
        <v>59</v>
      </c>
      <c r="DS35" s="70" t="s">
        <v>305</v>
      </c>
      <c r="DT35" s="70" t="s">
        <v>305</v>
      </c>
      <c r="DU35" s="70" t="s">
        <v>59</v>
      </c>
      <c r="DV35" s="70" t="s">
        <v>59</v>
      </c>
      <c r="DW35" s="70" t="s">
        <v>59</v>
      </c>
      <c r="DX35" s="70" t="s">
        <v>59</v>
      </c>
      <c r="DY35" s="70">
        <v>1</v>
      </c>
      <c r="DZ35" s="70">
        <v>1</v>
      </c>
      <c r="EA35" s="70">
        <v>1</v>
      </c>
      <c r="EB35" s="70">
        <v>1</v>
      </c>
      <c r="EC35" s="70">
        <v>1</v>
      </c>
      <c r="ED35" s="70">
        <v>1</v>
      </c>
      <c r="EE35" s="70">
        <v>1</v>
      </c>
      <c r="EF35" s="70">
        <v>1</v>
      </c>
      <c r="EG35" s="70">
        <v>1</v>
      </c>
      <c r="EH35" s="70">
        <v>1</v>
      </c>
      <c r="EI35" s="70">
        <v>1</v>
      </c>
      <c r="EJ35" s="70">
        <v>1</v>
      </c>
      <c r="EK35" s="70">
        <v>1</v>
      </c>
      <c r="EL35" s="70">
        <v>1</v>
      </c>
      <c r="EM35" s="70">
        <v>1</v>
      </c>
      <c r="EN35" s="70">
        <v>1</v>
      </c>
      <c r="EO35" s="70">
        <v>1</v>
      </c>
      <c r="EP35" s="70">
        <v>1</v>
      </c>
      <c r="EQ35" s="70">
        <v>1</v>
      </c>
      <c r="ER35" s="70">
        <v>1</v>
      </c>
      <c r="ES35" s="70">
        <v>10</v>
      </c>
      <c r="ET35" s="70">
        <v>10</v>
      </c>
      <c r="EU35" s="74"/>
      <c r="EV35" s="66"/>
      <c r="EW35" s="59" t="str">
        <f t="shared" si="2"/>
        <v>Y</v>
      </c>
      <c r="EX35" s="59" t="str">
        <f t="shared" si="3"/>
        <v>Y</v>
      </c>
      <c r="EY35" s="59" t="str">
        <f t="shared" si="4"/>
        <v>Y</v>
      </c>
      <c r="EZ35" s="59" t="str">
        <f t="shared" si="5"/>
        <v>Y</v>
      </c>
      <c r="FA35" s="59" t="str">
        <f t="shared" si="6"/>
        <v>Y</v>
      </c>
      <c r="FB35" s="59" t="str">
        <f t="shared" si="71"/>
        <v>Y</v>
      </c>
      <c r="FC35" s="59" t="str">
        <f t="shared" si="8"/>
        <v>Y</v>
      </c>
      <c r="FD35" s="59" t="str">
        <f t="shared" si="9"/>
        <v>Y</v>
      </c>
      <c r="FE35" s="59" t="str">
        <f t="shared" si="10"/>
        <v>Y</v>
      </c>
      <c r="FF35" s="59" t="str">
        <f t="shared" si="11"/>
        <v>Y</v>
      </c>
      <c r="FG35" s="59" t="str">
        <f t="shared" si="12"/>
        <v>Y</v>
      </c>
      <c r="FH35" s="59" t="str">
        <f t="shared" si="13"/>
        <v>Y</v>
      </c>
      <c r="FI35" s="59" t="str">
        <f t="shared" si="14"/>
        <v>Y</v>
      </c>
      <c r="FJ35" s="59" t="str">
        <f t="shared" si="15"/>
        <v>Y</v>
      </c>
      <c r="FK35" s="59" t="str">
        <f t="shared" si="16"/>
        <v>Y</v>
      </c>
      <c r="FL35" s="59" t="str">
        <f t="shared" si="17"/>
        <v>Y</v>
      </c>
      <c r="FM35" s="59" t="str">
        <f t="shared" si="18"/>
        <v>Y</v>
      </c>
      <c r="FN35" s="59" t="str">
        <f t="shared" si="19"/>
        <v>Y</v>
      </c>
      <c r="FO35" s="59" t="str">
        <f t="shared" si="20"/>
        <v>Y</v>
      </c>
      <c r="FP35" s="59" t="str">
        <f t="shared" si="21"/>
        <v>Y</v>
      </c>
      <c r="FQ35" s="59" t="str">
        <f t="shared" si="22"/>
        <v>Y</v>
      </c>
      <c r="FR35" s="59" t="str">
        <f t="shared" si="23"/>
        <v>Y</v>
      </c>
      <c r="FS35" s="59" t="str">
        <f t="shared" si="24"/>
        <v>Y</v>
      </c>
      <c r="FT35" s="59" t="str">
        <f t="shared" si="25"/>
        <v>Y</v>
      </c>
      <c r="FU35" s="59" t="str">
        <f t="shared" si="26"/>
        <v>Y</v>
      </c>
      <c r="FV35" s="59" t="str">
        <f t="shared" si="27"/>
        <v>Y</v>
      </c>
      <c r="FW35" s="59" t="str">
        <f t="shared" si="28"/>
        <v>Y</v>
      </c>
      <c r="FX35" s="59" t="str">
        <f t="shared" si="29"/>
        <v>Y</v>
      </c>
      <c r="FY35" s="59" t="str">
        <f t="shared" si="30"/>
        <v>Y</v>
      </c>
      <c r="FZ35" s="59" t="str">
        <f t="shared" si="31"/>
        <v>Y</v>
      </c>
      <c r="GA35" s="59" t="str">
        <f t="shared" si="32"/>
        <v>Y</v>
      </c>
      <c r="GB35" s="59" t="str">
        <f t="shared" si="33"/>
        <v>Y</v>
      </c>
      <c r="GC35" s="59" t="str">
        <f t="shared" si="34"/>
        <v>Y</v>
      </c>
      <c r="GD35" s="59" t="str">
        <f t="shared" si="35"/>
        <v>Y</v>
      </c>
      <c r="GE35" s="59" t="str">
        <f t="shared" si="36"/>
        <v>Y</v>
      </c>
      <c r="GF35" s="59" t="str">
        <f t="shared" si="37"/>
        <v>Y</v>
      </c>
      <c r="GG35" s="59" t="str">
        <f t="shared" si="38"/>
        <v>Y</v>
      </c>
      <c r="GH35" s="59" t="str">
        <f t="shared" si="39"/>
        <v>Y</v>
      </c>
      <c r="GI35" s="59" t="str">
        <f t="shared" si="40"/>
        <v>Y</v>
      </c>
      <c r="GJ35" s="59" t="str">
        <f t="shared" si="41"/>
        <v>Y</v>
      </c>
      <c r="GK35" s="59" t="str">
        <f t="shared" si="42"/>
        <v>Y</v>
      </c>
      <c r="GL35" s="59" t="str">
        <f t="shared" si="43"/>
        <v>Y</v>
      </c>
      <c r="GM35" s="59" t="str">
        <f t="shared" si="44"/>
        <v>Y</v>
      </c>
      <c r="GN35" s="59" t="str">
        <f t="shared" si="45"/>
        <v>Y</v>
      </c>
      <c r="GO35" s="59" t="str">
        <f t="shared" si="46"/>
        <v>Y</v>
      </c>
      <c r="GP35" s="59" t="str">
        <f t="shared" si="47"/>
        <v>Y</v>
      </c>
      <c r="GQ35" s="59" t="str">
        <f t="shared" si="48"/>
        <v>Y</v>
      </c>
      <c r="GR35" s="59" t="str">
        <f t="shared" si="49"/>
        <v>Y</v>
      </c>
      <c r="GS35" s="59" t="str">
        <f t="shared" si="50"/>
        <v>Y</v>
      </c>
      <c r="GT35" s="59" t="str">
        <f t="shared" si="51"/>
        <v>Y</v>
      </c>
      <c r="GU35" s="59" t="str">
        <f t="shared" si="52"/>
        <v>Y</v>
      </c>
      <c r="GV35" s="59" t="str">
        <f t="shared" si="53"/>
        <v>Y</v>
      </c>
      <c r="GW35" s="59" t="str">
        <f t="shared" si="54"/>
        <v>Y</v>
      </c>
      <c r="GX35" s="59" t="str">
        <f t="shared" si="55"/>
        <v>Y</v>
      </c>
      <c r="GY35" s="59" t="str">
        <f t="shared" si="56"/>
        <v>Y</v>
      </c>
      <c r="GZ35" s="59" t="str">
        <f t="shared" si="57"/>
        <v>Y</v>
      </c>
      <c r="HA35" s="59" t="str">
        <f t="shared" si="58"/>
        <v>Y</v>
      </c>
      <c r="HB35" s="59" t="str">
        <f t="shared" si="59"/>
        <v>Y</v>
      </c>
      <c r="HC35" s="59" t="str">
        <f t="shared" si="60"/>
        <v>Y</v>
      </c>
      <c r="HD35" s="59" t="str">
        <f t="shared" si="61"/>
        <v>Y</v>
      </c>
      <c r="HE35" s="59" t="str">
        <f t="shared" si="62"/>
        <v>Y</v>
      </c>
      <c r="HF35" s="59" t="str">
        <f t="shared" si="63"/>
        <v>Y</v>
      </c>
      <c r="HG35" s="59" t="str">
        <f t="shared" si="64"/>
        <v>Y</v>
      </c>
      <c r="HH35" s="59" t="str">
        <f t="shared" si="65"/>
        <v>Y</v>
      </c>
      <c r="HI35" s="59" t="str">
        <f t="shared" si="66"/>
        <v>Y</v>
      </c>
      <c r="HJ35" s="68" t="str">
        <f t="shared" si="67"/>
        <v>Y</v>
      </c>
      <c r="HK35" s="59"/>
      <c r="HL35" s="68"/>
    </row>
    <row r="36" spans="1:220" ht="15.75" customHeight="1" x14ac:dyDescent="0.2">
      <c r="A36" s="69" t="s">
        <v>161</v>
      </c>
      <c r="B36" s="70">
        <v>2021</v>
      </c>
      <c r="C36" s="70" t="s">
        <v>59</v>
      </c>
      <c r="D36" s="70" t="s">
        <v>59</v>
      </c>
      <c r="E36" s="59" t="s">
        <v>59</v>
      </c>
      <c r="F36" s="70" t="s">
        <v>59</v>
      </c>
      <c r="G36" s="70" t="s">
        <v>59</v>
      </c>
      <c r="H36" s="70" t="s">
        <v>59</v>
      </c>
      <c r="I36" s="70" t="s">
        <v>59</v>
      </c>
      <c r="J36" s="70" t="s">
        <v>59</v>
      </c>
      <c r="K36" s="70" t="s">
        <v>59</v>
      </c>
      <c r="L36" s="59" t="s">
        <v>59</v>
      </c>
      <c r="M36" s="59" t="s">
        <v>59</v>
      </c>
      <c r="N36" s="59" t="s">
        <v>59</v>
      </c>
      <c r="O36" s="59" t="s">
        <v>59</v>
      </c>
      <c r="P36" s="59" t="s">
        <v>59</v>
      </c>
      <c r="Q36" s="59" t="s">
        <v>59</v>
      </c>
      <c r="R36" s="59" t="s">
        <v>59</v>
      </c>
      <c r="S36" s="59" t="s">
        <v>59</v>
      </c>
      <c r="T36" s="59" t="s">
        <v>59</v>
      </c>
      <c r="U36" s="70" t="s">
        <v>59</v>
      </c>
      <c r="V36" s="70" t="s">
        <v>59</v>
      </c>
      <c r="W36" s="70" t="s">
        <v>59</v>
      </c>
      <c r="X36" s="70" t="s">
        <v>59</v>
      </c>
      <c r="Y36" s="70" t="s">
        <v>59</v>
      </c>
      <c r="Z36" s="70" t="s">
        <v>59</v>
      </c>
      <c r="AA36" s="70" t="s">
        <v>102</v>
      </c>
      <c r="AB36" s="70" t="s">
        <v>59</v>
      </c>
      <c r="AC36" s="59" t="s">
        <v>101</v>
      </c>
      <c r="AD36" s="59" t="s">
        <v>112</v>
      </c>
      <c r="AE36" s="70" t="s">
        <v>112</v>
      </c>
      <c r="AF36" s="70" t="s">
        <v>113</v>
      </c>
      <c r="AG36" s="70" t="s">
        <v>86</v>
      </c>
      <c r="AH36" s="70" t="s">
        <v>86</v>
      </c>
      <c r="AI36" s="70" t="s">
        <v>85</v>
      </c>
      <c r="AJ36" s="70" t="s">
        <v>85</v>
      </c>
      <c r="AK36" s="70" t="s">
        <v>86</v>
      </c>
      <c r="AL36" s="70" t="s">
        <v>86</v>
      </c>
      <c r="AM36" s="70">
        <v>132</v>
      </c>
      <c r="AN36" s="70">
        <v>132</v>
      </c>
      <c r="AO36" s="70">
        <v>0</v>
      </c>
      <c r="AP36" s="70">
        <v>0</v>
      </c>
      <c r="AQ36" s="70">
        <v>0</v>
      </c>
      <c r="AR36" s="70">
        <v>0</v>
      </c>
      <c r="AS36" s="71"/>
      <c r="AT36" s="72" t="s">
        <v>59</v>
      </c>
      <c r="AU36" s="71"/>
      <c r="AV36" s="72" t="s">
        <v>59</v>
      </c>
      <c r="AW36" s="71"/>
      <c r="AX36" s="72" t="s">
        <v>59</v>
      </c>
      <c r="AY36" s="70">
        <v>132</v>
      </c>
      <c r="AZ36" s="70">
        <v>132</v>
      </c>
      <c r="BA36" s="70">
        <v>45</v>
      </c>
      <c r="BB36" s="70">
        <v>45</v>
      </c>
      <c r="BC36" s="70" t="s">
        <v>95</v>
      </c>
      <c r="BD36" s="70" t="s">
        <v>95</v>
      </c>
      <c r="BE36" s="70">
        <f t="shared" si="68"/>
        <v>1</v>
      </c>
      <c r="BF36" s="70">
        <f t="shared" si="69"/>
        <v>1</v>
      </c>
      <c r="BG36" s="70">
        <f t="shared" si="0"/>
        <v>44</v>
      </c>
      <c r="BH36" s="70">
        <f t="shared" si="1"/>
        <v>44</v>
      </c>
      <c r="BI36" s="70">
        <v>0</v>
      </c>
      <c r="BJ36" s="70">
        <v>0</v>
      </c>
      <c r="BK36" s="70">
        <v>0</v>
      </c>
      <c r="BL36" s="70">
        <v>0</v>
      </c>
      <c r="BM36" s="70">
        <v>44</v>
      </c>
      <c r="BN36" s="70">
        <v>44</v>
      </c>
      <c r="BO36" s="70">
        <v>0</v>
      </c>
      <c r="BP36" s="70">
        <v>0</v>
      </c>
      <c r="BQ36" s="70">
        <v>0</v>
      </c>
      <c r="BR36" s="70">
        <v>0</v>
      </c>
      <c r="BS36" s="70">
        <v>0</v>
      </c>
      <c r="BT36" s="70">
        <v>0</v>
      </c>
      <c r="BU36" s="70">
        <v>0</v>
      </c>
      <c r="BV36" s="70">
        <v>0</v>
      </c>
      <c r="BW36" s="70">
        <v>0</v>
      </c>
      <c r="BX36" s="70">
        <v>0</v>
      </c>
      <c r="BY36" s="70">
        <v>0</v>
      </c>
      <c r="BZ36" s="70">
        <v>0</v>
      </c>
      <c r="CA36" s="70">
        <v>1</v>
      </c>
      <c r="CB36" s="70">
        <v>1</v>
      </c>
      <c r="CC36" s="70">
        <v>0</v>
      </c>
      <c r="CD36" s="70">
        <v>0</v>
      </c>
      <c r="CE36" s="70">
        <v>0</v>
      </c>
      <c r="CF36" s="70">
        <v>0</v>
      </c>
      <c r="CG36" s="70">
        <v>0</v>
      </c>
      <c r="CH36" s="70">
        <v>0</v>
      </c>
      <c r="CI36" s="70">
        <v>0</v>
      </c>
      <c r="CJ36" s="70">
        <v>0</v>
      </c>
      <c r="CK36" s="70">
        <v>0</v>
      </c>
      <c r="CL36" s="70">
        <v>0</v>
      </c>
      <c r="CM36" s="70">
        <v>0</v>
      </c>
      <c r="CN36" s="70">
        <v>0</v>
      </c>
      <c r="CO36" s="70">
        <v>0</v>
      </c>
      <c r="CP36" s="70">
        <v>0</v>
      </c>
      <c r="CQ36" s="70" t="s">
        <v>162</v>
      </c>
      <c r="CR36" s="70" t="s">
        <v>162</v>
      </c>
      <c r="CS36" s="70" t="s">
        <v>121</v>
      </c>
      <c r="CT36" s="70" t="s">
        <v>162</v>
      </c>
      <c r="CU36" s="70" t="s">
        <v>59</v>
      </c>
      <c r="CV36" s="70" t="s">
        <v>59</v>
      </c>
      <c r="CW36" s="70" t="s">
        <v>59</v>
      </c>
      <c r="CX36" s="70" t="s">
        <v>59</v>
      </c>
      <c r="CY36" s="70" t="s">
        <v>59</v>
      </c>
      <c r="CZ36" s="70" t="s">
        <v>59</v>
      </c>
      <c r="DA36" s="70" t="s">
        <v>121</v>
      </c>
      <c r="DB36" s="70" t="s">
        <v>121</v>
      </c>
      <c r="DC36" s="70" t="s">
        <v>121</v>
      </c>
      <c r="DD36" s="70" t="s">
        <v>121</v>
      </c>
      <c r="DE36" s="70" t="s">
        <v>59</v>
      </c>
      <c r="DF36" s="70" t="s">
        <v>59</v>
      </c>
      <c r="DG36" s="70" t="s">
        <v>59</v>
      </c>
      <c r="DH36" s="70" t="s">
        <v>59</v>
      </c>
      <c r="DI36" s="70" t="s">
        <v>59</v>
      </c>
      <c r="DJ36" s="70" t="s">
        <v>59</v>
      </c>
      <c r="DK36" s="70" t="s">
        <v>59</v>
      </c>
      <c r="DL36" s="70" t="s">
        <v>59</v>
      </c>
      <c r="DM36" s="70" t="s">
        <v>59</v>
      </c>
      <c r="DN36" s="59" t="s">
        <v>59</v>
      </c>
      <c r="DO36" s="70" t="s">
        <v>59</v>
      </c>
      <c r="DP36" s="70" t="s">
        <v>59</v>
      </c>
      <c r="DQ36" s="70" t="s">
        <v>59</v>
      </c>
      <c r="DR36" s="70" t="s">
        <v>59</v>
      </c>
      <c r="DS36" s="70" t="s">
        <v>305</v>
      </c>
      <c r="DT36" s="70" t="s">
        <v>305</v>
      </c>
      <c r="DU36" s="70" t="s">
        <v>59</v>
      </c>
      <c r="DV36" s="70" t="s">
        <v>59</v>
      </c>
      <c r="DW36" s="70" t="s">
        <v>59</v>
      </c>
      <c r="DX36" s="70" t="s">
        <v>59</v>
      </c>
      <c r="DY36" s="70">
        <v>1</v>
      </c>
      <c r="DZ36" s="70">
        <v>1</v>
      </c>
      <c r="EA36" s="70">
        <v>1</v>
      </c>
      <c r="EB36" s="70">
        <v>1</v>
      </c>
      <c r="EC36" s="70">
        <v>1</v>
      </c>
      <c r="ED36" s="70">
        <v>1</v>
      </c>
      <c r="EE36" s="70">
        <v>1</v>
      </c>
      <c r="EF36" s="70">
        <v>1</v>
      </c>
      <c r="EG36" s="70">
        <v>1</v>
      </c>
      <c r="EH36" s="70">
        <v>1</v>
      </c>
      <c r="EI36" s="70">
        <v>1</v>
      </c>
      <c r="EJ36" s="70">
        <v>1</v>
      </c>
      <c r="EK36" s="70">
        <v>1</v>
      </c>
      <c r="EL36" s="70">
        <v>1</v>
      </c>
      <c r="EM36" s="70">
        <v>1</v>
      </c>
      <c r="EN36" s="70">
        <v>1</v>
      </c>
      <c r="EO36" s="70">
        <v>1</v>
      </c>
      <c r="EP36" s="70">
        <v>1</v>
      </c>
      <c r="EQ36" s="70">
        <v>1</v>
      </c>
      <c r="ER36" s="70">
        <v>1</v>
      </c>
      <c r="ES36" s="70">
        <f t="shared" ref="ES36:ET36" si="75">SUM(DY36,EA36,EC36,EE36,EG36,EI36,EK36,EM36,EO36,EQ36)</f>
        <v>10</v>
      </c>
      <c r="ET36" s="70">
        <f t="shared" si="75"/>
        <v>10</v>
      </c>
      <c r="EU36" s="74" t="s">
        <v>161</v>
      </c>
      <c r="EV36" s="66">
        <v>2021</v>
      </c>
      <c r="EW36" s="59" t="str">
        <f t="shared" si="2"/>
        <v>Y</v>
      </c>
      <c r="EX36" s="59" t="str">
        <f t="shared" si="3"/>
        <v>Y</v>
      </c>
      <c r="EY36" s="59" t="str">
        <f t="shared" si="4"/>
        <v>Y</v>
      </c>
      <c r="EZ36" s="59" t="str">
        <f t="shared" si="5"/>
        <v>Y</v>
      </c>
      <c r="FA36" s="59" t="str">
        <f t="shared" si="6"/>
        <v>Y</v>
      </c>
      <c r="FB36" s="59" t="str">
        <f t="shared" si="71"/>
        <v>Y</v>
      </c>
      <c r="FC36" s="59" t="str">
        <f t="shared" si="8"/>
        <v>Y</v>
      </c>
      <c r="FD36" s="59" t="str">
        <f t="shared" si="9"/>
        <v>Y</v>
      </c>
      <c r="FE36" s="59" t="str">
        <f t="shared" si="10"/>
        <v>Y</v>
      </c>
      <c r="FF36" s="59" t="str">
        <f t="shared" si="11"/>
        <v>Y</v>
      </c>
      <c r="FG36" s="59" t="str">
        <f t="shared" si="12"/>
        <v>Y</v>
      </c>
      <c r="FH36" s="59" t="str">
        <f t="shared" si="13"/>
        <v>Y</v>
      </c>
      <c r="FI36" s="59" t="str">
        <f t="shared" si="14"/>
        <v>N</v>
      </c>
      <c r="FJ36" s="59" t="str">
        <f t="shared" si="15"/>
        <v>Y</v>
      </c>
      <c r="FK36" s="59" t="str">
        <f t="shared" si="16"/>
        <v>Y</v>
      </c>
      <c r="FL36" s="59" t="str">
        <f t="shared" si="17"/>
        <v>Y</v>
      </c>
      <c r="FM36" s="59" t="str">
        <f t="shared" si="18"/>
        <v>Y</v>
      </c>
      <c r="FN36" s="59" t="str">
        <f t="shared" si="19"/>
        <v>Y</v>
      </c>
      <c r="FO36" s="59" t="str">
        <f t="shared" si="20"/>
        <v>Y</v>
      </c>
      <c r="FP36" s="59" t="str">
        <f t="shared" si="21"/>
        <v>Y</v>
      </c>
      <c r="FQ36" s="59" t="str">
        <f t="shared" si="22"/>
        <v>Y</v>
      </c>
      <c r="FR36" s="59" t="str">
        <f t="shared" si="23"/>
        <v>Y</v>
      </c>
      <c r="FS36" s="59" t="str">
        <f t="shared" si="24"/>
        <v>Y</v>
      </c>
      <c r="FT36" s="59" t="str">
        <f t="shared" si="25"/>
        <v>Y</v>
      </c>
      <c r="FU36" s="59" t="str">
        <f t="shared" si="26"/>
        <v>Y</v>
      </c>
      <c r="FV36" s="59" t="str">
        <f t="shared" si="27"/>
        <v>Y</v>
      </c>
      <c r="FW36" s="59" t="str">
        <f t="shared" si="28"/>
        <v>Y</v>
      </c>
      <c r="FX36" s="59" t="str">
        <f t="shared" si="29"/>
        <v>Y</v>
      </c>
      <c r="FY36" s="59" t="str">
        <f t="shared" si="30"/>
        <v>Y</v>
      </c>
      <c r="FZ36" s="59" t="str">
        <f t="shared" si="31"/>
        <v>Y</v>
      </c>
      <c r="GA36" s="59" t="str">
        <f t="shared" si="32"/>
        <v>Y</v>
      </c>
      <c r="GB36" s="59" t="str">
        <f t="shared" si="33"/>
        <v>Y</v>
      </c>
      <c r="GC36" s="59" t="str">
        <f t="shared" si="34"/>
        <v>Y</v>
      </c>
      <c r="GD36" s="59" t="str">
        <f t="shared" si="35"/>
        <v>Y</v>
      </c>
      <c r="GE36" s="59" t="str">
        <f t="shared" si="36"/>
        <v>Y</v>
      </c>
      <c r="GF36" s="59" t="str">
        <f t="shared" si="37"/>
        <v>Y</v>
      </c>
      <c r="GG36" s="59" t="str">
        <f t="shared" si="38"/>
        <v>Y</v>
      </c>
      <c r="GH36" s="59" t="str">
        <f t="shared" si="39"/>
        <v>Y</v>
      </c>
      <c r="GI36" s="59" t="str">
        <f t="shared" si="40"/>
        <v>Y</v>
      </c>
      <c r="GJ36" s="59" t="str">
        <f t="shared" si="41"/>
        <v>Y</v>
      </c>
      <c r="GK36" s="59" t="str">
        <f t="shared" si="42"/>
        <v>Y</v>
      </c>
      <c r="GL36" s="59" t="str">
        <f t="shared" si="43"/>
        <v>Y</v>
      </c>
      <c r="GM36" s="59" t="str">
        <f t="shared" si="44"/>
        <v>Y</v>
      </c>
      <c r="GN36" s="59" t="str">
        <f t="shared" si="45"/>
        <v>Y</v>
      </c>
      <c r="GO36" s="59" t="str">
        <f t="shared" si="46"/>
        <v>Y</v>
      </c>
      <c r="GP36" s="59" t="str">
        <f t="shared" si="47"/>
        <v>Y</v>
      </c>
      <c r="GQ36" s="59" t="str">
        <f t="shared" si="48"/>
        <v>Y</v>
      </c>
      <c r="GR36" s="59" t="str">
        <f t="shared" si="49"/>
        <v>Y</v>
      </c>
      <c r="GS36" s="59" t="str">
        <f t="shared" si="50"/>
        <v>Y</v>
      </c>
      <c r="GT36" s="59" t="str">
        <f t="shared" si="51"/>
        <v>Y</v>
      </c>
      <c r="GU36" s="59" t="str">
        <f t="shared" si="52"/>
        <v>Y</v>
      </c>
      <c r="GV36" s="59" t="str">
        <f t="shared" si="53"/>
        <v>Y</v>
      </c>
      <c r="GW36" s="59" t="str">
        <f t="shared" si="54"/>
        <v>Y</v>
      </c>
      <c r="GX36" s="59" t="str">
        <f t="shared" si="55"/>
        <v>Y</v>
      </c>
      <c r="GY36" s="59" t="str">
        <f t="shared" si="56"/>
        <v>Y</v>
      </c>
      <c r="GZ36" s="59" t="str">
        <f t="shared" si="57"/>
        <v>Y</v>
      </c>
      <c r="HA36" s="59" t="str">
        <f t="shared" si="58"/>
        <v>Y</v>
      </c>
      <c r="HB36" s="59" t="str">
        <f t="shared" si="59"/>
        <v>Y</v>
      </c>
      <c r="HC36" s="59" t="str">
        <f t="shared" si="60"/>
        <v>Y</v>
      </c>
      <c r="HD36" s="59" t="str">
        <f t="shared" si="61"/>
        <v>Y</v>
      </c>
      <c r="HE36" s="59" t="str">
        <f t="shared" si="62"/>
        <v>Y</v>
      </c>
      <c r="HF36" s="59" t="str">
        <f t="shared" si="63"/>
        <v>Y</v>
      </c>
      <c r="HG36" s="59" t="str">
        <f t="shared" si="64"/>
        <v>Y</v>
      </c>
      <c r="HH36" s="59" t="str">
        <f t="shared" si="65"/>
        <v>Y</v>
      </c>
      <c r="HI36" s="59" t="str">
        <f t="shared" si="66"/>
        <v>Y</v>
      </c>
      <c r="HJ36" s="68" t="str">
        <f t="shared" si="67"/>
        <v>Y</v>
      </c>
      <c r="HK36" s="59"/>
      <c r="HL36" s="68"/>
    </row>
    <row r="37" spans="1:220" ht="15.75" customHeight="1" x14ac:dyDescent="0.2"/>
    <row r="38" spans="1:220" ht="15.75" customHeight="1" x14ac:dyDescent="0.2"/>
    <row r="39" spans="1:220" ht="15.75" customHeight="1" x14ac:dyDescent="0.2"/>
    <row r="40" spans="1:220" ht="15.75" customHeight="1" x14ac:dyDescent="0.2"/>
    <row r="41" spans="1:220" ht="15.75" customHeight="1" x14ac:dyDescent="0.2"/>
    <row r="42" spans="1:220" ht="15.75" customHeight="1" x14ac:dyDescent="0.2"/>
    <row r="43" spans="1:220" ht="15.75" customHeight="1" x14ac:dyDescent="0.2"/>
    <row r="44" spans="1:220" ht="15.75" customHeight="1" x14ac:dyDescent="0.2"/>
    <row r="45" spans="1:220" ht="15.75" customHeight="1" x14ac:dyDescent="0.2"/>
    <row r="46" spans="1:220" ht="15.75" customHeight="1" x14ac:dyDescent="0.2"/>
    <row r="47" spans="1:220" ht="15.75" customHeight="1" x14ac:dyDescent="0.2"/>
    <row r="48" spans="1:22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71">
    <mergeCell ref="CQ1:CR1"/>
    <mergeCell ref="CS1:CT1"/>
    <mergeCell ref="CY1:CZ1"/>
    <mergeCell ref="CG1:CH1"/>
    <mergeCell ref="CI1:CJ1"/>
    <mergeCell ref="CK1:CL1"/>
    <mergeCell ref="CM1:CN1"/>
    <mergeCell ref="CO1:CP1"/>
    <mergeCell ref="CU1:CV1"/>
    <mergeCell ref="CW1:CX1"/>
    <mergeCell ref="BW1:BX1"/>
    <mergeCell ref="BY1:BZ1"/>
    <mergeCell ref="CA1:CB1"/>
    <mergeCell ref="CC1:CD1"/>
    <mergeCell ref="CE1:CF1"/>
    <mergeCell ref="BM1:BN1"/>
    <mergeCell ref="BO1:BP1"/>
    <mergeCell ref="BQ1:BR1"/>
    <mergeCell ref="BS1:BT1"/>
    <mergeCell ref="BU1:BV1"/>
    <mergeCell ref="BC1:BD1"/>
    <mergeCell ref="BE1:BF1"/>
    <mergeCell ref="BG1:BH1"/>
    <mergeCell ref="BI1:BJ1"/>
    <mergeCell ref="BK1:BL1"/>
    <mergeCell ref="AS1:AT1"/>
    <mergeCell ref="AU1:AV1"/>
    <mergeCell ref="AW1:AX1"/>
    <mergeCell ref="AY1:AZ1"/>
    <mergeCell ref="BA1:BB1"/>
    <mergeCell ref="AI1:AJ1"/>
    <mergeCell ref="AK1:AL1"/>
    <mergeCell ref="AM1:AN1"/>
    <mergeCell ref="AO1:AP1"/>
    <mergeCell ref="AQ1:AR1"/>
    <mergeCell ref="W1:X1"/>
    <mergeCell ref="Y1:Z1"/>
    <mergeCell ref="AA1:AB1"/>
    <mergeCell ref="AD1:AE1"/>
    <mergeCell ref="AG1:AH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  <mergeCell ref="DU1:DV1"/>
    <mergeCell ref="DW1:DX1"/>
    <mergeCell ref="DY1:DZ1"/>
    <mergeCell ref="EA1:EB1"/>
    <mergeCell ref="EC1:ED1"/>
    <mergeCell ref="EO1:EP1"/>
    <mergeCell ref="EQ1:ER1"/>
    <mergeCell ref="ES1:ET1"/>
    <mergeCell ref="DE1:DF1"/>
    <mergeCell ref="DG1:DH1"/>
    <mergeCell ref="DI1:DJ1"/>
    <mergeCell ref="DK1:DL1"/>
    <mergeCell ref="DM1:DN1"/>
    <mergeCell ref="DO1:DP1"/>
    <mergeCell ref="EE1:EF1"/>
    <mergeCell ref="EG1:EH1"/>
    <mergeCell ref="EI1:EJ1"/>
    <mergeCell ref="EK1:EL1"/>
    <mergeCell ref="EM1:EN1"/>
    <mergeCell ref="DQ1:DR1"/>
    <mergeCell ref="DS1:DT1"/>
  </mergeCells>
  <conditionalFormatting sqref="G3 H3:H20 H22:H26 H30:H33">
    <cfRule type="cellIs" dxfId="104" priority="1" operator="equal">
      <formula>"?"</formula>
    </cfRule>
  </conditionalFormatting>
  <conditionalFormatting sqref="I3 J3:J20 J22:J26 J30:J33">
    <cfRule type="cellIs" dxfId="103" priority="2" operator="equal">
      <formula>"?"</formula>
    </cfRule>
  </conditionalFormatting>
  <conditionalFormatting sqref="K3:L20 K22:L33">
    <cfRule type="cellIs" dxfId="102" priority="3" operator="equal">
      <formula>"?"</formula>
    </cfRule>
  </conditionalFormatting>
  <conditionalFormatting sqref="U3:U20 U22:U33">
    <cfRule type="cellIs" dxfId="101" priority="4" operator="equal">
      <formula>"?"</formula>
    </cfRule>
  </conditionalFormatting>
  <conditionalFormatting sqref="W3:W20 W22:W33">
    <cfRule type="cellIs" dxfId="100" priority="5" operator="equal">
      <formula>"?"</formula>
    </cfRule>
  </conditionalFormatting>
  <conditionalFormatting sqref="Y3:Y20 Y22:Y33">
    <cfRule type="cellIs" dxfId="99" priority="6" operator="equal">
      <formula>"?"</formula>
    </cfRule>
  </conditionalFormatting>
  <conditionalFormatting sqref="AA3:AA20 AA22:AA33">
    <cfRule type="cellIs" dxfId="98" priority="7" operator="equal">
      <formula>"?"</formula>
    </cfRule>
  </conditionalFormatting>
  <conditionalFormatting sqref="AG3:AG20 AG22:AG34">
    <cfRule type="cellIs" dxfId="97" priority="8" operator="equal">
      <formula>"?"</formula>
    </cfRule>
  </conditionalFormatting>
  <conditionalFormatting sqref="AI3:AI20 AI22:AI34">
    <cfRule type="cellIs" dxfId="96" priority="9" operator="equal">
      <formula>"?"</formula>
    </cfRule>
  </conditionalFormatting>
  <conditionalFormatting sqref="AM3:AO20 AM22:AO34">
    <cfRule type="cellIs" dxfId="95" priority="10" operator="equal">
      <formula>"?"</formula>
    </cfRule>
  </conditionalFormatting>
  <conditionalFormatting sqref="AP27:AP29">
    <cfRule type="cellIs" dxfId="94" priority="11" operator="equal">
      <formula>"?"</formula>
    </cfRule>
  </conditionalFormatting>
  <conditionalFormatting sqref="AQ3:AQ20 AQ22:AQ34">
    <cfRule type="cellIs" dxfId="93" priority="12" operator="equal">
      <formula>"?"</formula>
    </cfRule>
  </conditionalFormatting>
  <conditionalFormatting sqref="AS3:AY20 AS22:AY34">
    <cfRule type="cellIs" dxfId="92" priority="13" operator="equal">
      <formula>"?"</formula>
    </cfRule>
  </conditionalFormatting>
  <conditionalFormatting sqref="BA3:BA20 BA22:BA34">
    <cfRule type="cellIs" dxfId="91" priority="14" operator="equal">
      <formula>"?"</formula>
    </cfRule>
  </conditionalFormatting>
  <conditionalFormatting sqref="BI3:BI12 BJ3:BN3 BI14:BI20 BI22 BI24:BI34 BJ27:BL29 BJ31:BL32 BJ34:BL34">
    <cfRule type="cellIs" dxfId="90" priority="15" operator="equal">
      <formula>"?"</formula>
    </cfRule>
  </conditionalFormatting>
  <conditionalFormatting sqref="BJ5">
    <cfRule type="cellIs" dxfId="89" priority="16" operator="equal">
      <formula>"?"</formula>
    </cfRule>
  </conditionalFormatting>
  <conditionalFormatting sqref="BJ22">
    <cfRule type="cellIs" dxfId="88" priority="17" operator="equal">
      <formula>"?"</formula>
    </cfRule>
  </conditionalFormatting>
  <conditionalFormatting sqref="BK3:BK8 BK10:BK12">
    <cfRule type="cellIs" dxfId="87" priority="18" operator="equal">
      <formula>"?"</formula>
    </cfRule>
  </conditionalFormatting>
  <conditionalFormatting sqref="BK14:BK20 BK22 BL15:CP15">
    <cfRule type="cellIs" dxfId="86" priority="19" operator="equal">
      <formula>"?"</formula>
    </cfRule>
  </conditionalFormatting>
  <conditionalFormatting sqref="BL5">
    <cfRule type="cellIs" dxfId="85" priority="20" operator="equal">
      <formula>"?"</formula>
    </cfRule>
  </conditionalFormatting>
  <conditionalFormatting sqref="BL22">
    <cfRule type="cellIs" dxfId="84" priority="21" operator="equal">
      <formula>"?"</formula>
    </cfRule>
  </conditionalFormatting>
  <conditionalFormatting sqref="BK24:BK26 BK30 BL16:CN16">
    <cfRule type="cellIs" dxfId="83" priority="22" operator="equal">
      <formula>"?"</formula>
    </cfRule>
  </conditionalFormatting>
  <conditionalFormatting sqref="BM3:BM12 BM14 BM17:BM20 BM22 BM24:BM34 BO31 BQ31 BS31 BU31 BW31 BY31 CA31 CC31 CE31 CG31 CI31 CK31 CM31 CO31">
    <cfRule type="cellIs" dxfId="82" priority="23" operator="equal">
      <formula>"?"</formula>
    </cfRule>
  </conditionalFormatting>
  <conditionalFormatting sqref="BO3:BO8 BP3 BO10:BO12">
    <cfRule type="cellIs" dxfId="81" priority="24" operator="equal">
      <formula>"?"</formula>
    </cfRule>
  </conditionalFormatting>
  <conditionalFormatting sqref="BO14 BO24:BO26 BO30 BO34:CP34">
    <cfRule type="cellIs" dxfId="80" priority="25" operator="equal">
      <formula>"?"</formula>
    </cfRule>
  </conditionalFormatting>
  <conditionalFormatting sqref="BO17:BO20 BO22">
    <cfRule type="cellIs" dxfId="79" priority="26" operator="equal">
      <formula>"?"</formula>
    </cfRule>
  </conditionalFormatting>
  <conditionalFormatting sqref="BP5">
    <cfRule type="cellIs" dxfId="78" priority="27" operator="equal">
      <formula>"?"</formula>
    </cfRule>
  </conditionalFormatting>
  <conditionalFormatting sqref="BP22:CN22">
    <cfRule type="cellIs" dxfId="77" priority="28" operator="equal">
      <formula>"?"</formula>
    </cfRule>
  </conditionalFormatting>
  <conditionalFormatting sqref="BQ3:BQ5">
    <cfRule type="cellIs" dxfId="76" priority="29" operator="equal">
      <formula>"?"</formula>
    </cfRule>
  </conditionalFormatting>
  <conditionalFormatting sqref="BQ7:BQ8 BQ10:BQ12 BQ14 BQ17:BQ18 BQ25:BQ26 BQ30">
    <cfRule type="cellIs" dxfId="75" priority="30" operator="equal">
      <formula>"?"</formula>
    </cfRule>
  </conditionalFormatting>
  <conditionalFormatting sqref="BR5">
    <cfRule type="cellIs" dxfId="74" priority="31" operator="equal">
      <formula>"?"</formula>
    </cfRule>
  </conditionalFormatting>
  <conditionalFormatting sqref="BS3:BS5">
    <cfRule type="cellIs" dxfId="73" priority="32" operator="equal">
      <formula>"?"</formula>
    </cfRule>
  </conditionalFormatting>
  <conditionalFormatting sqref="BS7:BS8 BS10:BS12 BS14 BS17:BS18 BS25:BS26 BS30">
    <cfRule type="cellIs" dxfId="72" priority="33" operator="equal">
      <formula>"?"</formula>
    </cfRule>
  </conditionalFormatting>
  <conditionalFormatting sqref="BT5">
    <cfRule type="cellIs" dxfId="71" priority="34" operator="equal">
      <formula>"?"</formula>
    </cfRule>
  </conditionalFormatting>
  <conditionalFormatting sqref="BU3:BU5">
    <cfRule type="cellIs" dxfId="70" priority="35" operator="equal">
      <formula>"?"</formula>
    </cfRule>
  </conditionalFormatting>
  <conditionalFormatting sqref="BU7:BU8 BU10:BU12 BU14 BU17:BU18 BU25:BU26 BU30">
    <cfRule type="cellIs" dxfId="69" priority="36" operator="equal">
      <formula>"?"</formula>
    </cfRule>
  </conditionalFormatting>
  <conditionalFormatting sqref="BV5">
    <cfRule type="cellIs" dxfId="68" priority="37" operator="equal">
      <formula>"?"</formula>
    </cfRule>
  </conditionalFormatting>
  <conditionalFormatting sqref="BW3:BW5">
    <cfRule type="cellIs" dxfId="67" priority="38" operator="equal">
      <formula>"?"</formula>
    </cfRule>
  </conditionalFormatting>
  <conditionalFormatting sqref="BW7:BW8 BW10:BW12 BW14 BW17:BW18 BW25:BW26 BW30">
    <cfRule type="cellIs" dxfId="66" priority="39" operator="equal">
      <formula>"?"</formula>
    </cfRule>
  </conditionalFormatting>
  <conditionalFormatting sqref="BX5">
    <cfRule type="cellIs" dxfId="65" priority="40" operator="equal">
      <formula>"?"</formula>
    </cfRule>
  </conditionalFormatting>
  <conditionalFormatting sqref="BY3:BY5 BZ3">
    <cfRule type="cellIs" dxfId="64" priority="41" operator="equal">
      <formula>"?"</formula>
    </cfRule>
  </conditionalFormatting>
  <conditionalFormatting sqref="BY7:BY8 BY10:BY12 BY14 BY17:BY18 BY25:BY26 BY30">
    <cfRule type="cellIs" dxfId="63" priority="42" operator="equal">
      <formula>"?"</formula>
    </cfRule>
  </conditionalFormatting>
  <conditionalFormatting sqref="BZ5">
    <cfRule type="cellIs" dxfId="62" priority="43" operator="equal">
      <formula>"?"</formula>
    </cfRule>
  </conditionalFormatting>
  <conditionalFormatting sqref="CA3:CA5">
    <cfRule type="cellIs" dxfId="61" priority="44" operator="equal">
      <formula>"?"</formula>
    </cfRule>
  </conditionalFormatting>
  <conditionalFormatting sqref="CA7:CA8 CA10:CA12 CA14 CA17:CA18 CA25:CA26 CA30">
    <cfRule type="cellIs" dxfId="60" priority="45" operator="equal">
      <formula>"?"</formula>
    </cfRule>
  </conditionalFormatting>
  <conditionalFormatting sqref="CB5">
    <cfRule type="cellIs" dxfId="59" priority="46" operator="equal">
      <formula>"?"</formula>
    </cfRule>
  </conditionalFormatting>
  <conditionalFormatting sqref="CC3:CC5">
    <cfRule type="cellIs" dxfId="58" priority="47" operator="equal">
      <formula>"?"</formula>
    </cfRule>
  </conditionalFormatting>
  <conditionalFormatting sqref="CC7:CC8 CC10:CC12 CC14 CC17:CC18 CC25:CC26 CC30">
    <cfRule type="cellIs" dxfId="57" priority="48" operator="equal">
      <formula>"?"</formula>
    </cfRule>
  </conditionalFormatting>
  <conditionalFormatting sqref="CD5">
    <cfRule type="cellIs" dxfId="56" priority="49" operator="equal">
      <formula>"?"</formula>
    </cfRule>
  </conditionalFormatting>
  <conditionalFormatting sqref="CE3:CE5 CF3:CH3">
    <cfRule type="cellIs" dxfId="55" priority="50" operator="equal">
      <formula>"?"</formula>
    </cfRule>
  </conditionalFormatting>
  <conditionalFormatting sqref="CE7:CE8 CE10:CE12 CE14 CE17:CE18 CE25:CE26 CE30">
    <cfRule type="cellIs" dxfId="54" priority="51" operator="equal">
      <formula>"?"</formula>
    </cfRule>
  </conditionalFormatting>
  <conditionalFormatting sqref="CF5:CJ5">
    <cfRule type="cellIs" dxfId="53" priority="52" operator="equal">
      <formula>"?"</formula>
    </cfRule>
  </conditionalFormatting>
  <conditionalFormatting sqref="CK3:CK5">
    <cfRule type="cellIs" dxfId="52" priority="53" operator="equal">
      <formula>"?"</formula>
    </cfRule>
  </conditionalFormatting>
  <conditionalFormatting sqref="CK7:CK8 CK10:CK12 CK14 CK17:CK18 CK25:CK26 CK30">
    <cfRule type="cellIs" dxfId="51" priority="54" operator="equal">
      <formula>"?"</formula>
    </cfRule>
  </conditionalFormatting>
  <conditionalFormatting sqref="CL5">
    <cfRule type="cellIs" dxfId="50" priority="55" operator="equal">
      <formula>"?"</formula>
    </cfRule>
  </conditionalFormatting>
  <conditionalFormatting sqref="CM3:CM5">
    <cfRule type="cellIs" dxfId="49" priority="56" operator="equal">
      <formula>"?"</formula>
    </cfRule>
  </conditionalFormatting>
  <conditionalFormatting sqref="CM7:CM8 CM10:CM12 CM14 CM17:CM18 CM25:CM26 CM30">
    <cfRule type="cellIs" dxfId="48" priority="57" operator="equal">
      <formula>"?"</formula>
    </cfRule>
  </conditionalFormatting>
  <conditionalFormatting sqref="CN5">
    <cfRule type="cellIs" dxfId="47" priority="58" operator="equal">
      <formula>"?"</formula>
    </cfRule>
  </conditionalFormatting>
  <conditionalFormatting sqref="CO3:CO5">
    <cfRule type="cellIs" dxfId="46" priority="59" operator="equal">
      <formula>"?"</formula>
    </cfRule>
  </conditionalFormatting>
  <conditionalFormatting sqref="CO7:CO8 CO10:CO14 CO17:CO18">
    <cfRule type="cellIs" dxfId="45" priority="60" operator="equal">
      <formula>"?"</formula>
    </cfRule>
  </conditionalFormatting>
  <conditionalFormatting sqref="CO22:CO26 CO30">
    <cfRule type="cellIs" dxfId="44" priority="61" operator="equal">
      <formula>"?"</formula>
    </cfRule>
  </conditionalFormatting>
  <conditionalFormatting sqref="CP30">
    <cfRule type="cellIs" dxfId="43" priority="62" operator="equal">
      <formula>"?"</formula>
    </cfRule>
  </conditionalFormatting>
  <conditionalFormatting sqref="CQ3:DE20 CQ22:DE34">
    <cfRule type="cellIs" dxfId="42" priority="63" operator="equal">
      <formula>"?"</formula>
    </cfRule>
  </conditionalFormatting>
  <conditionalFormatting sqref="DE27:DE29 DF3:DF20 DF22:DF25 DF27:DF34">
    <cfRule type="cellIs" dxfId="41" priority="64" operator="equal">
      <formula>"?"</formula>
    </cfRule>
  </conditionalFormatting>
  <conditionalFormatting sqref="DG3:DG20 DG22:DG34 DH27:DJ27">
    <cfRule type="cellIs" dxfId="40" priority="65" operator="equal">
      <formula>"?"</formula>
    </cfRule>
  </conditionalFormatting>
  <conditionalFormatting sqref="DI3:DM20 DI22:DM34">
    <cfRule type="cellIs" dxfId="39" priority="66" operator="equal">
      <formula>"?"</formula>
    </cfRule>
  </conditionalFormatting>
  <conditionalFormatting sqref="DO3:DQ20 DO22:DQ34">
    <cfRule type="cellIs" dxfId="38" priority="67" operator="equal">
      <formula>"?"</formula>
    </cfRule>
  </conditionalFormatting>
  <conditionalFormatting sqref="DR5:DS20 DR22:DX34 DT8:DT20 DU5:DX20">
    <cfRule type="cellIs" dxfId="37" priority="68" operator="equal">
      <formula>"?"</formula>
    </cfRule>
  </conditionalFormatting>
  <conditionalFormatting sqref="DY3:DY20 DY22:DY36">
    <cfRule type="cellIs" dxfId="36" priority="69" operator="equal">
      <formula>"?"</formula>
    </cfRule>
  </conditionalFormatting>
  <conditionalFormatting sqref="EW3:HJ36">
    <cfRule type="cellIs" dxfId="35" priority="70" operator="equal">
      <formula>"N"</formula>
    </cfRule>
  </conditionalFormatting>
  <conditionalFormatting sqref="EW3:HJ36">
    <cfRule type="cellIs" dxfId="34" priority="71" operator="equal">
      <formula>"Y"</formula>
    </cfRule>
  </conditionalFormatting>
  <conditionalFormatting sqref="EW35:GF36 GI35:HJ36">
    <cfRule type="cellIs" dxfId="33" priority="72" operator="equal">
      <formula>"N"</formula>
    </cfRule>
  </conditionalFormatting>
  <conditionalFormatting sqref="EW35:GF36 GI35:HJ36">
    <cfRule type="cellIs" dxfId="32" priority="73" operator="equal">
      <formula>"Y"</formula>
    </cfRule>
  </conditionalFormatting>
  <conditionalFormatting sqref="U35:AB36 AG35:AG36 AI35:AI36 AQ35:AQ36 AS35:AY36 BA35:BA36 BM35:BM36 BN35:BP35 DG35:DG36">
    <cfRule type="cellIs" dxfId="31" priority="74" operator="equal">
      <formula>"?"</formula>
    </cfRule>
  </conditionalFormatting>
  <conditionalFormatting sqref="BI35:BL36">
    <cfRule type="cellIs" dxfId="30" priority="75" operator="equal">
      <formula>"?"</formula>
    </cfRule>
  </conditionalFormatting>
  <conditionalFormatting sqref="DF35:DF36">
    <cfRule type="cellIs" dxfId="29" priority="76" operator="equal">
      <formula>"?"</formula>
    </cfRule>
  </conditionalFormatting>
  <conditionalFormatting sqref="K35:L36">
    <cfRule type="cellIs" dxfId="28" priority="77" operator="equal">
      <formula>"?"</formula>
    </cfRule>
  </conditionalFormatting>
  <conditionalFormatting sqref="AM35:AO36">
    <cfRule type="cellIs" dxfId="27" priority="78" operator="equal">
      <formula>"?"</formula>
    </cfRule>
  </conditionalFormatting>
  <conditionalFormatting sqref="BO35:CP36">
    <cfRule type="cellIs" dxfId="26" priority="79" operator="equal">
      <formula>"?"</formula>
    </cfRule>
  </conditionalFormatting>
  <conditionalFormatting sqref="CQ35:DE36">
    <cfRule type="cellIs" dxfId="25" priority="80" operator="equal">
      <formula>"?"</formula>
    </cfRule>
  </conditionalFormatting>
  <conditionalFormatting sqref="DI35:DM36">
    <cfRule type="cellIs" dxfId="24" priority="81" operator="equal">
      <formula>"?"</formula>
    </cfRule>
  </conditionalFormatting>
  <conditionalFormatting sqref="DO35:DQ36">
    <cfRule type="cellIs" dxfId="23" priority="82" operator="equal">
      <formula>"?"</formula>
    </cfRule>
  </conditionalFormatting>
  <conditionalFormatting sqref="DR35:DX36">
    <cfRule type="cellIs" dxfId="22" priority="83" operator="equal">
      <formula>"?"</formula>
    </cfRule>
  </conditionalFormatting>
  <conditionalFormatting sqref="K21">
    <cfRule type="cellIs" dxfId="21" priority="84" operator="equal">
      <formula>"?"</formula>
    </cfRule>
  </conditionalFormatting>
  <conditionalFormatting sqref="U21">
    <cfRule type="cellIs" dxfId="20" priority="85" operator="equal">
      <formula>"?"</formula>
    </cfRule>
  </conditionalFormatting>
  <conditionalFormatting sqref="W21">
    <cfRule type="cellIs" dxfId="19" priority="86" operator="equal">
      <formula>"?"</formula>
    </cfRule>
  </conditionalFormatting>
  <conditionalFormatting sqref="Y21">
    <cfRule type="cellIs" dxfId="18" priority="87" operator="equal">
      <formula>"?"</formula>
    </cfRule>
  </conditionalFormatting>
  <conditionalFormatting sqref="AA21">
    <cfRule type="cellIs" dxfId="17" priority="88" operator="equal">
      <formula>"?"</formula>
    </cfRule>
  </conditionalFormatting>
  <conditionalFormatting sqref="AG21">
    <cfRule type="cellIs" dxfId="16" priority="89" operator="equal">
      <formula>"?"</formula>
    </cfRule>
  </conditionalFormatting>
  <conditionalFormatting sqref="AI21">
    <cfRule type="cellIs" dxfId="15" priority="90" operator="equal">
      <formula>"?"</formula>
    </cfRule>
  </conditionalFormatting>
  <conditionalFormatting sqref="AO21">
    <cfRule type="cellIs" dxfId="14" priority="91" operator="equal">
      <formula>"?"</formula>
    </cfRule>
  </conditionalFormatting>
  <conditionalFormatting sqref="AQ21">
    <cfRule type="cellIs" dxfId="13" priority="92" operator="equal">
      <formula>"?"</formula>
    </cfRule>
  </conditionalFormatting>
  <conditionalFormatting sqref="AS21:AY21">
    <cfRule type="cellIs" dxfId="12" priority="93" operator="equal">
      <formula>"?"</formula>
    </cfRule>
  </conditionalFormatting>
  <conditionalFormatting sqref="BA21">
    <cfRule type="cellIs" dxfId="11" priority="94" operator="equal">
      <formula>"?"</formula>
    </cfRule>
  </conditionalFormatting>
  <conditionalFormatting sqref="BI21">
    <cfRule type="cellIs" dxfId="10" priority="95" operator="equal">
      <formula>"?"</formula>
    </cfRule>
  </conditionalFormatting>
  <conditionalFormatting sqref="BM21">
    <cfRule type="cellIs" dxfId="9" priority="96" operator="equal">
      <formula>"?"</formula>
    </cfRule>
  </conditionalFormatting>
  <conditionalFormatting sqref="CO21">
    <cfRule type="cellIs" dxfId="8" priority="97" operator="equal">
      <formula>"?"</formula>
    </cfRule>
  </conditionalFormatting>
  <conditionalFormatting sqref="CQ21 CS21 CU21 CW21 CY21 DA21 DC21 DE21">
    <cfRule type="cellIs" dxfId="7" priority="98" operator="equal">
      <formula>"?"</formula>
    </cfRule>
  </conditionalFormatting>
  <conditionalFormatting sqref="DG21">
    <cfRule type="cellIs" dxfId="6" priority="99" operator="equal">
      <formula>"?"</formula>
    </cfRule>
  </conditionalFormatting>
  <conditionalFormatting sqref="DI21 DK21 DM21">
    <cfRule type="cellIs" dxfId="5" priority="100" operator="equal">
      <formula>"?"</formula>
    </cfRule>
  </conditionalFormatting>
  <conditionalFormatting sqref="DO21 DQ21">
    <cfRule type="cellIs" dxfId="4" priority="101" operator="equal">
      <formula>"?"</formula>
    </cfRule>
  </conditionalFormatting>
  <conditionalFormatting sqref="DU21 DW21">
    <cfRule type="cellIs" dxfId="3" priority="102" operator="equal">
      <formula>"?"</formula>
    </cfRule>
  </conditionalFormatting>
  <conditionalFormatting sqref="DY21">
    <cfRule type="cellIs" dxfId="2" priority="103" operator="equal">
      <formula>"?"</formula>
    </cfRule>
  </conditionalFormatting>
  <conditionalFormatting sqref="DS21:DT21">
    <cfRule type="cellIs" dxfId="1" priority="104" operator="equal">
      <formula>"?"</formula>
    </cfRule>
  </conditionalFormatting>
  <conditionalFormatting sqref="BO27:CP29">
    <cfRule type="cellIs" dxfId="0" priority="105" operator="equal">
      <formula>"?"</formula>
    </cfRule>
  </conditionalFormatting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934"/>
  <sheetViews>
    <sheetView zoomScale="84" zoomScaleNormal="84" workbookViewId="0">
      <selection activeCell="BN13" sqref="BN13"/>
    </sheetView>
  </sheetViews>
  <sheetFormatPr baseColWidth="10" defaultColWidth="14.5" defaultRowHeight="15" customHeight="1" x14ac:dyDescent="0.2"/>
  <cols>
    <col min="1" max="14" width="10.6640625" customWidth="1"/>
    <col min="15" max="15" width="11.6640625" customWidth="1"/>
    <col min="16" max="16" width="10.6640625" customWidth="1"/>
    <col min="17" max="17" width="12.33203125" customWidth="1"/>
    <col min="18" max="30" width="10.6640625" customWidth="1"/>
    <col min="31" max="47" width="16.33203125" customWidth="1"/>
    <col min="48" max="65" width="10.6640625" customWidth="1"/>
  </cols>
  <sheetData>
    <row r="1" spans="1:66" ht="48" x14ac:dyDescent="0.2">
      <c r="A1" s="41" t="s">
        <v>169</v>
      </c>
      <c r="B1" s="41" t="s">
        <v>170</v>
      </c>
      <c r="C1" s="41" t="s">
        <v>166</v>
      </c>
      <c r="D1" s="42" t="s">
        <v>173</v>
      </c>
      <c r="E1" s="42" t="s">
        <v>175</v>
      </c>
      <c r="F1" s="42" t="s">
        <v>177</v>
      </c>
      <c r="G1" s="42" t="s">
        <v>179</v>
      </c>
      <c r="H1" s="42" t="s">
        <v>181</v>
      </c>
      <c r="I1" s="42" t="s">
        <v>308</v>
      </c>
      <c r="J1" s="42" t="s">
        <v>309</v>
      </c>
      <c r="K1" s="42" t="s">
        <v>310</v>
      </c>
      <c r="L1" s="42" t="s">
        <v>311</v>
      </c>
      <c r="M1" s="43" t="s">
        <v>316</v>
      </c>
      <c r="N1" s="43" t="s">
        <v>101</v>
      </c>
      <c r="O1" s="43" t="s">
        <v>92</v>
      </c>
      <c r="P1" s="43" t="s">
        <v>194</v>
      </c>
      <c r="Q1" s="43" t="s">
        <v>15</v>
      </c>
      <c r="R1" s="44" t="s">
        <v>288</v>
      </c>
      <c r="S1" s="44" t="s">
        <v>199</v>
      </c>
      <c r="T1" s="44" t="s">
        <v>289</v>
      </c>
      <c r="U1" s="44" t="s">
        <v>337</v>
      </c>
      <c r="V1" s="44" t="s">
        <v>338</v>
      </c>
      <c r="W1" s="44" t="s">
        <v>334</v>
      </c>
      <c r="X1" s="44" t="s">
        <v>335</v>
      </c>
      <c r="Y1" s="44" t="s">
        <v>336</v>
      </c>
      <c r="Z1" s="45" t="s">
        <v>202</v>
      </c>
      <c r="AA1" s="45" t="s">
        <v>204</v>
      </c>
      <c r="AB1" s="46" t="s">
        <v>206</v>
      </c>
      <c r="AC1" s="47" t="s">
        <v>290</v>
      </c>
      <c r="AD1" s="47" t="s">
        <v>291</v>
      </c>
      <c r="AE1" s="48" t="s">
        <v>213</v>
      </c>
      <c r="AF1" s="48" t="s">
        <v>215</v>
      </c>
      <c r="AG1" s="48" t="s">
        <v>217</v>
      </c>
      <c r="AH1" s="48" t="s">
        <v>292</v>
      </c>
      <c r="AI1" s="48" t="s">
        <v>221</v>
      </c>
      <c r="AJ1" s="48" t="s">
        <v>223</v>
      </c>
      <c r="AK1" s="48" t="s">
        <v>225</v>
      </c>
      <c r="AL1" s="48" t="s">
        <v>227</v>
      </c>
      <c r="AM1" s="48" t="s">
        <v>229</v>
      </c>
      <c r="AN1" s="48" t="s">
        <v>231</v>
      </c>
      <c r="AO1" s="48" t="s">
        <v>233</v>
      </c>
      <c r="AP1" s="48" t="s">
        <v>235</v>
      </c>
      <c r="AQ1" s="48" t="s">
        <v>312</v>
      </c>
      <c r="AR1" s="48" t="s">
        <v>313</v>
      </c>
      <c r="AS1" s="48" t="s">
        <v>237</v>
      </c>
      <c r="AT1" s="49" t="s">
        <v>239</v>
      </c>
      <c r="AU1" s="49" t="s">
        <v>241</v>
      </c>
      <c r="AV1" s="50" t="s">
        <v>293</v>
      </c>
      <c r="AW1" s="50" t="s">
        <v>294</v>
      </c>
      <c r="AX1" s="50" t="s">
        <v>295</v>
      </c>
      <c r="AY1" s="50" t="s">
        <v>296</v>
      </c>
      <c r="AZ1" s="51" t="s">
        <v>297</v>
      </c>
      <c r="BA1" s="51" t="s">
        <v>298</v>
      </c>
      <c r="BB1" s="51" t="s">
        <v>299</v>
      </c>
      <c r="BC1" s="42" t="s">
        <v>300</v>
      </c>
      <c r="BD1" s="42" t="s">
        <v>301</v>
      </c>
      <c r="BE1" s="42" t="s">
        <v>302</v>
      </c>
      <c r="BF1" s="42" t="s">
        <v>303</v>
      </c>
      <c r="BG1" s="42" t="s">
        <v>304</v>
      </c>
      <c r="BH1" s="52" t="s">
        <v>262</v>
      </c>
      <c r="BI1" s="52" t="s">
        <v>263</v>
      </c>
      <c r="BJ1" s="53" t="s">
        <v>305</v>
      </c>
      <c r="BK1" s="54" t="s">
        <v>306</v>
      </c>
      <c r="BL1" s="53" t="s">
        <v>307</v>
      </c>
      <c r="BM1" s="55" t="s">
        <v>275</v>
      </c>
    </row>
    <row r="2" spans="1:66" ht="15.75" customHeight="1" x14ac:dyDescent="0.2">
      <c r="A2" s="21" t="str">
        <f>Sheet1!A3</f>
        <v>Adams</v>
      </c>
      <c r="B2" s="21">
        <f>Sheet1!B3</f>
        <v>1996</v>
      </c>
      <c r="C2" s="21" t="str">
        <f>_xlfn.CONCAT(data!A2," ",data!B2)</f>
        <v>Adams 1996</v>
      </c>
      <c r="D2" s="21">
        <f>Sheet1!C3</f>
        <v>68</v>
      </c>
      <c r="E2" s="21">
        <f>Sheet1!E3</f>
        <v>43</v>
      </c>
      <c r="F2" s="21" t="str">
        <f>Sheet1!G3</f>
        <v>NS</v>
      </c>
      <c r="G2" s="21" t="str">
        <f>Sheet1!I3</f>
        <v>NS</v>
      </c>
      <c r="H2" s="21" t="str">
        <f>Sheet1!K3</f>
        <v>NS</v>
      </c>
      <c r="I2" s="21" t="str">
        <f>Sheet1!M3</f>
        <v>NS</v>
      </c>
      <c r="J2" s="21" t="str">
        <f>Sheet1!O3</f>
        <v>NS</v>
      </c>
      <c r="K2" s="21" t="str">
        <f>Sheet1!Q3</f>
        <v>NS</v>
      </c>
      <c r="L2" s="21" t="str">
        <f>Sheet1!S3</f>
        <v>NS</v>
      </c>
      <c r="M2" s="21">
        <f>Sheet1!U3</f>
        <v>0</v>
      </c>
      <c r="N2" s="21">
        <f>Sheet1!W3</f>
        <v>111</v>
      </c>
      <c r="O2" s="21">
        <f>Sheet1!Y3</f>
        <v>0</v>
      </c>
      <c r="P2" s="21">
        <f>Sheet1!AA3</f>
        <v>0</v>
      </c>
      <c r="Q2" s="21" t="str">
        <f>Sheet1!AC3</f>
        <v>inpat_psych</v>
      </c>
      <c r="R2" s="21">
        <f>Sheet1!AF3</f>
        <v>0</v>
      </c>
      <c r="S2" s="21" t="str">
        <f>Sheet1!AI3</f>
        <v>yes</v>
      </c>
      <c r="T2" s="21" t="str">
        <f>Sheet1!AK3</f>
        <v>yes</v>
      </c>
      <c r="U2" s="21">
        <f>Sheet1!AO3</f>
        <v>0</v>
      </c>
      <c r="V2" s="21">
        <f>Sheet1!AQ3</f>
        <v>0</v>
      </c>
      <c r="W2" s="21" t="str">
        <f>Sheet1!AS3</f>
        <v>NS</v>
      </c>
      <c r="X2" s="21" t="str">
        <f>Sheet1!AU3</f>
        <v>NS</v>
      </c>
      <c r="Y2" s="21" t="str">
        <f>Sheet1!AW3</f>
        <v>NS</v>
      </c>
      <c r="Z2" s="21">
        <f>Sheet1!AY3</f>
        <v>111</v>
      </c>
      <c r="AA2" s="21">
        <f>Sheet1!BA3</f>
        <v>0</v>
      </c>
      <c r="AB2" s="21" t="str">
        <f>Sheet1!BC3</f>
        <v>multiple</v>
      </c>
      <c r="AC2" s="21">
        <f>Sheet1!BE3</f>
        <v>0</v>
      </c>
      <c r="AD2" s="21">
        <f>Sheet1!BG3</f>
        <v>0</v>
      </c>
      <c r="AE2" s="21" t="str">
        <f>Sheet1!BI3</f>
        <v>NA</v>
      </c>
      <c r="AF2" s="21" t="str">
        <f>Sheet1!BK3</f>
        <v>NA</v>
      </c>
      <c r="AG2" s="21" t="str">
        <f>Sheet1!BM3</f>
        <v>NA</v>
      </c>
      <c r="AH2" s="21" t="str">
        <f>Sheet1!BO3</f>
        <v>NA</v>
      </c>
      <c r="AI2" s="21">
        <f>Sheet1!BQ3</f>
        <v>0</v>
      </c>
      <c r="AJ2" s="21">
        <f>Sheet1!BS3</f>
        <v>0</v>
      </c>
      <c r="AK2" s="21">
        <f>Sheet1!BU3</f>
        <v>0</v>
      </c>
      <c r="AL2" s="21">
        <f>Sheet1!BQ3</f>
        <v>0</v>
      </c>
      <c r="AM2" s="21" t="str">
        <f>Sheet1!BY3</f>
        <v>NA</v>
      </c>
      <c r="AN2" s="21">
        <f>Sheet1!CA3</f>
        <v>0</v>
      </c>
      <c r="AO2" s="21">
        <f>Sheet1!CC3</f>
        <v>0</v>
      </c>
      <c r="AP2" s="21" t="str">
        <f>Sheet1!CE3</f>
        <v>NA</v>
      </c>
      <c r="AQ2" s="21" t="str">
        <f>Sheet1!CG3</f>
        <v>NA</v>
      </c>
      <c r="AR2" s="21">
        <f>Sheet1!CI3</f>
        <v>0</v>
      </c>
      <c r="AS2" s="21">
        <f>Sheet1!CK3</f>
        <v>0</v>
      </c>
      <c r="AT2" s="21">
        <f>Sheet1!CM3</f>
        <v>0</v>
      </c>
      <c r="AU2" s="21">
        <f>Sheet1!CO3</f>
        <v>0</v>
      </c>
      <c r="AV2" s="21" t="str">
        <f>Sheet1!CQ3</f>
        <v>NS</v>
      </c>
      <c r="AW2" s="21" t="str">
        <f>Sheet1!CS3</f>
        <v>some</v>
      </c>
      <c r="AX2" s="21" t="str">
        <f>Sheet1!CU3</f>
        <v>some</v>
      </c>
      <c r="AY2" s="21" t="str">
        <f>Sheet1!CW3</f>
        <v>some</v>
      </c>
      <c r="AZ2" s="21" t="str">
        <f>Sheet1!CY3</f>
        <v>NS</v>
      </c>
      <c r="BA2" s="21" t="str">
        <f>Sheet1!DA3</f>
        <v>all</v>
      </c>
      <c r="BB2" s="21" t="str">
        <f>Sheet1!DC3</f>
        <v>NS</v>
      </c>
      <c r="BC2" s="21" t="str">
        <f>Sheet1!DE3</f>
        <v>all</v>
      </c>
      <c r="BD2" s="21" t="str">
        <f>Sheet1!DG3</f>
        <v>NS</v>
      </c>
      <c r="BE2" s="21" t="str">
        <f>Sheet1!DI3</f>
        <v>NS</v>
      </c>
      <c r="BF2" s="21" t="str">
        <f>Sheet1!DK3</f>
        <v>NS</v>
      </c>
      <c r="BG2" s="21" t="str">
        <f>Sheet1!DM3</f>
        <v>NS</v>
      </c>
      <c r="BH2" s="21" t="str">
        <f>Sheet1!DO3</f>
        <v>NS</v>
      </c>
      <c r="BI2" s="21" t="str">
        <f>Sheet1!DQ3</f>
        <v>NS</v>
      </c>
      <c r="BJ2" s="21" t="str">
        <f>Sheet1!DS3</f>
        <v>disorder</v>
      </c>
      <c r="BK2" s="21" t="str">
        <f>Sheet1!DU3</f>
        <v>NS</v>
      </c>
      <c r="BL2" s="21" t="str">
        <f>Sheet1!DW3</f>
        <v>NS</v>
      </c>
      <c r="BM2" s="21">
        <f>Sheet1!ES3</f>
        <v>10</v>
      </c>
    </row>
    <row r="3" spans="1:66" ht="15.75" customHeight="1" x14ac:dyDescent="0.2">
      <c r="A3" s="21" t="str">
        <f>Sheet1!A4</f>
        <v>Caton</v>
      </c>
      <c r="B3" s="21">
        <f>Sheet1!B4</f>
        <v>2005</v>
      </c>
      <c r="C3" s="21" t="str">
        <f>_xlfn.CONCAT(data!A3," ",data!B3)</f>
        <v>Caton 2005</v>
      </c>
      <c r="D3" s="21">
        <f>Sheet1!C4</f>
        <v>278</v>
      </c>
      <c r="E3" s="21">
        <f>Sheet1!E4</f>
        <v>108</v>
      </c>
      <c r="F3" s="21">
        <f>Sheet1!G4</f>
        <v>27.1</v>
      </c>
      <c r="G3" s="21">
        <f>Sheet1!I4</f>
        <v>30.1</v>
      </c>
      <c r="H3" s="21">
        <f>Sheet1!K4</f>
        <v>28.5</v>
      </c>
      <c r="I3" s="21">
        <f>Sheet1!M4</f>
        <v>168</v>
      </c>
      <c r="J3" s="21">
        <f>Sheet1!O4</f>
        <v>56</v>
      </c>
      <c r="K3" s="21">
        <f>Sheet1!Q4</f>
        <v>0</v>
      </c>
      <c r="L3" s="21">
        <f>Sheet1!S4</f>
        <v>0</v>
      </c>
      <c r="M3" s="21">
        <f>Sheet1!U4</f>
        <v>386</v>
      </c>
      <c r="N3" s="21">
        <f>Sheet1!W4</f>
        <v>0</v>
      </c>
      <c r="O3" s="21">
        <f>Sheet1!Y4</f>
        <v>0</v>
      </c>
      <c r="P3" s="21">
        <f>Sheet1!AA4</f>
        <v>0</v>
      </c>
      <c r="Q3" s="21" t="str">
        <f>Sheet1!AC4</f>
        <v>gen_hospital</v>
      </c>
      <c r="R3" s="21" t="str">
        <f>Sheet1!AF4</f>
        <v>n_am</v>
      </c>
      <c r="S3" s="21" t="str">
        <f>Sheet1!AI4</f>
        <v>yes</v>
      </c>
      <c r="T3" s="21" t="str">
        <f>Sheet1!AK4</f>
        <v>yes</v>
      </c>
      <c r="U3" s="21" t="str">
        <f>Sheet1!AO4</f>
        <v>NS</v>
      </c>
      <c r="V3" s="21" t="str">
        <f>Sheet1!AQ4</f>
        <v>NS</v>
      </c>
      <c r="W3" s="21" t="str">
        <f>Sheet1!AS4</f>
        <v>NS</v>
      </c>
      <c r="X3" s="21" t="str">
        <f>Sheet1!AU4</f>
        <v>NS</v>
      </c>
      <c r="Y3" s="21" t="str">
        <f>Sheet1!AW4</f>
        <v>NS</v>
      </c>
      <c r="Z3" s="21">
        <f>Sheet1!AY4</f>
        <v>386</v>
      </c>
      <c r="AA3" s="21">
        <f>Sheet1!BA4</f>
        <v>169</v>
      </c>
      <c r="AB3" s="21" t="str">
        <f>Sheet1!BC4</f>
        <v>single</v>
      </c>
      <c r="AC3" s="21">
        <f>Sheet1!BE4</f>
        <v>0</v>
      </c>
      <c r="AD3" s="21">
        <f>Sheet1!BG4</f>
        <v>169</v>
      </c>
      <c r="AE3" s="21" t="str">
        <f>Sheet1!BI4</f>
        <v>NA</v>
      </c>
      <c r="AF3" s="21" t="str">
        <f>Sheet1!BK4</f>
        <v>NA</v>
      </c>
      <c r="AG3" s="21">
        <f>Sheet1!BM4</f>
        <v>169</v>
      </c>
      <c r="AH3" s="21" t="str">
        <f>Sheet1!BO4</f>
        <v>NA</v>
      </c>
      <c r="AI3" s="21" t="str">
        <f>Sheet1!BQ4</f>
        <v>NA</v>
      </c>
      <c r="AJ3" s="21" t="str">
        <f>Sheet1!BS4</f>
        <v>NA</v>
      </c>
      <c r="AK3" s="21" t="str">
        <f>Sheet1!BU4</f>
        <v>NA</v>
      </c>
      <c r="AL3" s="21" t="str">
        <f>Sheet1!BQ4</f>
        <v>NA</v>
      </c>
      <c r="AM3" s="21" t="str">
        <f>Sheet1!BY4</f>
        <v>NA</v>
      </c>
      <c r="AN3" s="21" t="str">
        <f>Sheet1!CA4</f>
        <v>NA</v>
      </c>
      <c r="AO3" s="21" t="str">
        <f>Sheet1!CC4</f>
        <v>NA</v>
      </c>
      <c r="AP3" s="21" t="str">
        <f>Sheet1!CE4</f>
        <v>NA</v>
      </c>
      <c r="AQ3" s="21" t="str">
        <f>Sheet1!CG4</f>
        <v>NA</v>
      </c>
      <c r="AR3" s="21" t="str">
        <f>Sheet1!CI4</f>
        <v>NA</v>
      </c>
      <c r="AS3" s="21" t="str">
        <f>Sheet1!CK4</f>
        <v>NA</v>
      </c>
      <c r="AT3" s="21" t="str">
        <f>Sheet1!CM4</f>
        <v>NA</v>
      </c>
      <c r="AU3" s="21" t="str">
        <f>Sheet1!CO4</f>
        <v>NA</v>
      </c>
      <c r="AV3" s="21" t="str">
        <f>Sheet1!CQ4</f>
        <v>NS</v>
      </c>
      <c r="AW3" s="21" t="str">
        <f>Sheet1!CS4</f>
        <v>NS</v>
      </c>
      <c r="AX3" s="21" t="str">
        <f>Sheet1!CU4</f>
        <v>NS</v>
      </c>
      <c r="AY3" s="21" t="str">
        <f>Sheet1!CW4</f>
        <v>NS</v>
      </c>
      <c r="AZ3" s="21" t="str">
        <f>Sheet1!CY4</f>
        <v>NS</v>
      </c>
      <c r="BA3" s="21" t="str">
        <f>Sheet1!DA4</f>
        <v>NS</v>
      </c>
      <c r="BB3" s="21" t="str">
        <f>Sheet1!DC4</f>
        <v>all</v>
      </c>
      <c r="BC3" s="21" t="str">
        <f>Sheet1!DE4</f>
        <v>all</v>
      </c>
      <c r="BD3" s="21" t="str">
        <f>Sheet1!DG4</f>
        <v>yes</v>
      </c>
      <c r="BE3" s="21" t="str">
        <f>Sheet1!DI4</f>
        <v>NS</v>
      </c>
      <c r="BF3" s="21" t="str">
        <f>Sheet1!DK4</f>
        <v>NS</v>
      </c>
      <c r="BG3" s="21" t="str">
        <f>Sheet1!DM4</f>
        <v>NS</v>
      </c>
      <c r="BH3" s="21" t="str">
        <f>Sheet1!DO4</f>
        <v>NS</v>
      </c>
      <c r="BI3" s="21" t="str">
        <f>Sheet1!DQ4</f>
        <v>NS</v>
      </c>
      <c r="BJ3" s="21" t="str">
        <f>Sheet1!DS4</f>
        <v>disorder</v>
      </c>
      <c r="BK3" s="21" t="str">
        <f>Sheet1!DU4</f>
        <v>PRISM</v>
      </c>
      <c r="BL3" s="21" t="str">
        <f>Sheet1!DW4</f>
        <v>DSM-IV</v>
      </c>
      <c r="BM3" s="21">
        <f>Sheet1!ES4</f>
        <v>9</v>
      </c>
    </row>
    <row r="4" spans="1:66" ht="15.75" customHeight="1" x14ac:dyDescent="0.2">
      <c r="A4" s="21" t="str">
        <f>Sheet1!A5</f>
        <v>Correa-Oliveira</v>
      </c>
      <c r="B4" s="21">
        <f>Sheet1!B5</f>
        <v>2022</v>
      </c>
      <c r="C4" s="21" t="str">
        <f>_xlfn.CONCAT(data!A4," ",data!B4)</f>
        <v>Correa-Oliveira 2022</v>
      </c>
      <c r="D4" s="21">
        <f>Sheet1!C5</f>
        <v>152</v>
      </c>
      <c r="E4" s="21">
        <f>Sheet1!E5</f>
        <v>85</v>
      </c>
      <c r="F4" s="21" t="str">
        <f>Sheet1!G5</f>
        <v>NS</v>
      </c>
      <c r="G4" s="21" t="str">
        <f>Sheet1!I5</f>
        <v>NS</v>
      </c>
      <c r="H4" s="21">
        <f>Sheet1!K5</f>
        <v>23.5</v>
      </c>
      <c r="I4" s="21" t="str">
        <f>Sheet1!M5</f>
        <v>NS</v>
      </c>
      <c r="J4" s="21">
        <f>Sheet1!O5</f>
        <v>153</v>
      </c>
      <c r="K4" s="21" t="str">
        <f>Sheet1!Q5</f>
        <v>NS</v>
      </c>
      <c r="L4" s="21">
        <f>Sheet1!S5</f>
        <v>64</v>
      </c>
      <c r="M4" s="21">
        <f>Sheet1!U5</f>
        <v>0</v>
      </c>
      <c r="N4" s="21">
        <f>Sheet1!W5</f>
        <v>0</v>
      </c>
      <c r="O4" s="21">
        <f>Sheet1!Y5</f>
        <v>237</v>
      </c>
      <c r="P4" s="21">
        <f>Sheet1!AA5</f>
        <v>0</v>
      </c>
      <c r="Q4" s="21" t="str">
        <f>Sheet1!AC5</f>
        <v>outpat_psych</v>
      </c>
      <c r="R4" s="21" t="str">
        <f>Sheet1!AF5</f>
        <v>s_am</v>
      </c>
      <c r="S4" s="21" t="str">
        <f>Sheet1!AI5</f>
        <v>no</v>
      </c>
      <c r="T4" s="21" t="str">
        <f>Sheet1!AK5</f>
        <v>yes</v>
      </c>
      <c r="U4" s="21">
        <f>Sheet1!AO5</f>
        <v>0</v>
      </c>
      <c r="V4" s="21">
        <f>Sheet1!AQ5</f>
        <v>0</v>
      </c>
      <c r="W4" s="21" t="str">
        <f>Sheet1!AS5</f>
        <v>NS</v>
      </c>
      <c r="X4" s="21" t="str">
        <f>Sheet1!AU5</f>
        <v>NS</v>
      </c>
      <c r="Y4" s="21" t="str">
        <f>Sheet1!AW5</f>
        <v>NS</v>
      </c>
      <c r="Z4" s="21">
        <f>Sheet1!AY5</f>
        <v>237</v>
      </c>
      <c r="AA4" s="21">
        <f>Sheet1!BA5</f>
        <v>84</v>
      </c>
      <c r="AB4" s="21" t="str">
        <f>Sheet1!BC5</f>
        <v>multiple</v>
      </c>
      <c r="AC4" s="21">
        <f>Sheet1!BE5</f>
        <v>23</v>
      </c>
      <c r="AD4" s="21">
        <f>Sheet1!BG5</f>
        <v>61</v>
      </c>
      <c r="AE4" s="21" t="str">
        <f>Sheet1!BI5</f>
        <v>NA</v>
      </c>
      <c r="AF4" s="21" t="str">
        <f>Sheet1!BK5</f>
        <v>NA</v>
      </c>
      <c r="AG4" s="21">
        <f>Sheet1!BM5</f>
        <v>61</v>
      </c>
      <c r="AH4" s="21" t="str">
        <f>Sheet1!BO5</f>
        <v>NA</v>
      </c>
      <c r="AI4" s="21" t="str">
        <f>Sheet1!BQ5</f>
        <v>NA</v>
      </c>
      <c r="AJ4" s="21" t="str">
        <f>Sheet1!BS5</f>
        <v>NA</v>
      </c>
      <c r="AK4" s="21" t="str">
        <f>Sheet1!BU5</f>
        <v>NA</v>
      </c>
      <c r="AL4" s="21" t="str">
        <f>Sheet1!BQ5</f>
        <v>NA</v>
      </c>
      <c r="AM4" s="21" t="str">
        <f>Sheet1!BY5</f>
        <v>NA</v>
      </c>
      <c r="AN4" s="21" t="str">
        <f>Sheet1!CA5</f>
        <v>NA</v>
      </c>
      <c r="AO4" s="21" t="str">
        <f>Sheet1!CC5</f>
        <v>NA</v>
      </c>
      <c r="AP4" s="21" t="str">
        <f>Sheet1!CE5</f>
        <v>NA</v>
      </c>
      <c r="AQ4" s="21" t="str">
        <f>Sheet1!CG5</f>
        <v>NA</v>
      </c>
      <c r="AR4" s="21" t="str">
        <f>Sheet1!CI5</f>
        <v>NA</v>
      </c>
      <c r="AS4" s="21" t="str">
        <f>Sheet1!CK5</f>
        <v>NA</v>
      </c>
      <c r="AT4" s="21" t="str">
        <f>Sheet1!CM5</f>
        <v>NA</v>
      </c>
      <c r="AU4" s="21">
        <f>Sheet1!CO5</f>
        <v>23</v>
      </c>
      <c r="AV4" s="21" t="str">
        <f>Sheet1!CQ5</f>
        <v>NS</v>
      </c>
      <c r="AW4" s="21" t="str">
        <f>Sheet1!CS5</f>
        <v>all</v>
      </c>
      <c r="AX4" s="21" t="str">
        <f>Sheet1!CU5</f>
        <v>all</v>
      </c>
      <c r="AY4" s="21" t="str">
        <f>Sheet1!CW5</f>
        <v>NS</v>
      </c>
      <c r="AZ4" s="21" t="str">
        <f>Sheet1!CY5</f>
        <v>NS</v>
      </c>
      <c r="BA4" s="21" t="str">
        <f>Sheet1!DA5</f>
        <v>all</v>
      </c>
      <c r="BB4" s="21" t="str">
        <f>Sheet1!DC5</f>
        <v>all</v>
      </c>
      <c r="BC4" s="21" t="str">
        <f>Sheet1!DE5</f>
        <v>all</v>
      </c>
      <c r="BD4" s="21" t="str">
        <f>Sheet1!DG5</f>
        <v>yes</v>
      </c>
      <c r="BE4" s="21" t="str">
        <f>Sheet1!DI5</f>
        <v>all</v>
      </c>
      <c r="BF4" s="21" t="str">
        <f>Sheet1!DK5</f>
        <v>NS</v>
      </c>
      <c r="BG4" s="21" t="str">
        <f>Sheet1!DM5</f>
        <v>NS</v>
      </c>
      <c r="BH4" s="21" t="str">
        <f>Sheet1!DO5</f>
        <v>NS</v>
      </c>
      <c r="BI4" s="21" t="str">
        <f>Sheet1!DQ5</f>
        <v>NS</v>
      </c>
      <c r="BJ4" s="21" t="str">
        <f>Sheet1!DS5</f>
        <v>disorder</v>
      </c>
      <c r="BK4" s="21" t="str">
        <f>Sheet1!DU5</f>
        <v>SCID</v>
      </c>
      <c r="BL4" s="21" t="str">
        <f>Sheet1!DW5</f>
        <v>DSM-5</v>
      </c>
      <c r="BM4" s="21">
        <f>Sheet1!ES5</f>
        <v>10</v>
      </c>
    </row>
    <row r="5" spans="1:66" ht="15.75" customHeight="1" x14ac:dyDescent="0.2">
      <c r="A5" s="21" t="str">
        <f>Sheet1!A6</f>
        <v>Drake</v>
      </c>
      <c r="B5" s="21">
        <f>Sheet1!B6</f>
        <v>2011</v>
      </c>
      <c r="C5" s="21" t="str">
        <f>_xlfn.CONCAT(data!A5," ",data!B5)</f>
        <v>Drake 2011</v>
      </c>
      <c r="D5" s="21">
        <f>Sheet1!C6</f>
        <v>152</v>
      </c>
      <c r="E5" s="21">
        <f>Sheet1!E6</f>
        <v>99</v>
      </c>
      <c r="F5" s="21">
        <f>Sheet1!G6</f>
        <v>27.2</v>
      </c>
      <c r="G5" s="21">
        <f>Sheet1!I6</f>
        <v>30.4</v>
      </c>
      <c r="H5" s="21" t="str">
        <f>Sheet1!K6</f>
        <v>NS</v>
      </c>
      <c r="I5" s="21">
        <f>Sheet1!M6</f>
        <v>156</v>
      </c>
      <c r="J5" s="21">
        <f>Sheet1!O6</f>
        <v>52</v>
      </c>
      <c r="K5" s="21">
        <f>Sheet1!Q6</f>
        <v>0</v>
      </c>
      <c r="L5" s="21">
        <f>Sheet1!S6</f>
        <v>147</v>
      </c>
      <c r="M5" s="21">
        <f>Sheet1!U6</f>
        <v>351</v>
      </c>
      <c r="N5" s="21">
        <f>Sheet1!W6</f>
        <v>0</v>
      </c>
      <c r="O5" s="21">
        <f>Sheet1!Y6</f>
        <v>0</v>
      </c>
      <c r="P5" s="21">
        <f>Sheet1!AA6</f>
        <v>0</v>
      </c>
      <c r="Q5" s="21" t="str">
        <f>Sheet1!AC6</f>
        <v>gen_hospital</v>
      </c>
      <c r="R5" s="21" t="str">
        <f>Sheet1!AF6</f>
        <v>n_am</v>
      </c>
      <c r="S5" s="21" t="str">
        <f>Sheet1!AI6</f>
        <v>yes</v>
      </c>
      <c r="T5" s="21" t="str">
        <f>Sheet1!AK6</f>
        <v>yes</v>
      </c>
      <c r="U5" s="21">
        <f>Sheet1!AO6</f>
        <v>0</v>
      </c>
      <c r="V5" s="21">
        <f>Sheet1!AQ6</f>
        <v>0</v>
      </c>
      <c r="W5" s="21" t="str">
        <f>Sheet1!AS6</f>
        <v>NS</v>
      </c>
      <c r="X5" s="21" t="str">
        <f>Sheet1!AU6</f>
        <v>NS</v>
      </c>
      <c r="Y5" s="21" t="str">
        <f>Sheet1!AW6</f>
        <v>NS</v>
      </c>
      <c r="Z5" s="21">
        <f>Sheet1!AY6</f>
        <v>351</v>
      </c>
      <c r="AA5" s="21">
        <f>Sheet1!BA6</f>
        <v>134</v>
      </c>
      <c r="AB5" s="21" t="str">
        <f>Sheet1!BC6</f>
        <v>single</v>
      </c>
      <c r="AC5" s="21">
        <f>Sheet1!BE6</f>
        <v>0</v>
      </c>
      <c r="AD5" s="21">
        <f>Sheet1!BG6</f>
        <v>134</v>
      </c>
      <c r="AE5" s="21" t="str">
        <f>Sheet1!BI6</f>
        <v>NA</v>
      </c>
      <c r="AF5" s="21" t="str">
        <f>Sheet1!BK6</f>
        <v>NA</v>
      </c>
      <c r="AG5" s="21">
        <f>Sheet1!BM6</f>
        <v>134</v>
      </c>
      <c r="AH5" s="21" t="str">
        <f>Sheet1!BO6</f>
        <v>NA</v>
      </c>
      <c r="AI5" s="21" t="str">
        <f>Sheet1!BQ6</f>
        <v>NA</v>
      </c>
      <c r="AJ5" s="21" t="str">
        <f>Sheet1!BS6</f>
        <v>NA</v>
      </c>
      <c r="AK5" s="21" t="str">
        <f>Sheet1!BU6</f>
        <v>NA</v>
      </c>
      <c r="AL5" s="21" t="str">
        <f>Sheet1!BQ6</f>
        <v>NA</v>
      </c>
      <c r="AM5" s="21" t="str">
        <f>Sheet1!BY6</f>
        <v>NA</v>
      </c>
      <c r="AN5" s="21" t="str">
        <f>Sheet1!CA6</f>
        <v>NA</v>
      </c>
      <c r="AO5" s="21" t="str">
        <f>Sheet1!CC6</f>
        <v>NA</v>
      </c>
      <c r="AP5" s="21" t="str">
        <f>Sheet1!CE6</f>
        <v>NA</v>
      </c>
      <c r="AQ5" s="21" t="str">
        <f>Sheet1!CG6</f>
        <v>NA</v>
      </c>
      <c r="AR5" s="21" t="str">
        <f>Sheet1!CI6</f>
        <v>NA</v>
      </c>
      <c r="AS5" s="21" t="str">
        <f>Sheet1!CK6</f>
        <v>NA</v>
      </c>
      <c r="AT5" s="21" t="str">
        <f>Sheet1!CM6</f>
        <v>NA</v>
      </c>
      <c r="AU5" s="21" t="str">
        <f>Sheet1!CO6</f>
        <v>NA</v>
      </c>
      <c r="AV5" s="21" t="str">
        <f>Sheet1!CQ6</f>
        <v>NS</v>
      </c>
      <c r="AW5" s="21" t="str">
        <f>Sheet1!CS6</f>
        <v>NS</v>
      </c>
      <c r="AX5" s="21" t="str">
        <f>Sheet1!CU6</f>
        <v>NS</v>
      </c>
      <c r="AY5" s="21" t="str">
        <f>Sheet1!CW6</f>
        <v>NS</v>
      </c>
      <c r="AZ5" s="21" t="str">
        <f>Sheet1!CY6</f>
        <v>NS</v>
      </c>
      <c r="BA5" s="21" t="str">
        <f>Sheet1!DA6</f>
        <v>NS</v>
      </c>
      <c r="BB5" s="21" t="str">
        <f>Sheet1!DC6</f>
        <v>all</v>
      </c>
      <c r="BC5" s="21" t="str">
        <f>Sheet1!DE6</f>
        <v>all</v>
      </c>
      <c r="BD5" s="21" t="str">
        <f>Sheet1!DG6</f>
        <v>yes</v>
      </c>
      <c r="BE5" s="21" t="str">
        <f>Sheet1!DI6</f>
        <v>NS</v>
      </c>
      <c r="BF5" s="21" t="str">
        <f>Sheet1!DK6</f>
        <v>NS</v>
      </c>
      <c r="BG5" s="21" t="str">
        <f>Sheet1!DM6</f>
        <v>NS</v>
      </c>
      <c r="BH5" s="21" t="str">
        <f>Sheet1!DO6</f>
        <v>NS</v>
      </c>
      <c r="BI5" s="21" t="str">
        <f>Sheet1!DQ6</f>
        <v>NS</v>
      </c>
      <c r="BJ5" s="21" t="str">
        <f>Sheet1!DS6</f>
        <v>disorder</v>
      </c>
      <c r="BK5" s="21" t="str">
        <f>Sheet1!DU6</f>
        <v>PRISM</v>
      </c>
      <c r="BL5" s="21" t="str">
        <f>Sheet1!DW6</f>
        <v>DSM-IV</v>
      </c>
      <c r="BM5" s="21">
        <f>Sheet1!ES6</f>
        <v>9</v>
      </c>
    </row>
    <row r="6" spans="1:66" ht="15.75" customHeight="1" x14ac:dyDescent="0.2">
      <c r="A6" s="21" t="str">
        <f>Sheet1!A7</f>
        <v>Endres</v>
      </c>
      <c r="B6" s="21">
        <f>Sheet1!B7</f>
        <v>2020</v>
      </c>
      <c r="C6" s="21" t="str">
        <f>_xlfn.CONCAT(data!A6," ",data!B6)</f>
        <v>Endres 2020</v>
      </c>
      <c r="D6" s="21">
        <f>Sheet1!C7</f>
        <v>32</v>
      </c>
      <c r="E6" s="21">
        <f>Sheet1!E7</f>
        <v>44</v>
      </c>
      <c r="F6" s="21" t="str">
        <f>Sheet1!G7</f>
        <v>NS</v>
      </c>
      <c r="G6" s="21" t="str">
        <f>Sheet1!I7</f>
        <v>NS</v>
      </c>
      <c r="H6" s="21">
        <f>Sheet1!K7</f>
        <v>37.22</v>
      </c>
      <c r="I6" s="21" t="str">
        <f>Sheet1!M7</f>
        <v>NS</v>
      </c>
      <c r="J6" s="21" t="str">
        <f>Sheet1!O7</f>
        <v>NS</v>
      </c>
      <c r="K6" s="21" t="str">
        <f>Sheet1!Q7</f>
        <v>NS</v>
      </c>
      <c r="L6" s="21" t="str">
        <f>Sheet1!S7</f>
        <v>NS</v>
      </c>
      <c r="M6" s="21">
        <f>Sheet1!U7</f>
        <v>0</v>
      </c>
      <c r="N6" s="21">
        <f>Sheet1!W7</f>
        <v>76</v>
      </c>
      <c r="O6" s="21">
        <f>Sheet1!Y7</f>
        <v>0</v>
      </c>
      <c r="P6" s="21">
        <f>Sheet1!AA7</f>
        <v>0</v>
      </c>
      <c r="Q6" s="21" t="str">
        <f>Sheet1!AC7</f>
        <v>inpat_psych</v>
      </c>
      <c r="R6" s="21" t="str">
        <f>Sheet1!AF7</f>
        <v>euro</v>
      </c>
      <c r="S6" s="21" t="str">
        <f>Sheet1!AI7</f>
        <v>no</v>
      </c>
      <c r="T6" s="21" t="str">
        <f>Sheet1!AK7</f>
        <v>no</v>
      </c>
      <c r="U6" s="21">
        <f>Sheet1!AO7</f>
        <v>61</v>
      </c>
      <c r="V6" s="21">
        <f>Sheet1!AQ7</f>
        <v>0</v>
      </c>
      <c r="W6" s="21" t="str">
        <f>Sheet1!AS7</f>
        <v>NS</v>
      </c>
      <c r="X6" s="21" t="str">
        <f>Sheet1!AU7</f>
        <v>NS</v>
      </c>
      <c r="Y6" s="21" t="str">
        <f>Sheet1!AW7</f>
        <v>NS</v>
      </c>
      <c r="Z6" s="21">
        <f>Sheet1!AY7</f>
        <v>76</v>
      </c>
      <c r="AA6" s="21">
        <f>Sheet1!BA7</f>
        <v>4</v>
      </c>
      <c r="AB6" s="21" t="str">
        <f>Sheet1!BC7</f>
        <v>multiple</v>
      </c>
      <c r="AC6" s="21">
        <f>Sheet1!BE7</f>
        <v>3</v>
      </c>
      <c r="AD6" s="21">
        <f>Sheet1!BG7</f>
        <v>1</v>
      </c>
      <c r="AE6" s="21">
        <f>Sheet1!BI7</f>
        <v>3</v>
      </c>
      <c r="AF6" s="21">
        <f>Sheet1!BK7</f>
        <v>0</v>
      </c>
      <c r="AG6" s="21">
        <f>Sheet1!BM7</f>
        <v>1</v>
      </c>
      <c r="AH6" s="21">
        <f>Sheet1!BO7</f>
        <v>0</v>
      </c>
      <c r="AI6" s="21">
        <f>Sheet1!BQ7</f>
        <v>0</v>
      </c>
      <c r="AJ6" s="21">
        <f>Sheet1!BS7</f>
        <v>0</v>
      </c>
      <c r="AK6" s="21">
        <f>Sheet1!BU7</f>
        <v>0</v>
      </c>
      <c r="AL6" s="21">
        <f>Sheet1!BQ7</f>
        <v>0</v>
      </c>
      <c r="AM6" s="21">
        <f>Sheet1!BY7</f>
        <v>0</v>
      </c>
      <c r="AN6" s="21">
        <f>Sheet1!CA7</f>
        <v>0</v>
      </c>
      <c r="AO6" s="21">
        <f>Sheet1!CC7</f>
        <v>0</v>
      </c>
      <c r="AP6" s="21">
        <f>Sheet1!CE7</f>
        <v>0</v>
      </c>
      <c r="AQ6" s="21">
        <f>Sheet1!CG7</f>
        <v>0</v>
      </c>
      <c r="AR6" s="21">
        <f>Sheet1!CI7</f>
        <v>0</v>
      </c>
      <c r="AS6" s="21">
        <f>Sheet1!CK7</f>
        <v>0</v>
      </c>
      <c r="AT6" s="21">
        <f>Sheet1!CM7</f>
        <v>0</v>
      </c>
      <c r="AU6" s="21">
        <f>Sheet1!CO7</f>
        <v>0</v>
      </c>
      <c r="AV6" s="21" t="str">
        <f>Sheet1!CQ7</f>
        <v>all</v>
      </c>
      <c r="AW6" s="21" t="str">
        <f>Sheet1!CS7</f>
        <v>NS</v>
      </c>
      <c r="AX6" s="21" t="str">
        <f>Sheet1!CU7</f>
        <v>NS</v>
      </c>
      <c r="AY6" s="21" t="str">
        <f>Sheet1!CW7</f>
        <v>all</v>
      </c>
      <c r="AZ6" s="21" t="str">
        <f>Sheet1!CY7</f>
        <v>all</v>
      </c>
      <c r="BA6" s="21" t="str">
        <f>Sheet1!DA7</f>
        <v>all</v>
      </c>
      <c r="BB6" s="21" t="str">
        <f>Sheet1!DC7</f>
        <v>all</v>
      </c>
      <c r="BC6" s="21" t="str">
        <f>Sheet1!DE7</f>
        <v>all</v>
      </c>
      <c r="BD6" s="21" t="str">
        <f>Sheet1!DG7</f>
        <v>NS</v>
      </c>
      <c r="BE6" s="21" t="str">
        <f>Sheet1!DI7</f>
        <v>NS</v>
      </c>
      <c r="BF6" s="21" t="str">
        <f>Sheet1!DK7</f>
        <v>NS</v>
      </c>
      <c r="BG6" s="21" t="str">
        <f>Sheet1!DM7</f>
        <v>NS</v>
      </c>
      <c r="BH6" s="21" t="str">
        <f>Sheet1!DO7</f>
        <v>NS</v>
      </c>
      <c r="BI6" s="21" t="str">
        <f>Sheet1!DQ7</f>
        <v>NS</v>
      </c>
      <c r="BJ6" s="21" t="str">
        <f>Sheet1!DS7</f>
        <v>disorder</v>
      </c>
      <c r="BK6" s="21" t="str">
        <f>Sheet1!DU7</f>
        <v>NS</v>
      </c>
      <c r="BL6" s="21" t="str">
        <f>Sheet1!DW7</f>
        <v>ICD-10</v>
      </c>
      <c r="BM6" s="21">
        <f>Sheet1!ES7</f>
        <v>10</v>
      </c>
    </row>
    <row r="7" spans="1:66" ht="15.75" customHeight="1" x14ac:dyDescent="0.2">
      <c r="A7" s="21" t="str">
        <f>Sheet1!A8</f>
        <v>Etlouba</v>
      </c>
      <c r="B7" s="21">
        <f>Sheet1!B8</f>
        <v>2018</v>
      </c>
      <c r="C7" s="21" t="str">
        <f>_xlfn.CONCAT(data!A7," ",data!B7)</f>
        <v>Etlouba 2018</v>
      </c>
      <c r="D7" s="21">
        <f>Sheet1!C8</f>
        <v>95</v>
      </c>
      <c r="E7" s="21">
        <f>Sheet1!E8</f>
        <v>64</v>
      </c>
      <c r="F7" s="21">
        <f>Sheet1!G8</f>
        <v>28.7</v>
      </c>
      <c r="G7" s="21">
        <f>Sheet1!I8</f>
        <v>36.700000000000003</v>
      </c>
      <c r="H7" s="21">
        <f>Sheet1!K8</f>
        <v>34.299999999999997</v>
      </c>
      <c r="I7" s="21">
        <f>Sheet1!M8</f>
        <v>142</v>
      </c>
      <c r="J7" s="21">
        <f>Sheet1!O8</f>
        <v>5</v>
      </c>
      <c r="K7" s="21">
        <f>Sheet1!Q8</f>
        <v>7</v>
      </c>
      <c r="L7" s="21">
        <f>Sheet1!S8</f>
        <v>5</v>
      </c>
      <c r="M7" s="21">
        <f>Sheet1!U8</f>
        <v>159</v>
      </c>
      <c r="N7" s="21">
        <f>Sheet1!W8</f>
        <v>0</v>
      </c>
      <c r="O7" s="21">
        <f>Sheet1!Y8</f>
        <v>0</v>
      </c>
      <c r="P7" s="21">
        <f>Sheet1!AA8</f>
        <v>0</v>
      </c>
      <c r="Q7" s="21" t="str">
        <f>Sheet1!AC8</f>
        <v>gen_hospital</v>
      </c>
      <c r="R7" s="21" t="str">
        <f>Sheet1!AF8</f>
        <v>afri</v>
      </c>
      <c r="S7" s="21" t="str">
        <f>Sheet1!AI8</f>
        <v>no</v>
      </c>
      <c r="T7" s="21" t="str">
        <f>Sheet1!AK8</f>
        <v>yes</v>
      </c>
      <c r="U7" s="21">
        <f>Sheet1!AO8</f>
        <v>0</v>
      </c>
      <c r="V7" s="21">
        <f>Sheet1!AQ8</f>
        <v>0</v>
      </c>
      <c r="W7" s="21">
        <f>Sheet1!AS8</f>
        <v>16.600000000000001</v>
      </c>
      <c r="X7" s="21">
        <f>Sheet1!AU8</f>
        <v>37.799999999999997</v>
      </c>
      <c r="Y7" s="21">
        <f>Sheet1!AW8</f>
        <v>0</v>
      </c>
      <c r="Z7" s="21">
        <f>Sheet1!AY8</f>
        <v>159</v>
      </c>
      <c r="AA7" s="21">
        <f>Sheet1!BA8</f>
        <v>124</v>
      </c>
      <c r="AB7" s="21" t="str">
        <f>Sheet1!BC8</f>
        <v>multiple</v>
      </c>
      <c r="AC7" s="21">
        <f>Sheet1!BE8</f>
        <v>87</v>
      </c>
      <c r="AD7" s="21">
        <f>Sheet1!BG8</f>
        <v>37</v>
      </c>
      <c r="AE7" s="21">
        <f>Sheet1!BI8</f>
        <v>0</v>
      </c>
      <c r="AF7" s="21">
        <f>Sheet1!BK8</f>
        <v>0</v>
      </c>
      <c r="AG7" s="21">
        <f>Sheet1!BM8</f>
        <v>37</v>
      </c>
      <c r="AH7" s="21">
        <f>Sheet1!BO8</f>
        <v>0</v>
      </c>
      <c r="AI7" s="21">
        <f>Sheet1!BQ8</f>
        <v>2</v>
      </c>
      <c r="AJ7" s="21">
        <f>Sheet1!BS8</f>
        <v>0</v>
      </c>
      <c r="AK7" s="21">
        <f>Sheet1!BU8</f>
        <v>4</v>
      </c>
      <c r="AL7" s="21">
        <f>Sheet1!BQ8</f>
        <v>2</v>
      </c>
      <c r="AM7" s="21">
        <f>Sheet1!BY8</f>
        <v>75</v>
      </c>
      <c r="AN7" s="21">
        <f>Sheet1!CA8</f>
        <v>0</v>
      </c>
      <c r="AO7" s="21">
        <f>Sheet1!CC8</f>
        <v>0</v>
      </c>
      <c r="AP7" s="21">
        <f>Sheet1!CE8</f>
        <v>3</v>
      </c>
      <c r="AQ7" s="21">
        <f>Sheet1!CG8</f>
        <v>0</v>
      </c>
      <c r="AR7" s="21">
        <f>Sheet1!CI8</f>
        <v>0</v>
      </c>
      <c r="AS7" s="21">
        <f>Sheet1!CK8</f>
        <v>2</v>
      </c>
      <c r="AT7" s="21">
        <f>Sheet1!CM8</f>
        <v>1</v>
      </c>
      <c r="AU7" s="21">
        <f>Sheet1!CO8</f>
        <v>0</v>
      </c>
      <c r="AV7" s="21" t="str">
        <f>Sheet1!CQ8</f>
        <v>NS</v>
      </c>
      <c r="AW7" s="21" t="str">
        <f>Sheet1!CS8</f>
        <v>yes - NS</v>
      </c>
      <c r="AX7" s="21" t="str">
        <f>Sheet1!CU8</f>
        <v>yes - NS</v>
      </c>
      <c r="AY7" s="21" t="str">
        <f>Sheet1!CW8</f>
        <v>NS</v>
      </c>
      <c r="AZ7" s="21" t="str">
        <f>Sheet1!CY8</f>
        <v>yes - NS</v>
      </c>
      <c r="BA7" s="21" t="str">
        <f>Sheet1!DA8</f>
        <v>yes - NS</v>
      </c>
      <c r="BB7" s="21" t="str">
        <f>Sheet1!DC8</f>
        <v>yes - NS</v>
      </c>
      <c r="BC7" s="21" t="str">
        <f>Sheet1!DE8</f>
        <v>all</v>
      </c>
      <c r="BD7" s="21" t="str">
        <f>Sheet1!DG8</f>
        <v>NS</v>
      </c>
      <c r="BE7" s="21" t="str">
        <f>Sheet1!DI8</f>
        <v>all</v>
      </c>
      <c r="BF7" s="21" t="str">
        <f>Sheet1!DK8</f>
        <v>NS</v>
      </c>
      <c r="BG7" s="21" t="str">
        <f>Sheet1!DM8</f>
        <v>NS</v>
      </c>
      <c r="BH7" s="21" t="str">
        <f>Sheet1!DO8</f>
        <v>X-ray (yes-NS)</v>
      </c>
      <c r="BI7" s="21" t="str">
        <f>Sheet1!DQ8</f>
        <v>NS</v>
      </c>
      <c r="BJ7" s="21" t="str">
        <f>Sheet1!DS8</f>
        <v>symptoms</v>
      </c>
      <c r="BK7" s="21" t="str">
        <f>Sheet1!DU8</f>
        <v>NS</v>
      </c>
      <c r="BL7" s="21" t="str">
        <f>Sheet1!DW8</f>
        <v>NS</v>
      </c>
      <c r="BM7" s="21">
        <f>Sheet1!ES8</f>
        <v>10</v>
      </c>
    </row>
    <row r="8" spans="1:66" ht="15.75" customHeight="1" x14ac:dyDescent="0.2">
      <c r="A8" s="21" t="str">
        <f>Sheet1!A9</f>
        <v>Fraser</v>
      </c>
      <c r="B8" s="21">
        <f>Sheet1!B9</f>
        <v>2020</v>
      </c>
      <c r="C8" s="21" t="str">
        <f>_xlfn.CONCAT(data!A8," ",data!B8)</f>
        <v>Fraser 2020</v>
      </c>
      <c r="D8" s="21">
        <f>Sheet1!C9</f>
        <v>47</v>
      </c>
      <c r="E8" s="21">
        <f>Sheet1!E9</f>
        <v>14</v>
      </c>
      <c r="F8" s="21">
        <f>Sheet1!G9</f>
        <v>21.3</v>
      </c>
      <c r="G8" s="21">
        <f>Sheet1!I9</f>
        <v>20.100000000000001</v>
      </c>
      <c r="H8" s="21">
        <f>Sheet1!K9</f>
        <v>20.6</v>
      </c>
      <c r="I8" s="21" t="str">
        <f>Sheet1!M9</f>
        <v>NS</v>
      </c>
      <c r="J8" s="21" t="str">
        <f>Sheet1!O9</f>
        <v>NS</v>
      </c>
      <c r="K8" s="21" t="str">
        <f>Sheet1!Q9</f>
        <v>NS</v>
      </c>
      <c r="L8" s="21" t="str">
        <f>Sheet1!S9</f>
        <v>NS</v>
      </c>
      <c r="M8" s="21">
        <f>Sheet1!U9</f>
        <v>0</v>
      </c>
      <c r="N8" s="21">
        <f>Sheet1!W9</f>
        <v>61</v>
      </c>
      <c r="O8" s="21">
        <f>Sheet1!Y9</f>
        <v>0</v>
      </c>
      <c r="P8" s="21">
        <f>Sheet1!AA9</f>
        <v>0</v>
      </c>
      <c r="Q8" s="21" t="str">
        <f>Sheet1!AC9</f>
        <v>inpat_psych</v>
      </c>
      <c r="R8" s="21" t="str">
        <f>Sheet1!AF9</f>
        <v>aus</v>
      </c>
      <c r="S8" s="21" t="str">
        <f>Sheet1!AI9</f>
        <v>yes</v>
      </c>
      <c r="T8" s="21" t="str">
        <f>Sheet1!AK9</f>
        <v>yes</v>
      </c>
      <c r="U8" s="21">
        <f>Sheet1!AO9</f>
        <v>0</v>
      </c>
      <c r="V8" s="21">
        <f>Sheet1!AQ9</f>
        <v>0</v>
      </c>
      <c r="W8" s="21">
        <f>Sheet1!AS9</f>
        <v>2.9</v>
      </c>
      <c r="X8" s="21">
        <f>Sheet1!AU9</f>
        <v>3.4</v>
      </c>
      <c r="Y8" s="21">
        <f>Sheet1!AW9</f>
        <v>2.4</v>
      </c>
      <c r="Z8" s="21">
        <f>Sheet1!AY9</f>
        <v>61</v>
      </c>
      <c r="AA8" s="21">
        <f>Sheet1!BA9</f>
        <v>34</v>
      </c>
      <c r="AB8" s="21" t="str">
        <f>Sheet1!BC9</f>
        <v>single</v>
      </c>
      <c r="AC8" s="21">
        <f>Sheet1!BE9</f>
        <v>0</v>
      </c>
      <c r="AD8" s="21">
        <f>Sheet1!BG9</f>
        <v>34</v>
      </c>
      <c r="AE8" s="21" t="str">
        <f>Sheet1!BI9</f>
        <v>NA</v>
      </c>
      <c r="AF8" s="21" t="str">
        <f>Sheet1!BK9</f>
        <v>NA</v>
      </c>
      <c r="AG8" s="21">
        <f>Sheet1!BM9</f>
        <v>34</v>
      </c>
      <c r="AH8" s="21" t="str">
        <f>Sheet1!BO9</f>
        <v>NA</v>
      </c>
      <c r="AI8" s="21" t="str">
        <f>Sheet1!BQ9</f>
        <v>NA</v>
      </c>
      <c r="AJ8" s="21" t="str">
        <f>Sheet1!BS9</f>
        <v>NA</v>
      </c>
      <c r="AK8" s="21" t="str">
        <f>Sheet1!BU9</f>
        <v>NA</v>
      </c>
      <c r="AL8" s="21" t="str">
        <f>Sheet1!BQ9</f>
        <v>NA</v>
      </c>
      <c r="AM8" s="21" t="str">
        <f>Sheet1!BY9</f>
        <v>NA</v>
      </c>
      <c r="AN8" s="21" t="str">
        <f>Sheet1!CA9</f>
        <v>NA</v>
      </c>
      <c r="AO8" s="21" t="str">
        <f>Sheet1!CC9</f>
        <v>NA</v>
      </c>
      <c r="AP8" s="21" t="str">
        <f>Sheet1!CE9</f>
        <v>NA</v>
      </c>
      <c r="AQ8" s="21" t="str">
        <f>Sheet1!CG9</f>
        <v>NA</v>
      </c>
      <c r="AR8" s="21" t="str">
        <f>Sheet1!CI9</f>
        <v>NA</v>
      </c>
      <c r="AS8" s="21" t="str">
        <f>Sheet1!CK9</f>
        <v>NA</v>
      </c>
      <c r="AT8" s="21" t="str">
        <f>Sheet1!CM9</f>
        <v>NA</v>
      </c>
      <c r="AU8" s="21" t="str">
        <f>Sheet1!CO9</f>
        <v>NA</v>
      </c>
      <c r="AV8" s="21" t="str">
        <f>Sheet1!CQ9</f>
        <v>NS</v>
      </c>
      <c r="AW8" s="21" t="str">
        <f>Sheet1!CS9</f>
        <v>NS</v>
      </c>
      <c r="AX8" s="21" t="str">
        <f>Sheet1!CU9</f>
        <v>NS</v>
      </c>
      <c r="AY8" s="21" t="str">
        <f>Sheet1!CW9</f>
        <v>NS</v>
      </c>
      <c r="AZ8" s="21" t="str">
        <f>Sheet1!CY9</f>
        <v>NS</v>
      </c>
      <c r="BA8" s="21" t="str">
        <f>Sheet1!DA9</f>
        <v>NS</v>
      </c>
      <c r="BB8" s="21" t="str">
        <f>Sheet1!DC9</f>
        <v>yes - NS</v>
      </c>
      <c r="BC8" s="21" t="str">
        <f>Sheet1!DE9</f>
        <v>all</v>
      </c>
      <c r="BD8" s="21" t="str">
        <f>Sheet1!DG9</f>
        <v>yes</v>
      </c>
      <c r="BE8" s="21" t="str">
        <f>Sheet1!DI9</f>
        <v>NS</v>
      </c>
      <c r="BF8" s="21" t="str">
        <f>Sheet1!DK9</f>
        <v>NS</v>
      </c>
      <c r="BG8" s="21" t="str">
        <f>Sheet1!DM9</f>
        <v>NS</v>
      </c>
      <c r="BH8" s="21" t="str">
        <f>Sheet1!DO9</f>
        <v>NS</v>
      </c>
      <c r="BI8" s="21" t="str">
        <f>Sheet1!DQ9</f>
        <v>NS</v>
      </c>
      <c r="BJ8" s="21" t="str">
        <f>Sheet1!DS9</f>
        <v>disorder</v>
      </c>
      <c r="BK8" s="21" t="str">
        <f>Sheet1!DU9</f>
        <v>PRISM</v>
      </c>
      <c r="BL8" s="21" t="str">
        <f>Sheet1!DW9</f>
        <v>DSM-IV</v>
      </c>
      <c r="BM8" s="21">
        <f>Sheet1!ES9</f>
        <v>9</v>
      </c>
    </row>
    <row r="9" spans="1:66" ht="15.75" customHeight="1" x14ac:dyDescent="0.2">
      <c r="A9" s="21" t="str">
        <f>Sheet1!A10</f>
        <v>Funayama</v>
      </c>
      <c r="B9" s="21">
        <f>Sheet1!B10</f>
        <v>2022</v>
      </c>
      <c r="C9" s="21" t="str">
        <f>_xlfn.CONCAT(data!A9," ",data!B9)</f>
        <v>Funayama 2022</v>
      </c>
      <c r="D9" s="21">
        <f>Sheet1!C10</f>
        <v>68</v>
      </c>
      <c r="E9" s="21">
        <f>Sheet1!E10</f>
        <v>119</v>
      </c>
      <c r="F9" s="21">
        <f>Sheet1!G10</f>
        <v>36.700000000000003</v>
      </c>
      <c r="G9" s="21">
        <f>Sheet1!I10</f>
        <v>32.299999999999997</v>
      </c>
      <c r="H9" s="21" t="str">
        <f>Sheet1!K10</f>
        <v>NS</v>
      </c>
      <c r="I9" s="21" t="str">
        <f>Sheet1!M10</f>
        <v>NS</v>
      </c>
      <c r="J9" s="21" t="str">
        <f>Sheet1!O10</f>
        <v>NS</v>
      </c>
      <c r="K9" s="21" t="str">
        <f>Sheet1!Q10</f>
        <v>NS</v>
      </c>
      <c r="L9" s="21" t="str">
        <f>Sheet1!S10</f>
        <v>NS</v>
      </c>
      <c r="M9" s="21">
        <f>Sheet1!U10</f>
        <v>0</v>
      </c>
      <c r="N9" s="21">
        <f>Sheet1!W10</f>
        <v>187</v>
      </c>
      <c r="O9" s="21">
        <f>Sheet1!Y10</f>
        <v>0</v>
      </c>
      <c r="P9" s="21">
        <f>Sheet1!AA10</f>
        <v>0</v>
      </c>
      <c r="Q9" s="21" t="str">
        <f>Sheet1!AC10</f>
        <v>inpat_psych</v>
      </c>
      <c r="R9" s="21" t="str">
        <f>Sheet1!AF10</f>
        <v>asia</v>
      </c>
      <c r="S9" s="21" t="str">
        <f>Sheet1!AI10</f>
        <v>no</v>
      </c>
      <c r="T9" s="21" t="str">
        <f>Sheet1!AK10</f>
        <v>yes</v>
      </c>
      <c r="U9" s="21">
        <f>Sheet1!AO10</f>
        <v>0</v>
      </c>
      <c r="V9" s="21">
        <f>Sheet1!AQ10</f>
        <v>0</v>
      </c>
      <c r="W9" s="21" t="str">
        <f>Sheet1!AS10</f>
        <v>NS</v>
      </c>
      <c r="X9" s="21" t="str">
        <f>Sheet1!AU10</f>
        <v>NS</v>
      </c>
      <c r="Y9" s="21" t="str">
        <f>Sheet1!AW10</f>
        <v>NS</v>
      </c>
      <c r="Z9" s="21">
        <f>Sheet1!AY10</f>
        <v>187</v>
      </c>
      <c r="AA9" s="21">
        <f>Sheet1!BA10</f>
        <v>10</v>
      </c>
      <c r="AB9" s="21" t="str">
        <f>Sheet1!BC10</f>
        <v>single</v>
      </c>
      <c r="AC9" s="21">
        <f>Sheet1!BE10</f>
        <v>10</v>
      </c>
      <c r="AD9" s="21">
        <f>Sheet1!BG10</f>
        <v>0</v>
      </c>
      <c r="AE9" s="21">
        <f>Sheet1!BI10</f>
        <v>10</v>
      </c>
      <c r="AF9" s="21" t="str">
        <f>Sheet1!BK10</f>
        <v>NA</v>
      </c>
      <c r="AG9" s="21" t="str">
        <f>Sheet1!BM10</f>
        <v>NA</v>
      </c>
      <c r="AH9" s="21" t="str">
        <f>Sheet1!BO10</f>
        <v>NA</v>
      </c>
      <c r="AI9" s="21" t="str">
        <f>Sheet1!BQ10</f>
        <v>NA</v>
      </c>
      <c r="AJ9" s="21" t="str">
        <f>Sheet1!BS10</f>
        <v>NA</v>
      </c>
      <c r="AK9" s="21" t="str">
        <f>Sheet1!BU10</f>
        <v>NA</v>
      </c>
      <c r="AL9" s="21" t="str">
        <f>Sheet1!BQ10</f>
        <v>NA</v>
      </c>
      <c r="AM9" s="21" t="str">
        <f>Sheet1!BY10</f>
        <v>NA</v>
      </c>
      <c r="AN9" s="21" t="str">
        <f>Sheet1!CA10</f>
        <v>NA</v>
      </c>
      <c r="AO9" s="21" t="str">
        <f>Sheet1!CC10</f>
        <v>NA</v>
      </c>
      <c r="AP9" s="21" t="str">
        <f>Sheet1!CE10</f>
        <v>NA</v>
      </c>
      <c r="AQ9" s="21" t="str">
        <f>Sheet1!CG10</f>
        <v>NA</v>
      </c>
      <c r="AR9" s="21" t="str">
        <f>Sheet1!CI10</f>
        <v>NA</v>
      </c>
      <c r="AS9" s="21" t="str">
        <f>Sheet1!CK10</f>
        <v>NA</v>
      </c>
      <c r="AT9" s="21" t="str">
        <f>Sheet1!CM10</f>
        <v>NA</v>
      </c>
      <c r="AU9" s="21" t="str">
        <f>Sheet1!CO10</f>
        <v>NA</v>
      </c>
      <c r="AV9" s="21" t="str">
        <f>Sheet1!CQ10</f>
        <v>yes - NS</v>
      </c>
      <c r="AW9" s="21" t="str">
        <f>Sheet1!CS10</f>
        <v>NS</v>
      </c>
      <c r="AX9" s="21" t="str">
        <f>Sheet1!CU10</f>
        <v>NS</v>
      </c>
      <c r="AY9" s="21" t="str">
        <f>Sheet1!CW10</f>
        <v>yes - NS</v>
      </c>
      <c r="AZ9" s="21" t="str">
        <f>Sheet1!CY10</f>
        <v>yes - NS</v>
      </c>
      <c r="BA9" s="21" t="str">
        <f>Sheet1!DA10</f>
        <v>all</v>
      </c>
      <c r="BB9" s="21" t="str">
        <f>Sheet1!DC10</f>
        <v>NS</v>
      </c>
      <c r="BC9" s="21" t="str">
        <f>Sheet1!DE10</f>
        <v>all</v>
      </c>
      <c r="BD9" s="21" t="str">
        <f>Sheet1!DG10</f>
        <v>NS</v>
      </c>
      <c r="BE9" s="21" t="str">
        <f>Sheet1!DI10</f>
        <v>all</v>
      </c>
      <c r="BF9" s="21" t="str">
        <f>Sheet1!DK10</f>
        <v>all</v>
      </c>
      <c r="BG9" s="21" t="str">
        <f>Sheet1!DM10</f>
        <v>no</v>
      </c>
      <c r="BH9" s="21" t="str">
        <f>Sheet1!DO10</f>
        <v>NS</v>
      </c>
      <c r="BI9" s="21" t="str">
        <f>Sheet1!DQ10</f>
        <v>NS</v>
      </c>
      <c r="BJ9" s="21" t="str">
        <f>Sheet1!DS10</f>
        <v>symptoms</v>
      </c>
      <c r="BK9" s="21" t="str">
        <f>Sheet1!DU10</f>
        <v>NS</v>
      </c>
      <c r="BL9" s="21" t="str">
        <f>Sheet1!DW10</f>
        <v>ICD-10</v>
      </c>
      <c r="BM9" s="21">
        <f>Sheet1!ES10</f>
        <v>10</v>
      </c>
    </row>
    <row r="10" spans="1:66" ht="15.75" customHeight="1" x14ac:dyDescent="0.2">
      <c r="A10" s="21" t="str">
        <f>Sheet1!A11</f>
        <v>Giannitelli</v>
      </c>
      <c r="B10" s="21">
        <f>Sheet1!B11</f>
        <v>2018</v>
      </c>
      <c r="C10" s="21" t="str">
        <f>_xlfn.CONCAT(data!A10," ",data!B10)</f>
        <v>Giannitelli 2018</v>
      </c>
      <c r="D10" s="21" t="str">
        <f>Sheet1!C11</f>
        <v>NS</v>
      </c>
      <c r="E10" s="21" t="str">
        <f>Sheet1!E11</f>
        <v>NS</v>
      </c>
      <c r="F10" s="21" t="str">
        <f>Sheet1!G11</f>
        <v>NS</v>
      </c>
      <c r="G10" s="21" t="str">
        <f>Sheet1!I11</f>
        <v>NS</v>
      </c>
      <c r="H10" s="21" t="str">
        <f>Sheet1!K11</f>
        <v>NS</v>
      </c>
      <c r="I10" s="21" t="str">
        <f>Sheet1!M11</f>
        <v>NS</v>
      </c>
      <c r="J10" s="21" t="str">
        <f>Sheet1!O11</f>
        <v>NS</v>
      </c>
      <c r="K10" s="21" t="str">
        <f>Sheet1!Q11</f>
        <v>NS</v>
      </c>
      <c r="L10" s="21" t="str">
        <f>Sheet1!S11</f>
        <v>NS</v>
      </c>
      <c r="M10" s="21">
        <f>Sheet1!U11</f>
        <v>160</v>
      </c>
      <c r="N10" s="21" t="str">
        <f>Sheet1!W11</f>
        <v>NS</v>
      </c>
      <c r="O10" s="21" t="str">
        <f>Sheet1!Y11</f>
        <v>NS</v>
      </c>
      <c r="P10" s="21" t="str">
        <f>Sheet1!AA11</f>
        <v>NS</v>
      </c>
      <c r="Q10" s="21" t="str">
        <f>Sheet1!AC11</f>
        <v>gen_hospital</v>
      </c>
      <c r="R10" s="21" t="str">
        <f>Sheet1!AF11</f>
        <v>euro</v>
      </c>
      <c r="S10" s="21" t="str">
        <f>Sheet1!AI11</f>
        <v>no</v>
      </c>
      <c r="T10" s="21" t="str">
        <f>Sheet1!AK11</f>
        <v>NS</v>
      </c>
      <c r="U10" s="21" t="str">
        <f>Sheet1!AO11</f>
        <v>NS</v>
      </c>
      <c r="V10" s="21" t="str">
        <f>Sheet1!AQ11</f>
        <v>NS</v>
      </c>
      <c r="W10" s="21" t="str">
        <f>Sheet1!AS11</f>
        <v>NS</v>
      </c>
      <c r="X10" s="21" t="str">
        <f>Sheet1!AU11</f>
        <v>NS</v>
      </c>
      <c r="Y10" s="21" t="str">
        <f>Sheet1!AW11</f>
        <v>NS</v>
      </c>
      <c r="Z10" s="21">
        <f>Sheet1!AY11</f>
        <v>160</v>
      </c>
      <c r="AA10" s="21">
        <f>Sheet1!BA11</f>
        <v>20</v>
      </c>
      <c r="AB10" s="21" t="str">
        <f>Sheet1!BC11</f>
        <v>multiple</v>
      </c>
      <c r="AC10" s="21">
        <f>Sheet1!BE11</f>
        <v>20</v>
      </c>
      <c r="AD10" s="21">
        <f>Sheet1!BG11</f>
        <v>0</v>
      </c>
      <c r="AE10" s="21">
        <f>Sheet1!BI11</f>
        <v>3</v>
      </c>
      <c r="AF10" s="21">
        <f>Sheet1!BK11</f>
        <v>15</v>
      </c>
      <c r="AG10" s="21">
        <f>Sheet1!BM11</f>
        <v>0</v>
      </c>
      <c r="AH10" s="21">
        <f>Sheet1!BO11</f>
        <v>0</v>
      </c>
      <c r="AI10" s="21">
        <f>Sheet1!BQ11</f>
        <v>0</v>
      </c>
      <c r="AJ10" s="21">
        <f>Sheet1!BS11</f>
        <v>2</v>
      </c>
      <c r="AK10" s="21">
        <f>Sheet1!BU11</f>
        <v>0</v>
      </c>
      <c r="AL10" s="21">
        <f>Sheet1!BQ11</f>
        <v>0</v>
      </c>
      <c r="AM10" s="21">
        <f>Sheet1!BY11</f>
        <v>0</v>
      </c>
      <c r="AN10" s="21">
        <f>Sheet1!CA11</f>
        <v>0</v>
      </c>
      <c r="AO10" s="21">
        <f>Sheet1!CC11</f>
        <v>0</v>
      </c>
      <c r="AP10" s="21">
        <f>Sheet1!CE11</f>
        <v>0</v>
      </c>
      <c r="AQ10" s="21">
        <f>Sheet1!CG11</f>
        <v>0</v>
      </c>
      <c r="AR10" s="21">
        <f>Sheet1!CI11</f>
        <v>0</v>
      </c>
      <c r="AS10" s="21">
        <f>Sheet1!CK11</f>
        <v>0</v>
      </c>
      <c r="AT10" s="21">
        <f>Sheet1!CM11</f>
        <v>0</v>
      </c>
      <c r="AU10" s="21">
        <f>Sheet1!CO11</f>
        <v>0</v>
      </c>
      <c r="AV10" s="21" t="str">
        <f>Sheet1!CQ11</f>
        <v>NS</v>
      </c>
      <c r="AW10" s="21" t="str">
        <f>Sheet1!CS11</f>
        <v>NS</v>
      </c>
      <c r="AX10" s="21" t="str">
        <f>Sheet1!CU11</f>
        <v>NS</v>
      </c>
      <c r="AY10" s="21" t="str">
        <f>Sheet1!CW11</f>
        <v>yes - NS</v>
      </c>
      <c r="AZ10" s="21" t="str">
        <f>Sheet1!CY11</f>
        <v>NS</v>
      </c>
      <c r="BA10" s="21" t="str">
        <f>Sheet1!DA11</f>
        <v>yes - NS</v>
      </c>
      <c r="BB10" s="21" t="str">
        <f>Sheet1!DC11</f>
        <v>NS</v>
      </c>
      <c r="BC10" s="21" t="str">
        <f>Sheet1!DE11</f>
        <v>NS</v>
      </c>
      <c r="BD10" s="21" t="str">
        <f>Sheet1!DG11</f>
        <v>NS</v>
      </c>
      <c r="BE10" s="21" t="str">
        <f>Sheet1!DI11</f>
        <v>NS</v>
      </c>
      <c r="BF10" s="21" t="str">
        <f>Sheet1!DK11</f>
        <v>NS</v>
      </c>
      <c r="BG10" s="21" t="str">
        <f>Sheet1!DM11</f>
        <v>NS</v>
      </c>
      <c r="BH10" s="21" t="str">
        <f>Sheet1!DO11</f>
        <v>NS</v>
      </c>
      <c r="BI10" s="21" t="str">
        <f>Sheet1!DQ11</f>
        <v>NS</v>
      </c>
      <c r="BJ10" s="21" t="str">
        <f>Sheet1!DS11</f>
        <v>disorder</v>
      </c>
      <c r="BK10" s="21" t="str">
        <f>Sheet1!DU11</f>
        <v>NS</v>
      </c>
      <c r="BL10" s="21" t="str">
        <f>Sheet1!DW11</f>
        <v>NS</v>
      </c>
      <c r="BM10" s="21">
        <f>Sheet1!ES11</f>
        <v>10</v>
      </c>
    </row>
    <row r="11" spans="1:66" ht="15.75" customHeight="1" x14ac:dyDescent="0.2">
      <c r="A11" s="21" t="str">
        <f>Sheet1!A12</f>
        <v>Guasp</v>
      </c>
      <c r="B11" s="21">
        <f>Sheet1!B12</f>
        <v>2021</v>
      </c>
      <c r="C11" s="21" t="str">
        <f>_xlfn.CONCAT(data!A11," ",data!B11)</f>
        <v>Guasp 2021</v>
      </c>
      <c r="D11" s="21">
        <f>Sheet1!C12</f>
        <v>61</v>
      </c>
      <c r="E11" s="21">
        <f>Sheet1!E12</f>
        <v>44</v>
      </c>
      <c r="F11" s="21" t="str">
        <f>Sheet1!G12</f>
        <v>NS</v>
      </c>
      <c r="G11" s="21" t="str">
        <f>Sheet1!I12</f>
        <v>NS</v>
      </c>
      <c r="H11" s="21" t="str">
        <f>Sheet1!K12</f>
        <v>NS</v>
      </c>
      <c r="I11" s="21" t="str">
        <f>Sheet1!M12</f>
        <v>NS</v>
      </c>
      <c r="J11" s="21" t="str">
        <f>Sheet1!O12</f>
        <v>NS</v>
      </c>
      <c r="K11" s="21" t="str">
        <f>Sheet1!Q12</f>
        <v>NS</v>
      </c>
      <c r="L11" s="21" t="str">
        <f>Sheet1!S12</f>
        <v>NS</v>
      </c>
      <c r="M11" s="21">
        <f>Sheet1!U12</f>
        <v>0</v>
      </c>
      <c r="N11" s="21">
        <f>Sheet1!W12</f>
        <v>105</v>
      </c>
      <c r="O11" s="21">
        <f>Sheet1!Y12</f>
        <v>0</v>
      </c>
      <c r="P11" s="21">
        <f>Sheet1!AA12</f>
        <v>0</v>
      </c>
      <c r="Q11" s="21" t="str">
        <f>Sheet1!AC12</f>
        <v>inpat_psych</v>
      </c>
      <c r="R11" s="21" t="str">
        <f>Sheet1!AF12</f>
        <v>euro</v>
      </c>
      <c r="S11" s="21" t="str">
        <f>Sheet1!AI12</f>
        <v>yes</v>
      </c>
      <c r="T11" s="21" t="str">
        <f>Sheet1!AK12</f>
        <v>yes</v>
      </c>
      <c r="U11" s="21">
        <f>Sheet1!AO12</f>
        <v>0</v>
      </c>
      <c r="V11" s="21">
        <f>Sheet1!AQ12</f>
        <v>0</v>
      </c>
      <c r="W11" s="21">
        <f>Sheet1!AS12</f>
        <v>79</v>
      </c>
      <c r="X11" s="21" t="str">
        <f>Sheet1!AU12</f>
        <v>NS</v>
      </c>
      <c r="Y11" s="21" t="str">
        <f>Sheet1!AW12</f>
        <v>NS</v>
      </c>
      <c r="Z11" s="21">
        <f>Sheet1!AY12</f>
        <v>105</v>
      </c>
      <c r="AA11" s="21">
        <f>Sheet1!BA12</f>
        <v>4</v>
      </c>
      <c r="AB11" s="21" t="str">
        <f>Sheet1!BC12</f>
        <v>multiple</v>
      </c>
      <c r="AC11" s="21">
        <f>Sheet1!BE12</f>
        <v>4</v>
      </c>
      <c r="AD11" s="21">
        <f>Sheet1!BG12</f>
        <v>0</v>
      </c>
      <c r="AE11" s="21">
        <f>Sheet1!BI12</f>
        <v>0</v>
      </c>
      <c r="AF11" s="21">
        <f>Sheet1!BK12</f>
        <v>0</v>
      </c>
      <c r="AG11" s="21">
        <f>Sheet1!BM12</f>
        <v>0</v>
      </c>
      <c r="AH11" s="21">
        <f>Sheet1!BO12</f>
        <v>0</v>
      </c>
      <c r="AI11" s="21">
        <f>Sheet1!BQ12</f>
        <v>0</v>
      </c>
      <c r="AJ11" s="21">
        <f>Sheet1!BS12</f>
        <v>0</v>
      </c>
      <c r="AK11" s="21">
        <f>Sheet1!BU12</f>
        <v>1</v>
      </c>
      <c r="AL11" s="21">
        <f>Sheet1!BQ12</f>
        <v>0</v>
      </c>
      <c r="AM11" s="21">
        <f>Sheet1!BY12</f>
        <v>1</v>
      </c>
      <c r="AN11" s="21">
        <f>Sheet1!CA12</f>
        <v>1</v>
      </c>
      <c r="AO11" s="21">
        <f>Sheet1!CC12</f>
        <v>0</v>
      </c>
      <c r="AP11" s="21">
        <f>Sheet1!CE12</f>
        <v>0</v>
      </c>
      <c r="AQ11" s="21">
        <f>Sheet1!CG12</f>
        <v>0</v>
      </c>
      <c r="AR11" s="21">
        <f>Sheet1!CI12</f>
        <v>0</v>
      </c>
      <c r="AS11" s="21">
        <f>Sheet1!CK12</f>
        <v>1</v>
      </c>
      <c r="AT11" s="21">
        <f>Sheet1!CM12</f>
        <v>0</v>
      </c>
      <c r="AU11" s="21">
        <f>Sheet1!CO12</f>
        <v>0</v>
      </c>
      <c r="AV11" s="21" t="str">
        <f>Sheet1!CQ12</f>
        <v>all</v>
      </c>
      <c r="AW11" s="21" t="str">
        <f>Sheet1!CS12</f>
        <v>NS</v>
      </c>
      <c r="AX11" s="21" t="str">
        <f>Sheet1!CU12</f>
        <v>NS</v>
      </c>
      <c r="AY11" s="21" t="str">
        <f>Sheet1!CW12</f>
        <v>some</v>
      </c>
      <c r="AZ11" s="21" t="str">
        <f>Sheet1!CY12</f>
        <v>all</v>
      </c>
      <c r="BA11" s="21" t="str">
        <f>Sheet1!DA12</f>
        <v>all</v>
      </c>
      <c r="BB11" s="21" t="str">
        <f>Sheet1!DC12</f>
        <v>all</v>
      </c>
      <c r="BC11" s="21" t="str">
        <f>Sheet1!DE12</f>
        <v>all</v>
      </c>
      <c r="BD11" s="21" t="str">
        <f>Sheet1!DG12</f>
        <v>NS</v>
      </c>
      <c r="BE11" s="21" t="str">
        <f>Sheet1!DI12</f>
        <v>all</v>
      </c>
      <c r="BF11" s="21" t="str">
        <f>Sheet1!DK12</f>
        <v>NS</v>
      </c>
      <c r="BG11" s="21" t="str">
        <f>Sheet1!DM12</f>
        <v>NS</v>
      </c>
      <c r="BH11" s="21" t="str">
        <f>Sheet1!DO12</f>
        <v>NS</v>
      </c>
      <c r="BI11" s="21" t="str">
        <f>Sheet1!DQ12</f>
        <v>NS</v>
      </c>
      <c r="BJ11" s="21" t="str">
        <f>Sheet1!DS12</f>
        <v>disorder</v>
      </c>
      <c r="BK11" s="21" t="str">
        <f>Sheet1!DU12</f>
        <v>SCID</v>
      </c>
      <c r="BL11" s="21" t="str">
        <f>Sheet1!DW12</f>
        <v>DSM-IV</v>
      </c>
      <c r="BM11" s="21">
        <f>Sheet1!ES12</f>
        <v>10</v>
      </c>
    </row>
    <row r="12" spans="1:66" ht="15.75" customHeight="1" x14ac:dyDescent="0.2">
      <c r="A12" s="21" t="str">
        <f>Sheet1!A13</f>
        <v>Harris</v>
      </c>
      <c r="B12" s="21">
        <f>Sheet1!B13</f>
        <v>2019</v>
      </c>
      <c r="C12" s="21" t="str">
        <f>_xlfn.CONCAT(data!A12," ",data!B12)</f>
        <v>Harris 2019</v>
      </c>
      <c r="D12" s="21">
        <f>Sheet1!C13</f>
        <v>480</v>
      </c>
      <c r="E12" s="21">
        <f>Sheet1!E13</f>
        <v>325</v>
      </c>
      <c r="F12" s="21" t="str">
        <f>Sheet1!G13</f>
        <v>NS</v>
      </c>
      <c r="G12" s="21" t="str">
        <f>Sheet1!I13</f>
        <v>NS</v>
      </c>
      <c r="H12" s="21">
        <f>Sheet1!K13</f>
        <v>32</v>
      </c>
      <c r="I12" s="21" t="str">
        <f>Sheet1!M13</f>
        <v>NS</v>
      </c>
      <c r="J12" s="21" t="str">
        <f>Sheet1!O13</f>
        <v>NS</v>
      </c>
      <c r="K12" s="21" t="str">
        <f>Sheet1!Q13</f>
        <v>NS</v>
      </c>
      <c r="L12" s="21" t="str">
        <f>Sheet1!S13</f>
        <v>NS</v>
      </c>
      <c r="M12" s="21">
        <v>805</v>
      </c>
      <c r="N12" s="21" t="s">
        <v>344</v>
      </c>
      <c r="O12" s="21">
        <f>Sheet1!Y13</f>
        <v>0</v>
      </c>
      <c r="P12" s="21">
        <f>Sheet1!AA13</f>
        <v>0</v>
      </c>
      <c r="Q12" s="21" t="s">
        <v>343</v>
      </c>
      <c r="R12" s="21" t="str">
        <f>Sheet1!AF13</f>
        <v>aus</v>
      </c>
      <c r="S12" s="21" t="str">
        <f>Sheet1!AI13</f>
        <v>no</v>
      </c>
      <c r="T12" s="21" t="str">
        <f>Sheet1!AK13</f>
        <v>no</v>
      </c>
      <c r="U12" s="21" t="str">
        <f>Sheet1!AO13</f>
        <v>NS</v>
      </c>
      <c r="V12" s="21" t="str">
        <f>Sheet1!AQ13</f>
        <v>NS</v>
      </c>
      <c r="W12" s="21" t="str">
        <f>Sheet1!AS13</f>
        <v>NS</v>
      </c>
      <c r="X12" s="21" t="str">
        <f>Sheet1!AU13</f>
        <v>NS</v>
      </c>
      <c r="Y12" s="21" t="str">
        <f>Sheet1!AW13</f>
        <v>NS</v>
      </c>
      <c r="Z12" s="21">
        <f>Sheet1!AY13</f>
        <v>805</v>
      </c>
      <c r="AA12" s="21">
        <f>Sheet1!BA13</f>
        <v>3</v>
      </c>
      <c r="AB12" s="21" t="str">
        <f>Sheet1!BC13</f>
        <v>multiple</v>
      </c>
      <c r="AC12" s="21">
        <f>Sheet1!BE13</f>
        <v>3</v>
      </c>
      <c r="AD12" s="21">
        <f>Sheet1!BG13</f>
        <v>0</v>
      </c>
      <c r="AE12" s="21" t="str">
        <f>Sheet1!BI13</f>
        <v>NA</v>
      </c>
      <c r="AF12" s="21" t="str">
        <f>Sheet1!BK13</f>
        <v>NA</v>
      </c>
      <c r="AG12" s="21" t="str">
        <f>Sheet1!BM13</f>
        <v>NA</v>
      </c>
      <c r="AH12" s="21" t="str">
        <f>Sheet1!BO13</f>
        <v>NA</v>
      </c>
      <c r="AI12" s="21" t="str">
        <f>Sheet1!BQ13</f>
        <v>NA</v>
      </c>
      <c r="AJ12" s="21" t="str">
        <f>Sheet1!BS13</f>
        <v>NA</v>
      </c>
      <c r="AK12" s="21" t="str">
        <f>Sheet1!BU13</f>
        <v>NA</v>
      </c>
      <c r="AL12" s="21" t="str">
        <f>Sheet1!BQ13</f>
        <v>NA</v>
      </c>
      <c r="AM12" s="21" t="str">
        <f>Sheet1!BY13</f>
        <v>NA</v>
      </c>
      <c r="AN12" s="21" t="str">
        <f>Sheet1!CA13</f>
        <v>NA</v>
      </c>
      <c r="AO12" s="21" t="str">
        <f>Sheet1!CC13</f>
        <v>NA</v>
      </c>
      <c r="AP12" s="21" t="str">
        <f>Sheet1!CE13</f>
        <v>NA</v>
      </c>
      <c r="AQ12" s="21" t="str">
        <f>Sheet1!CG13</f>
        <v>NA</v>
      </c>
      <c r="AR12" s="21" t="str">
        <f>Sheet1!CI13</f>
        <v>NA</v>
      </c>
      <c r="AS12" s="21" t="str">
        <f>Sheet1!CK13</f>
        <v>NA</v>
      </c>
      <c r="AT12" s="21" t="str">
        <f>Sheet1!CM13</f>
        <v>NA</v>
      </c>
      <c r="AU12" s="21">
        <f>Sheet1!CO13</f>
        <v>3</v>
      </c>
      <c r="AV12" s="21" t="str">
        <f>Sheet1!CQ13</f>
        <v>some</v>
      </c>
      <c r="AW12" s="21" t="str">
        <f>Sheet1!CS13</f>
        <v>all</v>
      </c>
      <c r="AX12" s="21" t="str">
        <f>Sheet1!CU13</f>
        <v>some</v>
      </c>
      <c r="AY12" s="21" t="str">
        <f>Sheet1!CW13</f>
        <v>some</v>
      </c>
      <c r="AZ12" s="21" t="str">
        <f>Sheet1!CY13</f>
        <v>some</v>
      </c>
      <c r="BA12" s="21" t="str">
        <f>Sheet1!DA13</f>
        <v>some</v>
      </c>
      <c r="BB12" s="21" t="str">
        <f>Sheet1!DC13</f>
        <v>NS</v>
      </c>
      <c r="BC12" s="21" t="str">
        <f>Sheet1!DE13</f>
        <v>NS</v>
      </c>
      <c r="BD12" s="21" t="str">
        <f>Sheet1!DG13</f>
        <v>NS</v>
      </c>
      <c r="BE12" s="21" t="str">
        <f>Sheet1!DI13</f>
        <v>some</v>
      </c>
      <c r="BF12" s="21" t="str">
        <f>Sheet1!DK13</f>
        <v>NS</v>
      </c>
      <c r="BG12" s="21" t="str">
        <f>Sheet1!DM13</f>
        <v>NS</v>
      </c>
      <c r="BH12" s="21" t="str">
        <f>Sheet1!DO13</f>
        <v>NS</v>
      </c>
      <c r="BI12" s="21" t="str">
        <f>Sheet1!DQ13</f>
        <v>NS</v>
      </c>
      <c r="BJ12" s="21" t="s">
        <v>340</v>
      </c>
      <c r="BK12" s="21" t="str">
        <f>Sheet1!DU13</f>
        <v>NS</v>
      </c>
      <c r="BL12" s="21" t="str">
        <f>Sheet1!DW13</f>
        <v>NS</v>
      </c>
      <c r="BM12" s="21">
        <f>Sheet1!ES13</f>
        <v>10</v>
      </c>
      <c r="BN12" s="23" t="s">
        <v>345</v>
      </c>
    </row>
    <row r="13" spans="1:66" ht="15.75" customHeight="1" x14ac:dyDescent="0.2">
      <c r="A13" s="21" t="str">
        <f>Sheet1!A14</f>
        <v>Johnstone</v>
      </c>
      <c r="B13" s="21">
        <f>Sheet1!B14</f>
        <v>1987</v>
      </c>
      <c r="C13" s="21" t="str">
        <f>_xlfn.CONCAT(data!A13," ",data!B13)</f>
        <v>Johnstone 1987</v>
      </c>
      <c r="D13" s="21" t="str">
        <f>Sheet1!C14</f>
        <v>NS</v>
      </c>
      <c r="E13" s="21" t="str">
        <f>Sheet1!E14</f>
        <v>NS</v>
      </c>
      <c r="F13" s="21" t="str">
        <f>Sheet1!G14</f>
        <v>NS</v>
      </c>
      <c r="G13" s="21" t="str">
        <f>Sheet1!I14</f>
        <v>NS</v>
      </c>
      <c r="H13" s="21" t="str">
        <f>Sheet1!K14</f>
        <v>NS</v>
      </c>
      <c r="I13" s="21" t="str">
        <f>Sheet1!M14</f>
        <v>NS</v>
      </c>
      <c r="J13" s="21" t="str">
        <f>Sheet1!O14</f>
        <v>NS</v>
      </c>
      <c r="K13" s="21" t="str">
        <f>Sheet1!Q14</f>
        <v>NS</v>
      </c>
      <c r="L13" s="21" t="str">
        <f>Sheet1!S14</f>
        <v>NS</v>
      </c>
      <c r="M13" s="21">
        <f>Sheet1!U14</f>
        <v>0</v>
      </c>
      <c r="N13" s="21">
        <f>Sheet1!W14</f>
        <v>268</v>
      </c>
      <c r="O13" s="21">
        <f>Sheet1!Y14</f>
        <v>0</v>
      </c>
      <c r="P13" s="21">
        <f>Sheet1!AA14</f>
        <v>0</v>
      </c>
      <c r="Q13" s="21" t="str">
        <f>Sheet1!AC14</f>
        <v>inpat_psych</v>
      </c>
      <c r="R13" s="21" t="str">
        <f>Sheet1!AF14</f>
        <v>euro</v>
      </c>
      <c r="S13" s="21" t="str">
        <f>Sheet1!AI14</f>
        <v>yes</v>
      </c>
      <c r="T13" s="21" t="str">
        <f>Sheet1!AK14</f>
        <v>yes</v>
      </c>
      <c r="U13" s="21">
        <f>Sheet1!AO14</f>
        <v>0</v>
      </c>
      <c r="V13" s="21">
        <f>Sheet1!AQ14</f>
        <v>0</v>
      </c>
      <c r="W13" s="21" t="str">
        <f>Sheet1!AS14</f>
        <v>NS</v>
      </c>
      <c r="X13" s="21" t="str">
        <f>Sheet1!AU14</f>
        <v>NS</v>
      </c>
      <c r="Y13" s="21" t="str">
        <f>Sheet1!AW14</f>
        <v>NS</v>
      </c>
      <c r="Z13" s="21">
        <f>Sheet1!AY14</f>
        <v>268</v>
      </c>
      <c r="AA13" s="21">
        <f>Sheet1!BA14</f>
        <v>15</v>
      </c>
      <c r="AB13" s="21" t="str">
        <f>Sheet1!BC14</f>
        <v>multiple</v>
      </c>
      <c r="AC13" s="21">
        <f>Sheet1!BE14</f>
        <v>10</v>
      </c>
      <c r="AD13" s="21">
        <f>Sheet1!BG14</f>
        <v>5</v>
      </c>
      <c r="AE13" s="21">
        <f>Sheet1!BI14</f>
        <v>0</v>
      </c>
      <c r="AF13" s="21">
        <f>Sheet1!BK14</f>
        <v>0</v>
      </c>
      <c r="AG13" s="21">
        <f>Sheet1!BM14</f>
        <v>5</v>
      </c>
      <c r="AH13" s="21">
        <f>Sheet1!BO14</f>
        <v>0</v>
      </c>
      <c r="AI13" s="21">
        <f>Sheet1!BQ14</f>
        <v>0</v>
      </c>
      <c r="AJ13" s="21">
        <f>Sheet1!BS14</f>
        <v>0</v>
      </c>
      <c r="AK13" s="21">
        <f>Sheet1!BU14</f>
        <v>0</v>
      </c>
      <c r="AL13" s="21">
        <f>Sheet1!BQ14</f>
        <v>0</v>
      </c>
      <c r="AM13" s="21">
        <f>Sheet1!BY14</f>
        <v>4</v>
      </c>
      <c r="AN13" s="21">
        <f>Sheet1!CA14</f>
        <v>0</v>
      </c>
      <c r="AO13" s="21">
        <f>Sheet1!CC14</f>
        <v>0</v>
      </c>
      <c r="AP13" s="21">
        <f>Sheet1!CE14</f>
        <v>0</v>
      </c>
      <c r="AQ13" s="21">
        <f>Sheet1!CG14</f>
        <v>0</v>
      </c>
      <c r="AR13" s="21">
        <f>Sheet1!CI14</f>
        <v>0</v>
      </c>
      <c r="AS13" s="21">
        <f>Sheet1!CK14</f>
        <v>1</v>
      </c>
      <c r="AT13" s="21">
        <f>Sheet1!CM14</f>
        <v>5</v>
      </c>
      <c r="AU13" s="21">
        <f>Sheet1!CO14</f>
        <v>0</v>
      </c>
      <c r="AV13" s="21" t="str">
        <f>Sheet1!CQ14</f>
        <v>NS</v>
      </c>
      <c r="AW13" s="21" t="str">
        <f>Sheet1!CS14</f>
        <v>some</v>
      </c>
      <c r="AX13" s="21">
        <f>Sheet1!CU14</f>
        <v>0</v>
      </c>
      <c r="AY13" s="21" t="str">
        <f>Sheet1!CW14</f>
        <v>some</v>
      </c>
      <c r="AZ13" s="21" t="str">
        <f>Sheet1!CY14</f>
        <v>some</v>
      </c>
      <c r="BA13" s="21" t="str">
        <f>Sheet1!DA14</f>
        <v>some</v>
      </c>
      <c r="BB13" s="21">
        <f>Sheet1!DC14</f>
        <v>0</v>
      </c>
      <c r="BC13" s="21" t="str">
        <f>Sheet1!DE14</f>
        <v>all</v>
      </c>
      <c r="BD13" s="21" t="str">
        <f>Sheet1!DG14</f>
        <v>NS</v>
      </c>
      <c r="BE13" s="21" t="str">
        <f>Sheet1!DI14</f>
        <v>some</v>
      </c>
      <c r="BF13" s="21" t="str">
        <f>Sheet1!DK14</f>
        <v>some</v>
      </c>
      <c r="BG13" s="21" t="str">
        <f>Sheet1!DM14</f>
        <v>NS</v>
      </c>
      <c r="BH13" s="21" t="str">
        <f>Sheet1!DO14</f>
        <v>X-ray (Unspecified freq)</v>
      </c>
      <c r="BI13" s="21" t="str">
        <f>Sheet1!DQ14</f>
        <v>NS</v>
      </c>
      <c r="BJ13" s="21" t="str">
        <f>Sheet1!DS14</f>
        <v>disorder</v>
      </c>
      <c r="BK13" s="21" t="str">
        <f>Sheet1!DU14</f>
        <v>NS</v>
      </c>
      <c r="BL13" s="21" t="str">
        <f>Sheet1!DW14</f>
        <v>NS</v>
      </c>
      <c r="BM13" s="21">
        <f>Sheet1!ES14</f>
        <v>9</v>
      </c>
    </row>
    <row r="14" spans="1:66" ht="15.75" customHeight="1" x14ac:dyDescent="0.2">
      <c r="A14" s="21" t="str">
        <f>Sheet1!A15</f>
        <v xml:space="preserve">Kanbayashi </v>
      </c>
      <c r="B14" s="21">
        <f>Sheet1!B15</f>
        <v>2012</v>
      </c>
      <c r="C14" s="21" t="str">
        <f>_xlfn.CONCAT(data!A14," ",data!B14)</f>
        <v>Kanbayashi  2012</v>
      </c>
      <c r="D14" s="21" t="str">
        <f>Sheet1!C15</f>
        <v>NS</v>
      </c>
      <c r="E14" s="21" t="str">
        <f>Sheet1!E15</f>
        <v>NS</v>
      </c>
      <c r="F14" s="21" t="str">
        <f>Sheet1!G15</f>
        <v>NS</v>
      </c>
      <c r="G14" s="21">
        <f>Sheet1!I15</f>
        <v>30.6</v>
      </c>
      <c r="H14" s="21" t="str">
        <f>Sheet1!K15</f>
        <v>NS</v>
      </c>
      <c r="I14" s="21" t="str">
        <f>Sheet1!M15</f>
        <v>NS</v>
      </c>
      <c r="J14" s="21" t="str">
        <f>Sheet1!O15</f>
        <v>NS</v>
      </c>
      <c r="K14" s="21" t="str">
        <f>Sheet1!Q15</f>
        <v>NS</v>
      </c>
      <c r="L14" s="21" t="str">
        <f>Sheet1!S15</f>
        <v>NS</v>
      </c>
      <c r="M14" s="21">
        <f>Sheet1!U15</f>
        <v>0</v>
      </c>
      <c r="N14" s="21">
        <f>Sheet1!W15</f>
        <v>51</v>
      </c>
      <c r="O14" s="21">
        <f>Sheet1!Y15</f>
        <v>0</v>
      </c>
      <c r="P14" s="21">
        <f>Sheet1!AA15</f>
        <v>0</v>
      </c>
      <c r="Q14" s="21" t="str">
        <f>Sheet1!AC15</f>
        <v>inpat_psych</v>
      </c>
      <c r="R14" s="21" t="str">
        <f>Sheet1!AF15</f>
        <v>asia</v>
      </c>
      <c r="S14" s="21" t="str">
        <f>Sheet1!AI15</f>
        <v>yes</v>
      </c>
      <c r="T14" s="21" t="str">
        <f>Sheet1!AK15</f>
        <v>no</v>
      </c>
      <c r="U14" s="21" t="str">
        <f>Sheet1!AO15</f>
        <v>NS</v>
      </c>
      <c r="V14" s="21" t="str">
        <f>Sheet1!AQ15</f>
        <v>NS</v>
      </c>
      <c r="W14" s="21" t="str">
        <f>Sheet1!AS15</f>
        <v>NS</v>
      </c>
      <c r="X14" s="21" t="str">
        <f>Sheet1!AU15</f>
        <v>NS</v>
      </c>
      <c r="Y14" s="21" t="str">
        <f>Sheet1!AW15</f>
        <v>NS</v>
      </c>
      <c r="Z14" s="21">
        <f>Sheet1!AY15</f>
        <v>51</v>
      </c>
      <c r="AA14" s="21">
        <f>Sheet1!BA15</f>
        <v>4</v>
      </c>
      <c r="AB14" s="21" t="str">
        <f>Sheet1!BC15</f>
        <v>single</v>
      </c>
      <c r="AC14" s="21">
        <f>Sheet1!BE15</f>
        <v>4</v>
      </c>
      <c r="AD14" s="21">
        <f>Sheet1!BG15</f>
        <v>0</v>
      </c>
      <c r="AE14" s="21">
        <f>Sheet1!BI15</f>
        <v>4</v>
      </c>
      <c r="AF14" s="21" t="str">
        <f>Sheet1!BK15</f>
        <v>NA</v>
      </c>
      <c r="AG14" s="21" t="str">
        <f>Sheet1!BM15</f>
        <v>NA</v>
      </c>
      <c r="AH14" s="21" t="str">
        <f>Sheet1!BO15</f>
        <v>NA</v>
      </c>
      <c r="AI14" s="21" t="str">
        <f>Sheet1!BQ15</f>
        <v>NA</v>
      </c>
      <c r="AJ14" s="21" t="str">
        <f>Sheet1!BS15</f>
        <v>NA</v>
      </c>
      <c r="AK14" s="21" t="str">
        <f>Sheet1!BU15</f>
        <v>NA</v>
      </c>
      <c r="AL14" s="21" t="str">
        <f>Sheet1!BQ15</f>
        <v>NA</v>
      </c>
      <c r="AM14" s="21" t="str">
        <f>Sheet1!BY15</f>
        <v>NA</v>
      </c>
      <c r="AN14" s="21" t="str">
        <f>Sheet1!CA15</f>
        <v>NA</v>
      </c>
      <c r="AO14" s="21" t="str">
        <f>Sheet1!CC15</f>
        <v>NA</v>
      </c>
      <c r="AP14" s="21" t="str">
        <f>Sheet1!CE15</f>
        <v>NA</v>
      </c>
      <c r="AQ14" s="21" t="str">
        <f>Sheet1!CG15</f>
        <v>NA</v>
      </c>
      <c r="AR14" s="21" t="str">
        <f>Sheet1!CI15</f>
        <v>NA</v>
      </c>
      <c r="AS14" s="21" t="str">
        <f>Sheet1!CK15</f>
        <v>NA</v>
      </c>
      <c r="AT14" s="21" t="str">
        <f>Sheet1!CM15</f>
        <v>NA</v>
      </c>
      <c r="AU14" s="21" t="str">
        <f>Sheet1!CO15</f>
        <v>NA</v>
      </c>
      <c r="AV14" s="21" t="str">
        <f>Sheet1!CQ15</f>
        <v>yes - NS</v>
      </c>
      <c r="AW14" s="21" t="str">
        <f>Sheet1!CS15</f>
        <v>NS</v>
      </c>
      <c r="AX14" s="21" t="str">
        <f>Sheet1!CU15</f>
        <v>NS</v>
      </c>
      <c r="AY14" s="21" t="str">
        <f>Sheet1!CW15</f>
        <v>yes - NS</v>
      </c>
      <c r="AZ14" s="21" t="str">
        <f>Sheet1!CY15</f>
        <v>some</v>
      </c>
      <c r="BA14" s="21" t="str">
        <f>Sheet1!DA15</f>
        <v>yes - NS</v>
      </c>
      <c r="BB14" s="21" t="str">
        <f>Sheet1!DC15</f>
        <v>NS</v>
      </c>
      <c r="BC14" s="21" t="str">
        <f>Sheet1!DE15</f>
        <v>NS</v>
      </c>
      <c r="BD14" s="21" t="str">
        <f>Sheet1!DG15</f>
        <v>NS</v>
      </c>
      <c r="BE14" s="21" t="str">
        <f>Sheet1!DI15</f>
        <v>NS</v>
      </c>
      <c r="BF14" s="21" t="str">
        <f>Sheet1!DK15</f>
        <v>NS</v>
      </c>
      <c r="BG14" s="21" t="str">
        <f>Sheet1!DM15</f>
        <v>NS</v>
      </c>
      <c r="BH14" s="21" t="str">
        <f>Sheet1!DO15</f>
        <v>NS</v>
      </c>
      <c r="BI14" s="21" t="str">
        <f>Sheet1!DQ15</f>
        <v>NS</v>
      </c>
      <c r="BJ14" s="21" t="str">
        <f>Sheet1!DS15</f>
        <v>disorder</v>
      </c>
      <c r="BK14" s="21" t="str">
        <f>Sheet1!DU15</f>
        <v>NS</v>
      </c>
      <c r="BL14" s="21" t="str">
        <f>Sheet1!DW15</f>
        <v>DSM-IV</v>
      </c>
      <c r="BM14" s="21">
        <f>Sheet1!ES15</f>
        <v>10</v>
      </c>
    </row>
    <row r="15" spans="1:66" ht="15.75" customHeight="1" x14ac:dyDescent="0.2">
      <c r="A15" s="21" t="str">
        <f>Sheet1!A16</f>
        <v>Kelleher</v>
      </c>
      <c r="B15" s="21">
        <f>Sheet1!B16</f>
        <v>2020</v>
      </c>
      <c r="C15" s="21" t="str">
        <f>_xlfn.CONCAT(data!A15," ",data!B15)</f>
        <v>Kelleher 2020</v>
      </c>
      <c r="D15" s="21">
        <f>Sheet1!C16</f>
        <v>134</v>
      </c>
      <c r="E15" s="21">
        <f>Sheet1!E16</f>
        <v>78</v>
      </c>
      <c r="F15" s="21" t="str">
        <f>Sheet1!G16</f>
        <v>NS</v>
      </c>
      <c r="G15" s="21" t="str">
        <f>Sheet1!I16</f>
        <v>NS</v>
      </c>
      <c r="H15" s="21" t="str">
        <f>Sheet1!K16</f>
        <v>33 FEP, 45 TRS Cohort</v>
      </c>
      <c r="I15" s="21">
        <f>Sheet1!M16</f>
        <v>5</v>
      </c>
      <c r="J15" s="21">
        <f>Sheet1!O16</f>
        <v>203</v>
      </c>
      <c r="K15" s="21">
        <f>Sheet1!Q16</f>
        <v>4</v>
      </c>
      <c r="L15" s="21">
        <f>Sheet1!S16</f>
        <v>0</v>
      </c>
      <c r="M15" s="21">
        <f>Sheet1!U16</f>
        <v>4</v>
      </c>
      <c r="N15" s="21">
        <f>Sheet1!W16</f>
        <v>61</v>
      </c>
      <c r="O15" s="21">
        <f>Sheet1!Y16</f>
        <v>147</v>
      </c>
      <c r="P15" s="21">
        <f>Sheet1!AA16</f>
        <v>0</v>
      </c>
      <c r="Q15" s="21" t="str">
        <f>Sheet1!AC16</f>
        <v>mixture</v>
      </c>
      <c r="R15" s="21" t="str">
        <f>Sheet1!AF16</f>
        <v>euro</v>
      </c>
      <c r="S15" s="21" t="str">
        <f>Sheet1!AI16</f>
        <v>yes</v>
      </c>
      <c r="T15" s="21" t="str">
        <f>Sheet1!AK16</f>
        <v>no</v>
      </c>
      <c r="U15" s="21">
        <f>Sheet1!AO16</f>
        <v>100</v>
      </c>
      <c r="V15" s="21">
        <f>Sheet1!AQ16</f>
        <v>0</v>
      </c>
      <c r="W15" s="21" t="str">
        <f>Sheet1!AS16</f>
        <v>NS</v>
      </c>
      <c r="X15" s="21" t="str">
        <f>Sheet1!AU16</f>
        <v>NS</v>
      </c>
      <c r="Y15" s="21">
        <f>Sheet1!AW16</f>
        <v>2</v>
      </c>
      <c r="Z15" s="21">
        <f>Sheet1!AY16</f>
        <v>212</v>
      </c>
      <c r="AA15" s="21">
        <f>Sheet1!BA16</f>
        <v>1</v>
      </c>
      <c r="AB15" s="21" t="str">
        <f>Sheet1!BC16</f>
        <v>single</v>
      </c>
      <c r="AC15" s="21">
        <f>Sheet1!BE16</f>
        <v>1</v>
      </c>
      <c r="AD15" s="21">
        <f>Sheet1!BG16</f>
        <v>0</v>
      </c>
      <c r="AE15" s="21">
        <f>Sheet1!BI16</f>
        <v>1</v>
      </c>
      <c r="AF15" s="21" t="str">
        <f>Sheet1!BK16</f>
        <v>NA</v>
      </c>
      <c r="AG15" s="21" t="str">
        <f>Sheet1!BM16</f>
        <v>NA</v>
      </c>
      <c r="AH15" s="21" t="str">
        <f>Sheet1!BO16</f>
        <v>NA</v>
      </c>
      <c r="AI15" s="21" t="str">
        <f>Sheet1!BQ16</f>
        <v>NA</v>
      </c>
      <c r="AJ15" s="21" t="str">
        <f>Sheet1!BS16</f>
        <v>NA</v>
      </c>
      <c r="AK15" s="21" t="str">
        <f>Sheet1!BU16</f>
        <v>NA</v>
      </c>
      <c r="AL15" s="21" t="str">
        <f>Sheet1!BQ16</f>
        <v>NA</v>
      </c>
      <c r="AM15" s="21" t="str">
        <f>Sheet1!BY16</f>
        <v>NA</v>
      </c>
      <c r="AN15" s="21" t="str">
        <f>Sheet1!CA16</f>
        <v>NA</v>
      </c>
      <c r="AO15" s="21" t="str">
        <f>Sheet1!CC16</f>
        <v>NA</v>
      </c>
      <c r="AP15" s="21" t="str">
        <f>Sheet1!CE16</f>
        <v>NA</v>
      </c>
      <c r="AQ15" s="21" t="str">
        <f>Sheet1!CG16</f>
        <v>NA</v>
      </c>
      <c r="AR15" s="21" t="str">
        <f>Sheet1!CI16</f>
        <v>NA</v>
      </c>
      <c r="AS15" s="21" t="str">
        <f>Sheet1!CK16</f>
        <v>NA</v>
      </c>
      <c r="AT15" s="21" t="str">
        <f>Sheet1!CM16</f>
        <v>NA</v>
      </c>
      <c r="AU15" s="21" t="str">
        <f>Sheet1!CO16</f>
        <v>NA</v>
      </c>
      <c r="AV15" s="21" t="str">
        <f>Sheet1!CQ16</f>
        <v>some</v>
      </c>
      <c r="AW15" s="21">
        <f>Sheet1!CS16</f>
        <v>0</v>
      </c>
      <c r="AX15" s="21">
        <f>Sheet1!CU16</f>
        <v>0</v>
      </c>
      <c r="AY15" s="21" t="str">
        <f>Sheet1!CW16</f>
        <v>some</v>
      </c>
      <c r="AZ15" s="21" t="str">
        <f>Sheet1!CY16</f>
        <v>some</v>
      </c>
      <c r="BA15" s="21" t="str">
        <f>Sheet1!DA16</f>
        <v>all</v>
      </c>
      <c r="BB15" s="21">
        <f>Sheet1!DC16</f>
        <v>0</v>
      </c>
      <c r="BC15" s="21" t="str">
        <f>Sheet1!DE16</f>
        <v>all</v>
      </c>
      <c r="BD15" s="21" t="str">
        <f>Sheet1!DG16</f>
        <v>yes</v>
      </c>
      <c r="BE15" s="21" t="str">
        <f>Sheet1!DI16</f>
        <v>some</v>
      </c>
      <c r="BF15" s="21" t="str">
        <f>Sheet1!DK16</f>
        <v>NS</v>
      </c>
      <c r="BG15" s="21" t="str">
        <f>Sheet1!DM16</f>
        <v>NS</v>
      </c>
      <c r="BH15" s="21" t="str">
        <f>Sheet1!DO16</f>
        <v>some</v>
      </c>
      <c r="BI15" s="21" t="str">
        <f>Sheet1!DQ16</f>
        <v>NS</v>
      </c>
      <c r="BJ15" s="21" t="str">
        <f>Sheet1!DS16</f>
        <v>disorder</v>
      </c>
      <c r="BK15" s="21" t="str">
        <f>Sheet1!DU16</f>
        <v>SCID</v>
      </c>
      <c r="BL15" s="21" t="str">
        <f>Sheet1!DW16</f>
        <v>ICD-10</v>
      </c>
      <c r="BM15" s="21">
        <f>Sheet1!ES16</f>
        <v>10</v>
      </c>
    </row>
    <row r="16" spans="1:66" ht="15.75" customHeight="1" x14ac:dyDescent="0.2">
      <c r="A16" s="21" t="str">
        <f>Sheet1!A17</f>
        <v>Mantovani</v>
      </c>
      <c r="B16" s="21">
        <f>Sheet1!B17</f>
        <v>2012</v>
      </c>
      <c r="C16" s="21" t="str">
        <f>_xlfn.CONCAT(data!A16," ",data!B16)</f>
        <v>Mantovani 2012</v>
      </c>
      <c r="D16" s="21">
        <f>Sheet1!C17</f>
        <v>54</v>
      </c>
      <c r="E16" s="21">
        <f>Sheet1!E17</f>
        <v>31</v>
      </c>
      <c r="F16" s="21" t="str">
        <f>Sheet1!G17</f>
        <v>NS</v>
      </c>
      <c r="G16" s="21" t="str">
        <f>Sheet1!I17</f>
        <v>NS</v>
      </c>
      <c r="H16" s="21" t="str">
        <f>Sheet1!K17</f>
        <v>NS</v>
      </c>
      <c r="I16" s="21" t="str">
        <f>Sheet1!M17</f>
        <v>NS</v>
      </c>
      <c r="J16" s="21" t="str">
        <f>Sheet1!O17</f>
        <v>NS</v>
      </c>
      <c r="K16" s="21" t="str">
        <f>Sheet1!Q17</f>
        <v>NS</v>
      </c>
      <c r="L16" s="21" t="str">
        <f>Sheet1!S17</f>
        <v>NS</v>
      </c>
      <c r="M16" s="21">
        <f>Sheet1!U17</f>
        <v>85</v>
      </c>
      <c r="N16" s="21">
        <f>Sheet1!W17</f>
        <v>0</v>
      </c>
      <c r="O16" s="21">
        <f>Sheet1!Y17</f>
        <v>0</v>
      </c>
      <c r="P16" s="21">
        <f>Sheet1!AA17</f>
        <v>0</v>
      </c>
      <c r="Q16" s="21" t="str">
        <f>Sheet1!AC17</f>
        <v>gen_hospital</v>
      </c>
      <c r="R16" s="21" t="str">
        <f>Sheet1!AF17</f>
        <v>s_am</v>
      </c>
      <c r="S16" s="21" t="str">
        <f>Sheet1!AI17</f>
        <v>no</v>
      </c>
      <c r="T16" s="21" t="str">
        <f>Sheet1!AK17</f>
        <v>yes</v>
      </c>
      <c r="U16" s="21">
        <f>Sheet1!AO17</f>
        <v>0</v>
      </c>
      <c r="V16" s="21">
        <f>Sheet1!AQ17</f>
        <v>0</v>
      </c>
      <c r="W16" s="21" t="str">
        <f>Sheet1!AS17</f>
        <v>NS</v>
      </c>
      <c r="X16" s="21" t="str">
        <f>Sheet1!AU17</f>
        <v>NS</v>
      </c>
      <c r="Y16" s="21" t="str">
        <f>Sheet1!AW17</f>
        <v>NS</v>
      </c>
      <c r="Z16" s="21">
        <f>Sheet1!AY17</f>
        <v>85</v>
      </c>
      <c r="AA16" s="21">
        <f>Sheet1!BA17</f>
        <v>2</v>
      </c>
      <c r="AB16" s="21" t="str">
        <f>Sheet1!BC17</f>
        <v>single</v>
      </c>
      <c r="AC16" s="21">
        <f>Sheet1!BE17</f>
        <v>2</v>
      </c>
      <c r="AD16" s="21">
        <f>Sheet1!BG17</f>
        <v>0</v>
      </c>
      <c r="AE16" s="21">
        <f>Sheet1!BI17</f>
        <v>2</v>
      </c>
      <c r="AF16" s="21" t="str">
        <f>Sheet1!BK17</f>
        <v>NA</v>
      </c>
      <c r="AG16" s="21" t="str">
        <f>Sheet1!BM17</f>
        <v>NA</v>
      </c>
      <c r="AH16" s="21" t="str">
        <f>Sheet1!BO17</f>
        <v>NA</v>
      </c>
      <c r="AI16" s="21" t="str">
        <f>Sheet1!BQ17</f>
        <v>NA</v>
      </c>
      <c r="AJ16" s="21" t="str">
        <f>Sheet1!BS17</f>
        <v>NA</v>
      </c>
      <c r="AK16" s="21" t="str">
        <f>Sheet1!BU17</f>
        <v>NA</v>
      </c>
      <c r="AL16" s="21" t="str">
        <f>Sheet1!BQ17</f>
        <v>NA</v>
      </c>
      <c r="AM16" s="21" t="str">
        <f>Sheet1!BY17</f>
        <v>NA</v>
      </c>
      <c r="AN16" s="21" t="str">
        <f>Sheet1!CA17</f>
        <v>NA</v>
      </c>
      <c r="AO16" s="21" t="str">
        <f>Sheet1!CC17</f>
        <v>NA</v>
      </c>
      <c r="AP16" s="21" t="str">
        <f>Sheet1!CE17</f>
        <v>NA</v>
      </c>
      <c r="AQ16" s="21" t="str">
        <f>Sheet1!CG17</f>
        <v>NA</v>
      </c>
      <c r="AR16" s="21" t="str">
        <f>Sheet1!CI17</f>
        <v>NA</v>
      </c>
      <c r="AS16" s="21" t="str">
        <f>Sheet1!CK17</f>
        <v>NA</v>
      </c>
      <c r="AT16" s="21" t="str">
        <f>Sheet1!CM17</f>
        <v>NA</v>
      </c>
      <c r="AU16" s="21" t="str">
        <f>Sheet1!CO17</f>
        <v>NA</v>
      </c>
      <c r="AV16" s="21" t="str">
        <f>Sheet1!CQ17</f>
        <v>yes - NS</v>
      </c>
      <c r="AW16" s="21" t="str">
        <f>Sheet1!CS17</f>
        <v>NS</v>
      </c>
      <c r="AX16" s="21" t="str">
        <f>Sheet1!CU17</f>
        <v>yes - NS</v>
      </c>
      <c r="AY16" s="21" t="str">
        <f>Sheet1!CW17</f>
        <v>NS</v>
      </c>
      <c r="AZ16" s="21" t="str">
        <f>Sheet1!CY17</f>
        <v>NS</v>
      </c>
      <c r="BA16" s="21" t="str">
        <f>Sheet1!DA17</f>
        <v>all</v>
      </c>
      <c r="BB16" s="21" t="str">
        <f>Sheet1!DC17</f>
        <v>NS</v>
      </c>
      <c r="BC16" s="21" t="str">
        <f>Sheet1!DE17</f>
        <v>NS</v>
      </c>
      <c r="BD16" s="21" t="str">
        <f>Sheet1!DG17</f>
        <v>NS</v>
      </c>
      <c r="BE16" s="21" t="str">
        <f>Sheet1!DI17</f>
        <v>yes - NS</v>
      </c>
      <c r="BF16" s="21" t="str">
        <f>Sheet1!DK17</f>
        <v>NS</v>
      </c>
      <c r="BG16" s="21" t="str">
        <f>Sheet1!DM17</f>
        <v>NS</v>
      </c>
      <c r="BH16" s="21" t="str">
        <f>Sheet1!DO17</f>
        <v>all</v>
      </c>
      <c r="BI16" s="21" t="str">
        <f>Sheet1!DQ17</f>
        <v>NS</v>
      </c>
      <c r="BJ16" s="21" t="str">
        <f>Sheet1!DS17</f>
        <v>disorder</v>
      </c>
      <c r="BK16" s="21" t="str">
        <f>Sheet1!DU17</f>
        <v>Clinical Assessment</v>
      </c>
      <c r="BL16" s="21" t="str">
        <f>Sheet1!DW17</f>
        <v>DSM-IV</v>
      </c>
      <c r="BM16" s="21">
        <f>Sheet1!ES17</f>
        <v>10</v>
      </c>
    </row>
    <row r="17" spans="1:66" ht="15.75" customHeight="1" x14ac:dyDescent="0.2">
      <c r="A17" s="21" t="str">
        <f>Sheet1!A18</f>
        <v>Marques</v>
      </c>
      <c r="B17" s="21">
        <f>Sheet1!B18</f>
        <v>2020</v>
      </c>
      <c r="C17" s="21" t="str">
        <f>_xlfn.CONCAT(data!A17," ",data!B17)</f>
        <v>Marques 2020</v>
      </c>
      <c r="D17" s="21">
        <f>Sheet1!C18</f>
        <v>119</v>
      </c>
      <c r="E17" s="21">
        <f>Sheet1!E18</f>
        <v>81</v>
      </c>
      <c r="F17" s="21" t="str">
        <f>Sheet1!G18</f>
        <v>NS</v>
      </c>
      <c r="G17" s="21" t="str">
        <f>Sheet1!I18</f>
        <v>NS</v>
      </c>
      <c r="H17" s="21">
        <f>Sheet1!K18</f>
        <v>47</v>
      </c>
      <c r="I17" s="21">
        <f>Sheet1!M18</f>
        <v>0</v>
      </c>
      <c r="J17" s="21">
        <f>Sheet1!O18</f>
        <v>200</v>
      </c>
      <c r="K17" s="21">
        <f>Sheet1!Q18</f>
        <v>0</v>
      </c>
      <c r="L17" s="21">
        <f>Sheet1!S18</f>
        <v>0</v>
      </c>
      <c r="M17" s="21">
        <f>Sheet1!U18</f>
        <v>0</v>
      </c>
      <c r="N17" s="21">
        <f>Sheet1!W18</f>
        <v>200</v>
      </c>
      <c r="O17" s="21">
        <f>Sheet1!Y18</f>
        <v>0</v>
      </c>
      <c r="P17" s="21">
        <f>Sheet1!AA18</f>
        <v>0</v>
      </c>
      <c r="Q17" s="21" t="str">
        <f>Sheet1!AC18</f>
        <v>inpat_psych</v>
      </c>
      <c r="R17" s="21" t="str">
        <f>Sheet1!AF18</f>
        <v>euro</v>
      </c>
      <c r="S17" s="21" t="str">
        <f>Sheet1!AI18</f>
        <v>no</v>
      </c>
      <c r="T17" s="21" t="str">
        <f>Sheet1!AK18</f>
        <v>no</v>
      </c>
      <c r="U17" s="21" t="str">
        <f>Sheet1!AO18</f>
        <v>NS</v>
      </c>
      <c r="V17" s="21" t="str">
        <f>Sheet1!AQ18</f>
        <v>NS</v>
      </c>
      <c r="W17" s="21" t="str">
        <f>Sheet1!AS18</f>
        <v>NS</v>
      </c>
      <c r="X17" s="21" t="str">
        <f>Sheet1!AU18</f>
        <v>NS</v>
      </c>
      <c r="Y17" s="21" t="str">
        <f>Sheet1!AW18</f>
        <v>NS</v>
      </c>
      <c r="Z17" s="21">
        <f>Sheet1!AY18</f>
        <v>200</v>
      </c>
      <c r="AA17" s="21">
        <f>Sheet1!BA18</f>
        <v>50</v>
      </c>
      <c r="AB17" s="21" t="str">
        <f>Sheet1!BC18</f>
        <v>multiple</v>
      </c>
      <c r="AC17" s="21">
        <f>Sheet1!BE18</f>
        <v>50</v>
      </c>
      <c r="AD17" s="21">
        <f>Sheet1!BG18</f>
        <v>0</v>
      </c>
      <c r="AE17" s="21">
        <f>Sheet1!BI18</f>
        <v>1</v>
      </c>
      <c r="AF17" s="21">
        <f>Sheet1!BK18</f>
        <v>0</v>
      </c>
      <c r="AG17" s="21">
        <f>Sheet1!BM18</f>
        <v>0</v>
      </c>
      <c r="AH17" s="21">
        <f>Sheet1!BO18</f>
        <v>0</v>
      </c>
      <c r="AI17" s="21">
        <f>Sheet1!BQ18</f>
        <v>4</v>
      </c>
      <c r="AJ17" s="21">
        <f>Sheet1!BS18</f>
        <v>7</v>
      </c>
      <c r="AK17" s="21">
        <f>Sheet1!BU18</f>
        <v>0</v>
      </c>
      <c r="AL17" s="21">
        <f>Sheet1!BQ18</f>
        <v>4</v>
      </c>
      <c r="AM17" s="21">
        <f>Sheet1!BY18</f>
        <v>0</v>
      </c>
      <c r="AN17" s="21">
        <f>Sheet1!CA18</f>
        <v>19</v>
      </c>
      <c r="AO17" s="21">
        <f>Sheet1!CC18</f>
        <v>0</v>
      </c>
      <c r="AP17" s="21">
        <f>Sheet1!CE18</f>
        <v>19</v>
      </c>
      <c r="AQ17" s="21">
        <f>Sheet1!CG18</f>
        <v>0</v>
      </c>
      <c r="AR17" s="21">
        <f>Sheet1!CI18</f>
        <v>0</v>
      </c>
      <c r="AS17" s="21">
        <f>Sheet1!CK18</f>
        <v>0</v>
      </c>
      <c r="AT17" s="21">
        <f>Sheet1!CM18</f>
        <v>0</v>
      </c>
      <c r="AU17" s="21">
        <f>Sheet1!CO18</f>
        <v>0</v>
      </c>
      <c r="AV17" s="21" t="str">
        <f>Sheet1!CQ18</f>
        <v>NS</v>
      </c>
      <c r="AW17" s="21" t="str">
        <f>Sheet1!CS18</f>
        <v>all</v>
      </c>
      <c r="AX17" s="21">
        <f>Sheet1!CU18</f>
        <v>0</v>
      </c>
      <c r="AY17" s="21" t="str">
        <f>Sheet1!CW18</f>
        <v>all</v>
      </c>
      <c r="AZ17" s="21">
        <f>Sheet1!CY18</f>
        <v>0</v>
      </c>
      <c r="BA17" s="21" t="str">
        <f>Sheet1!DA18</f>
        <v>all</v>
      </c>
      <c r="BB17" s="21" t="str">
        <f>Sheet1!DC18</f>
        <v>all</v>
      </c>
      <c r="BC17" s="21" t="str">
        <f>Sheet1!DE18</f>
        <v>all</v>
      </c>
      <c r="BD17" s="21" t="str">
        <f>Sheet1!DG18</f>
        <v>NS</v>
      </c>
      <c r="BE17" s="21" t="str">
        <f>Sheet1!DI18</f>
        <v>NS</v>
      </c>
      <c r="BF17" s="21" t="str">
        <f>Sheet1!DK18</f>
        <v>all</v>
      </c>
      <c r="BG17" s="21" t="str">
        <f>Sheet1!DM18</f>
        <v>NS</v>
      </c>
      <c r="BH17" s="21" t="str">
        <f>Sheet1!DO18</f>
        <v>NS</v>
      </c>
      <c r="BI17" s="21" t="str">
        <f>Sheet1!DQ18</f>
        <v>NS</v>
      </c>
      <c r="BJ17" s="21" t="str">
        <f>Sheet1!DS18</f>
        <v>disorder</v>
      </c>
      <c r="BK17" s="21" t="str">
        <f>Sheet1!DU18</f>
        <v>Clinical Assessment</v>
      </c>
      <c r="BL17" s="21" t="str">
        <f>Sheet1!DW18</f>
        <v>ICD-9</v>
      </c>
      <c r="BM17" s="21">
        <f>Sheet1!ES18</f>
        <v>10</v>
      </c>
    </row>
    <row r="18" spans="1:66" ht="15.75" customHeight="1" x14ac:dyDescent="0.2">
      <c r="A18" s="21" t="str">
        <f>Sheet1!A19</f>
        <v>Mauri</v>
      </c>
      <c r="B18" s="21">
        <f>Sheet1!B19</f>
        <v>2017</v>
      </c>
      <c r="C18" s="21" t="str">
        <f>_xlfn.CONCAT(data!A18," ",data!B18)</f>
        <v>Mauri 2017</v>
      </c>
      <c r="D18" s="21">
        <f>Sheet1!C19</f>
        <v>43</v>
      </c>
      <c r="E18" s="21">
        <f>Sheet1!E19</f>
        <v>5</v>
      </c>
      <c r="F18" s="21" t="str">
        <f>Sheet1!G19</f>
        <v>NS</v>
      </c>
      <c r="G18" s="21" t="str">
        <f>Sheet1!I19</f>
        <v>NS</v>
      </c>
      <c r="H18" s="21">
        <f>Sheet1!K19</f>
        <v>25.6</v>
      </c>
      <c r="I18" s="21" t="str">
        <f>Sheet1!M19</f>
        <v>NS</v>
      </c>
      <c r="J18" s="21" t="str">
        <f>Sheet1!O19</f>
        <v>NS</v>
      </c>
      <c r="K18" s="21" t="str">
        <f>Sheet1!Q19</f>
        <v>NS</v>
      </c>
      <c r="L18" s="21" t="str">
        <f>Sheet1!S19</f>
        <v>NS</v>
      </c>
      <c r="M18" s="21">
        <f>Sheet1!U19</f>
        <v>0</v>
      </c>
      <c r="N18" s="21">
        <f>Sheet1!W19</f>
        <v>48</v>
      </c>
      <c r="O18" s="21">
        <f>Sheet1!Y19</f>
        <v>0</v>
      </c>
      <c r="P18" s="21">
        <f>Sheet1!AA19</f>
        <v>0</v>
      </c>
      <c r="Q18" s="21" t="str">
        <f>Sheet1!AC19</f>
        <v>inpat_psych</v>
      </c>
      <c r="R18" s="21" t="str">
        <f>Sheet1!AF19</f>
        <v>euro</v>
      </c>
      <c r="S18" s="21" t="str">
        <f>Sheet1!AI19</f>
        <v>yes</v>
      </c>
      <c r="T18" s="21" t="str">
        <f>Sheet1!AK19</f>
        <v>yes</v>
      </c>
      <c r="U18" s="21">
        <f>Sheet1!AO19</f>
        <v>0</v>
      </c>
      <c r="V18" s="21">
        <f>Sheet1!AQ19</f>
        <v>0</v>
      </c>
      <c r="W18" s="21" t="str">
        <f>Sheet1!AS19</f>
        <v>NS</v>
      </c>
      <c r="X18" s="21" t="str">
        <f>Sheet1!AU19</f>
        <v>NS</v>
      </c>
      <c r="Y18" s="21" t="str">
        <f>Sheet1!AW19</f>
        <v>NS</v>
      </c>
      <c r="Z18" s="21">
        <f>Sheet1!AY19</f>
        <v>48</v>
      </c>
      <c r="AA18" s="21">
        <f>Sheet1!BA19</f>
        <v>23</v>
      </c>
      <c r="AB18" s="21" t="str">
        <f>Sheet1!BC19</f>
        <v>single</v>
      </c>
      <c r="AC18" s="21">
        <f>Sheet1!BE19</f>
        <v>0</v>
      </c>
      <c r="AD18" s="21">
        <f>Sheet1!BG19</f>
        <v>23</v>
      </c>
      <c r="AE18" s="21" t="str">
        <f>Sheet1!BI19</f>
        <v>NA</v>
      </c>
      <c r="AF18" s="21" t="str">
        <f>Sheet1!BK19</f>
        <v>NA</v>
      </c>
      <c r="AG18" s="21">
        <f>Sheet1!BM19</f>
        <v>23</v>
      </c>
      <c r="AH18" s="21" t="str">
        <f>Sheet1!BO19</f>
        <v>NA</v>
      </c>
      <c r="AI18" s="21" t="str">
        <f>Sheet1!BQ19</f>
        <v>NA</v>
      </c>
      <c r="AJ18" s="21" t="str">
        <f>Sheet1!BS19</f>
        <v>NA</v>
      </c>
      <c r="AK18" s="21" t="str">
        <f>Sheet1!BU19</f>
        <v>NA</v>
      </c>
      <c r="AL18" s="21" t="str">
        <f>Sheet1!BQ19</f>
        <v>NA</v>
      </c>
      <c r="AM18" s="21" t="str">
        <f>Sheet1!BY19</f>
        <v>NA</v>
      </c>
      <c r="AN18" s="21" t="str">
        <f>Sheet1!CA19</f>
        <v>NA</v>
      </c>
      <c r="AO18" s="21" t="str">
        <f>Sheet1!CC19</f>
        <v>NA</v>
      </c>
      <c r="AP18" s="21" t="str">
        <f>Sheet1!CE19</f>
        <v>NA</v>
      </c>
      <c r="AQ18" s="21" t="str">
        <f>Sheet1!CG19</f>
        <v>NA</v>
      </c>
      <c r="AR18" s="21" t="str">
        <f>Sheet1!CI19</f>
        <v>NA</v>
      </c>
      <c r="AS18" s="21" t="str">
        <f>Sheet1!CK19</f>
        <v>NA</v>
      </c>
      <c r="AT18" s="21" t="str">
        <f>Sheet1!CM19</f>
        <v>NA</v>
      </c>
      <c r="AU18" s="21" t="str">
        <f>Sheet1!CO19</f>
        <v>NA</v>
      </c>
      <c r="AV18" s="21" t="str">
        <f>Sheet1!CQ19</f>
        <v>NS</v>
      </c>
      <c r="AW18" s="21" t="str">
        <f>Sheet1!CS19</f>
        <v>NS</v>
      </c>
      <c r="AX18" s="21" t="str">
        <f>Sheet1!CU19</f>
        <v>NS</v>
      </c>
      <c r="AY18" s="21" t="str">
        <f>Sheet1!CW19</f>
        <v>NS</v>
      </c>
      <c r="AZ18" s="21" t="str">
        <f>Sheet1!CY19</f>
        <v>NS</v>
      </c>
      <c r="BA18" s="21" t="str">
        <f>Sheet1!DA19</f>
        <v>NS</v>
      </c>
      <c r="BB18" s="21" t="str">
        <f>Sheet1!DC19</f>
        <v>some</v>
      </c>
      <c r="BC18" s="21" t="str">
        <f>Sheet1!DE19</f>
        <v>all</v>
      </c>
      <c r="BD18" s="21" t="str">
        <f>Sheet1!DG19</f>
        <v>NS</v>
      </c>
      <c r="BE18" s="21" t="str">
        <f>Sheet1!DI19</f>
        <v>NS</v>
      </c>
      <c r="BF18" s="21" t="str">
        <f>Sheet1!DK19</f>
        <v>NS</v>
      </c>
      <c r="BG18" s="21" t="str">
        <f>Sheet1!DM19</f>
        <v>NS</v>
      </c>
      <c r="BH18" s="21" t="str">
        <f>Sheet1!DO19</f>
        <v>NS</v>
      </c>
      <c r="BI18" s="21" t="str">
        <f>Sheet1!DQ19</f>
        <v>NS</v>
      </c>
      <c r="BJ18" s="21" t="str">
        <f>Sheet1!DS19</f>
        <v>disorder</v>
      </c>
      <c r="BK18" s="21" t="str">
        <f>Sheet1!DU19</f>
        <v>BPRS</v>
      </c>
      <c r="BL18" s="21" t="str">
        <f>Sheet1!DW19</f>
        <v>DSM-IV</v>
      </c>
      <c r="BM18" s="21">
        <f>Sheet1!ES19</f>
        <v>9</v>
      </c>
    </row>
    <row r="19" spans="1:66" s="97" customFormat="1" ht="15.75" customHeight="1" x14ac:dyDescent="0.2">
      <c r="A19" s="96" t="str">
        <f>Sheet1!A20</f>
        <v>Misselbrook</v>
      </c>
      <c r="B19" s="96" t="str">
        <f>Sheet1!B20</f>
        <v>2017 </v>
      </c>
      <c r="C19" s="96" t="str">
        <f>_xlfn.CONCAT(data!A19," ",data!B19)</f>
        <v>Misselbrook 2017 </v>
      </c>
      <c r="D19" s="96" t="str">
        <f>Sheet1!C20</f>
        <v>NS</v>
      </c>
      <c r="E19" s="96" t="str">
        <f>Sheet1!E20</f>
        <v>NS</v>
      </c>
      <c r="F19" s="96" t="str">
        <f>Sheet1!G20</f>
        <v>NS</v>
      </c>
      <c r="G19" s="96" t="str">
        <f>Sheet1!I20</f>
        <v>NS</v>
      </c>
      <c r="H19" s="96" t="str">
        <f>Sheet1!K20</f>
        <v>NS</v>
      </c>
      <c r="I19" s="96" t="str">
        <f>Sheet1!M20</f>
        <v>NS</v>
      </c>
      <c r="J19" s="96" t="str">
        <f>Sheet1!O20</f>
        <v>NS</v>
      </c>
      <c r="K19" s="96" t="str">
        <f>Sheet1!Q20</f>
        <v>NS</v>
      </c>
      <c r="L19" s="96" t="str">
        <f>Sheet1!S20</f>
        <v>NS</v>
      </c>
      <c r="M19" s="96" t="str">
        <f>Sheet1!U20</f>
        <v>NS</v>
      </c>
      <c r="N19" s="96">
        <f>Sheet1!W20</f>
        <v>18297</v>
      </c>
      <c r="O19" s="96" t="str">
        <f>Sheet1!Y20</f>
        <v>NS</v>
      </c>
      <c r="P19" s="96" t="str">
        <f>Sheet1!AA20</f>
        <v>NS</v>
      </c>
      <c r="Q19" s="96" t="str">
        <f>Sheet1!AC20</f>
        <v>mixture</v>
      </c>
      <c r="R19" s="96" t="str">
        <f>Sheet1!AF20</f>
        <v>euro</v>
      </c>
      <c r="S19" s="96" t="str">
        <f>Sheet1!AI20</f>
        <v>no</v>
      </c>
      <c r="T19" s="96" t="str">
        <f>Sheet1!AK20</f>
        <v>no</v>
      </c>
      <c r="U19" s="96" t="str">
        <f>Sheet1!AO20</f>
        <v>NS</v>
      </c>
      <c r="V19" s="96" t="str">
        <f>Sheet1!AQ20</f>
        <v>NS</v>
      </c>
      <c r="W19" s="96" t="str">
        <f>Sheet1!AS20</f>
        <v>NS</v>
      </c>
      <c r="X19" s="96" t="str">
        <f>Sheet1!AU20</f>
        <v>NS</v>
      </c>
      <c r="Y19" s="96" t="str">
        <f>Sheet1!AW20</f>
        <v>NS</v>
      </c>
      <c r="Z19" s="96">
        <f>Sheet1!AY20</f>
        <v>18297</v>
      </c>
      <c r="AA19" s="96">
        <f>Sheet1!BA20</f>
        <v>553</v>
      </c>
      <c r="AB19" s="96" t="str">
        <f>Sheet1!BC20</f>
        <v>multiple</v>
      </c>
      <c r="AC19" s="96">
        <f>Sheet1!BE20</f>
        <v>553</v>
      </c>
      <c r="AD19" s="96">
        <f>Sheet1!BG20</f>
        <v>0</v>
      </c>
      <c r="AE19" s="96" t="str">
        <f>Sheet1!BI20</f>
        <v>NS</v>
      </c>
      <c r="AF19" s="96" t="str">
        <f>Sheet1!BK20</f>
        <v>NS</v>
      </c>
      <c r="AG19" s="96" t="str">
        <f>Sheet1!BM20</f>
        <v>NS</v>
      </c>
      <c r="AH19" s="96" t="str">
        <f>Sheet1!BO20</f>
        <v>NS</v>
      </c>
      <c r="AI19" s="96" t="str">
        <f>Sheet1!BQ20</f>
        <v>NS</v>
      </c>
      <c r="AJ19" s="96" t="str">
        <f>Sheet1!BS20</f>
        <v>NS</v>
      </c>
      <c r="AK19" s="96" t="str">
        <f>Sheet1!BU20</f>
        <v>NS</v>
      </c>
      <c r="AL19" s="96" t="str">
        <f>Sheet1!BQ20</f>
        <v>NS</v>
      </c>
      <c r="AM19" s="96" t="str">
        <f>Sheet1!BY20</f>
        <v>NS</v>
      </c>
      <c r="AN19" s="96" t="str">
        <f>Sheet1!CA20</f>
        <v>NS</v>
      </c>
      <c r="AO19" s="96" t="str">
        <f>Sheet1!CC20</f>
        <v>NS</v>
      </c>
      <c r="AP19" s="96" t="str">
        <f>Sheet1!CE20</f>
        <v>NS</v>
      </c>
      <c r="AQ19" s="96" t="str">
        <f>Sheet1!CG20</f>
        <v>NS</v>
      </c>
      <c r="AR19" s="96" t="str">
        <f>Sheet1!CI20</f>
        <v>NS</v>
      </c>
      <c r="AS19" s="96" t="str">
        <f>Sheet1!CK20</f>
        <v>NS</v>
      </c>
      <c r="AT19" s="96" t="str">
        <f>Sheet1!CM20</f>
        <v>NS</v>
      </c>
      <c r="AU19" s="96">
        <f>Sheet1!CO20</f>
        <v>553</v>
      </c>
      <c r="AV19" s="96" t="str">
        <f>Sheet1!CQ20</f>
        <v>NS</v>
      </c>
      <c r="AW19" s="96" t="str">
        <f>Sheet1!CS20</f>
        <v>NS</v>
      </c>
      <c r="AX19" s="96" t="str">
        <f>Sheet1!CU20</f>
        <v>NS</v>
      </c>
      <c r="AY19" s="96" t="str">
        <f>Sheet1!CW20</f>
        <v>NS</v>
      </c>
      <c r="AZ19" s="96" t="str">
        <f>Sheet1!CY20</f>
        <v>NS</v>
      </c>
      <c r="BA19" s="96" t="str">
        <f>Sheet1!DA20</f>
        <v>NS</v>
      </c>
      <c r="BB19" s="96" t="str">
        <f>Sheet1!DC20</f>
        <v>NS</v>
      </c>
      <c r="BC19" s="96" t="str">
        <f>Sheet1!DE20</f>
        <v>NS</v>
      </c>
      <c r="BD19" s="96" t="str">
        <f>Sheet1!DG20</f>
        <v>NS</v>
      </c>
      <c r="BE19" s="96" t="str">
        <f>Sheet1!DI20</f>
        <v>NS</v>
      </c>
      <c r="BF19" s="96" t="str">
        <f>Sheet1!DK20</f>
        <v>NS</v>
      </c>
      <c r="BG19" s="96" t="str">
        <f>Sheet1!DM20</f>
        <v>NS</v>
      </c>
      <c r="BH19" s="96" t="str">
        <f>Sheet1!DO20</f>
        <v>NS</v>
      </c>
      <c r="BI19" s="96" t="str">
        <f>Sheet1!DQ20</f>
        <v>NS</v>
      </c>
      <c r="BJ19" s="96" t="s">
        <v>305</v>
      </c>
      <c r="BK19" s="96" t="str">
        <f>Sheet1!DU20</f>
        <v>NS</v>
      </c>
      <c r="BL19" s="96" t="s">
        <v>104</v>
      </c>
      <c r="BM19" s="96">
        <f>Sheet1!ES20</f>
        <v>9</v>
      </c>
    </row>
    <row r="20" spans="1:66" ht="15.75" customHeight="1" x14ac:dyDescent="0.2">
      <c r="A20" s="21" t="str">
        <f>Sheet1!A21</f>
        <v>Muhrer</v>
      </c>
      <c r="B20" s="21">
        <f>Sheet1!B21</f>
        <v>2022</v>
      </c>
      <c r="C20" s="21" t="str">
        <f>_xlfn.CONCAT(data!A20," ",data!B20)</f>
        <v>Muhrer 2022</v>
      </c>
      <c r="D20" s="21">
        <f>Sheet1!C21</f>
        <v>65</v>
      </c>
      <c r="E20" s="21">
        <f>Sheet1!E21</f>
        <v>65</v>
      </c>
      <c r="F20" s="21" t="str">
        <f>Sheet1!G21</f>
        <v>NS</v>
      </c>
      <c r="G20" s="21" t="str">
        <f>Sheet1!I21</f>
        <v>NS</v>
      </c>
      <c r="H20" s="21">
        <f>Sheet1!K21</f>
        <v>15</v>
      </c>
      <c r="I20" s="21">
        <f>Sheet1!M21</f>
        <v>60</v>
      </c>
      <c r="J20" s="21">
        <f>Sheet1!O21</f>
        <v>41</v>
      </c>
      <c r="K20" s="21">
        <f>Sheet1!Q21</f>
        <v>8</v>
      </c>
      <c r="L20" s="21">
        <f>Sheet1!S21</f>
        <v>22</v>
      </c>
      <c r="M20" s="21">
        <f>Sheet1!U21</f>
        <v>131</v>
      </c>
      <c r="N20" s="21">
        <f>Sheet1!W21</f>
        <v>0</v>
      </c>
      <c r="O20" s="21">
        <f>Sheet1!Y21</f>
        <v>0</v>
      </c>
      <c r="P20" s="21">
        <f>Sheet1!AA21</f>
        <v>0</v>
      </c>
      <c r="Q20" s="21" t="str">
        <f>Sheet1!AC21</f>
        <v>gen_hospital</v>
      </c>
      <c r="R20" s="21" t="str">
        <f>Sheet1!AF21</f>
        <v>n_am</v>
      </c>
      <c r="S20" s="21" t="str">
        <f>Sheet1!AI21</f>
        <v>no</v>
      </c>
      <c r="T20" s="21" t="str">
        <f>Sheet1!AK21</f>
        <v>yes</v>
      </c>
      <c r="U20" s="21">
        <f>Sheet1!AO21</f>
        <v>0</v>
      </c>
      <c r="V20" s="21">
        <f>Sheet1!AQ21</f>
        <v>0</v>
      </c>
      <c r="W20" s="21" t="str">
        <f>Sheet1!AS21</f>
        <v>NS</v>
      </c>
      <c r="X20" s="21" t="str">
        <f>Sheet1!AU21</f>
        <v>NS</v>
      </c>
      <c r="Y20" s="21" t="str">
        <f>Sheet1!AW21</f>
        <v>NS</v>
      </c>
      <c r="Z20" s="21">
        <f>Sheet1!AY21</f>
        <v>131</v>
      </c>
      <c r="AA20" s="21">
        <f>Sheet1!BA21</f>
        <v>14</v>
      </c>
      <c r="AB20" s="21" t="str">
        <f>Sheet1!BC21</f>
        <v>multiple</v>
      </c>
      <c r="AC20" s="21">
        <f>Sheet1!BE21</f>
        <v>1</v>
      </c>
      <c r="AD20" s="21">
        <f>Sheet1!BG21</f>
        <v>13</v>
      </c>
      <c r="AE20" s="21">
        <f>Sheet1!BI21</f>
        <v>1</v>
      </c>
      <c r="AF20" s="21">
        <f>Sheet1!BK21</f>
        <v>0</v>
      </c>
      <c r="AG20" s="21">
        <f>Sheet1!BM21</f>
        <v>12</v>
      </c>
      <c r="AH20" s="21">
        <f>Sheet1!BO21</f>
        <v>1</v>
      </c>
      <c r="AI20" s="21">
        <f>Sheet1!BQ21</f>
        <v>0</v>
      </c>
      <c r="AJ20" s="21">
        <f>Sheet1!BS21</f>
        <v>0</v>
      </c>
      <c r="AK20" s="21">
        <f>Sheet1!BU21</f>
        <v>0</v>
      </c>
      <c r="AL20" s="21">
        <f>Sheet1!BQ21</f>
        <v>0</v>
      </c>
      <c r="AM20" s="21">
        <f>Sheet1!BY21</f>
        <v>0</v>
      </c>
      <c r="AN20" s="21">
        <f>Sheet1!CA21</f>
        <v>0</v>
      </c>
      <c r="AO20" s="21">
        <f>Sheet1!CC21</f>
        <v>0</v>
      </c>
      <c r="AP20" s="21">
        <f>Sheet1!CE21</f>
        <v>0</v>
      </c>
      <c r="AQ20" s="21">
        <f>Sheet1!CG21</f>
        <v>0</v>
      </c>
      <c r="AR20" s="21">
        <f>Sheet1!CI21</f>
        <v>0</v>
      </c>
      <c r="AS20" s="21">
        <f>Sheet1!CK21</f>
        <v>0</v>
      </c>
      <c r="AT20" s="21">
        <f>Sheet1!CM21</f>
        <v>0</v>
      </c>
      <c r="AU20" s="21">
        <f>Sheet1!CO21</f>
        <v>0</v>
      </c>
      <c r="AV20" s="21" t="str">
        <f>Sheet1!CQ21</f>
        <v>some</v>
      </c>
      <c r="AW20" s="21" t="str">
        <f>Sheet1!CS21</f>
        <v>some</v>
      </c>
      <c r="AX20" s="21" t="str">
        <f>Sheet1!CU21</f>
        <v>NS</v>
      </c>
      <c r="AY20" s="21" t="str">
        <f>Sheet1!CW21</f>
        <v>some</v>
      </c>
      <c r="AZ20" s="21" t="str">
        <f>Sheet1!CY21</f>
        <v>some</v>
      </c>
      <c r="BA20" s="21" t="str">
        <f>Sheet1!DA21</f>
        <v>some</v>
      </c>
      <c r="BB20" s="21" t="str">
        <f>Sheet1!DC21</f>
        <v>some</v>
      </c>
      <c r="BC20" s="21" t="str">
        <f>Sheet1!DE21</f>
        <v>ns</v>
      </c>
      <c r="BD20" s="21" t="str">
        <f>Sheet1!DG21</f>
        <v>NS</v>
      </c>
      <c r="BE20" s="21" t="str">
        <f>Sheet1!DI21</f>
        <v>some</v>
      </c>
      <c r="BF20" s="21" t="str">
        <f>Sheet1!DK21</f>
        <v>some</v>
      </c>
      <c r="BG20" s="21" t="str">
        <f>Sheet1!DM21</f>
        <v>ns</v>
      </c>
      <c r="BH20" s="21" t="str">
        <f>Sheet1!DO21</f>
        <v>NS</v>
      </c>
      <c r="BI20" s="21" t="str">
        <f>Sheet1!DQ21</f>
        <v>NS</v>
      </c>
      <c r="BJ20" s="21" t="str">
        <f>Sheet1!DS21</f>
        <v>disorder</v>
      </c>
      <c r="BK20" s="21" t="str">
        <f>Sheet1!DU21</f>
        <v>NS</v>
      </c>
      <c r="BL20" s="21" t="str">
        <f>Sheet1!DW21</f>
        <v>ICD-10</v>
      </c>
      <c r="BM20" s="21">
        <f>Sheet1!ES21</f>
        <v>10</v>
      </c>
      <c r="BN20" s="23" t="s">
        <v>342</v>
      </c>
    </row>
    <row r="21" spans="1:66" ht="15.75" customHeight="1" x14ac:dyDescent="0.2">
      <c r="A21" s="21" t="str">
        <f>Sheet1!A22</f>
        <v>Nkire</v>
      </c>
      <c r="B21" s="21">
        <f>Sheet1!B22</f>
        <v>2021</v>
      </c>
      <c r="C21" s="21" t="str">
        <f>_xlfn.CONCAT(data!A21," ",data!B21)</f>
        <v>Nkire 2021</v>
      </c>
      <c r="D21" s="21">
        <f>Sheet1!C22</f>
        <v>249</v>
      </c>
      <c r="E21" s="21">
        <f>Sheet1!E22</f>
        <v>183</v>
      </c>
      <c r="F21" s="21" t="str">
        <f>Sheet1!G22</f>
        <v>NS</v>
      </c>
      <c r="G21" s="21" t="str">
        <f>Sheet1!I22</f>
        <v>NS</v>
      </c>
      <c r="H21" s="21">
        <f>Sheet1!K22</f>
        <v>38.299999999999997</v>
      </c>
      <c r="I21" s="21" t="str">
        <f>Sheet1!M22</f>
        <v>NS</v>
      </c>
      <c r="J21" s="21" t="str">
        <f>Sheet1!O22</f>
        <v>NS</v>
      </c>
      <c r="K21" s="21" t="str">
        <f>Sheet1!Q22</f>
        <v>NS</v>
      </c>
      <c r="L21" s="21" t="str">
        <f>Sheet1!S22</f>
        <v>NS</v>
      </c>
      <c r="M21" s="21">
        <f>Sheet1!U22</f>
        <v>0</v>
      </c>
      <c r="N21" s="21">
        <f>Sheet1!W22</f>
        <v>8</v>
      </c>
      <c r="O21" s="21">
        <f>Sheet1!Y22</f>
        <v>424</v>
      </c>
      <c r="P21" s="21">
        <f>Sheet1!AA22</f>
        <v>0</v>
      </c>
      <c r="Q21" s="21" t="str">
        <f>Sheet1!AC22</f>
        <v>mixture</v>
      </c>
      <c r="R21" s="21" t="str">
        <f>Sheet1!AF22</f>
        <v>euro</v>
      </c>
      <c r="S21" s="21" t="str">
        <f>Sheet1!AI22</f>
        <v>yes</v>
      </c>
      <c r="T21" s="21" t="str">
        <f>Sheet1!AK22</f>
        <v>yes</v>
      </c>
      <c r="U21" s="21">
        <f>Sheet1!AO22</f>
        <v>0</v>
      </c>
      <c r="V21" s="21">
        <f>Sheet1!AQ22</f>
        <v>0</v>
      </c>
      <c r="W21" s="21" t="str">
        <f>Sheet1!AS22</f>
        <v>NS</v>
      </c>
      <c r="X21" s="21" t="str">
        <f>Sheet1!AU22</f>
        <v>NS</v>
      </c>
      <c r="Y21" s="21" t="str">
        <f>Sheet1!AW22</f>
        <v>NS</v>
      </c>
      <c r="Z21" s="21">
        <f>Sheet1!AY22</f>
        <v>432</v>
      </c>
      <c r="AA21" s="21">
        <f>Sheet1!BA22</f>
        <v>38</v>
      </c>
      <c r="AB21" s="21" t="str">
        <f>Sheet1!BC22</f>
        <v>multiple</v>
      </c>
      <c r="AC21" s="21">
        <f>Sheet1!BE22</f>
        <v>13</v>
      </c>
      <c r="AD21" s="21">
        <f>Sheet1!BG22</f>
        <v>25</v>
      </c>
      <c r="AE21" s="21" t="str">
        <f>Sheet1!BI22</f>
        <v>NA</v>
      </c>
      <c r="AF21" s="21" t="str">
        <f>Sheet1!BK22</f>
        <v>NA</v>
      </c>
      <c r="AG21" s="21">
        <f>Sheet1!BM22</f>
        <v>25</v>
      </c>
      <c r="AH21" s="21" t="str">
        <f>Sheet1!BO22</f>
        <v>NA</v>
      </c>
      <c r="AI21" s="21" t="str">
        <f>Sheet1!BQ22</f>
        <v>NA</v>
      </c>
      <c r="AJ21" s="21" t="str">
        <f>Sheet1!BS22</f>
        <v>NA</v>
      </c>
      <c r="AK21" s="21" t="str">
        <f>Sheet1!BU22</f>
        <v>NA</v>
      </c>
      <c r="AL21" s="21" t="str">
        <f>Sheet1!BQ22</f>
        <v>NA</v>
      </c>
      <c r="AM21" s="21" t="str">
        <f>Sheet1!BY22</f>
        <v>NA</v>
      </c>
      <c r="AN21" s="21" t="str">
        <f>Sheet1!CA22</f>
        <v>NA</v>
      </c>
      <c r="AO21" s="21" t="str">
        <f>Sheet1!CC22</f>
        <v>NA</v>
      </c>
      <c r="AP21" s="21" t="str">
        <f>Sheet1!CE22</f>
        <v>NA</v>
      </c>
      <c r="AQ21" s="21" t="str">
        <f>Sheet1!CG22</f>
        <v>NA</v>
      </c>
      <c r="AR21" s="21" t="str">
        <f>Sheet1!CI22</f>
        <v>NA</v>
      </c>
      <c r="AS21" s="21" t="str">
        <f>Sheet1!CK22</f>
        <v>NA</v>
      </c>
      <c r="AT21" s="21" t="str">
        <f>Sheet1!CM22</f>
        <v>NA</v>
      </c>
      <c r="AU21" s="21">
        <f>Sheet1!CO22</f>
        <v>13</v>
      </c>
      <c r="AV21" s="21" t="str">
        <f>Sheet1!CQ22</f>
        <v>NS</v>
      </c>
      <c r="AW21" s="21" t="str">
        <f>Sheet1!CS22</f>
        <v>NS</v>
      </c>
      <c r="AX21" s="21" t="str">
        <f>Sheet1!CU22</f>
        <v>NS</v>
      </c>
      <c r="AY21" s="21" t="str">
        <f>Sheet1!CW22</f>
        <v>NS</v>
      </c>
      <c r="AZ21" s="21" t="str">
        <f>Sheet1!CY22</f>
        <v>NS</v>
      </c>
      <c r="BA21" s="21" t="str">
        <f>Sheet1!DA22</f>
        <v>NS</v>
      </c>
      <c r="BB21" s="21" t="str">
        <f>Sheet1!DC22</f>
        <v>NS</v>
      </c>
      <c r="BC21" s="21" t="str">
        <f>Sheet1!DE22</f>
        <v>all</v>
      </c>
      <c r="BD21" s="21" t="str">
        <f>Sheet1!DG22</f>
        <v>yes</v>
      </c>
      <c r="BE21" s="21" t="str">
        <f>Sheet1!DI22</f>
        <v>all</v>
      </c>
      <c r="BF21" s="21" t="str">
        <f>Sheet1!DK22</f>
        <v>all</v>
      </c>
      <c r="BG21" s="21" t="str">
        <f>Sheet1!DM22</f>
        <v>yes</v>
      </c>
      <c r="BH21" s="21" t="str">
        <f>Sheet1!DO22</f>
        <v>NS</v>
      </c>
      <c r="BI21" s="21" t="str">
        <f>Sheet1!DQ22</f>
        <v>NS</v>
      </c>
      <c r="BJ21" s="21" t="str">
        <f>Sheet1!DS22</f>
        <v>disorder</v>
      </c>
      <c r="BK21" s="21" t="str">
        <f>Sheet1!DU22</f>
        <v>SCID</v>
      </c>
      <c r="BL21" s="21" t="str">
        <f>Sheet1!DW22</f>
        <v>DSM-IV</v>
      </c>
      <c r="BM21" s="21">
        <f>Sheet1!ES22</f>
        <v>10</v>
      </c>
    </row>
    <row r="22" spans="1:66" ht="15.75" customHeight="1" x14ac:dyDescent="0.2">
      <c r="A22" s="21" t="str">
        <f>Sheet1!A23</f>
        <v>Okewole</v>
      </c>
      <c r="B22" s="21">
        <f>Sheet1!B23</f>
        <v>2016</v>
      </c>
      <c r="C22" s="21" t="str">
        <f>_xlfn.CONCAT(data!A22," ",data!B22)</f>
        <v>Okewole 2016</v>
      </c>
      <c r="D22" s="21">
        <f>Sheet1!C23</f>
        <v>204</v>
      </c>
      <c r="E22" s="21">
        <f>Sheet1!E23</f>
        <v>202</v>
      </c>
      <c r="F22" s="21" t="str">
        <f>Sheet1!G23</f>
        <v>NS</v>
      </c>
      <c r="G22" s="21" t="str">
        <f>Sheet1!I23</f>
        <v>NS</v>
      </c>
      <c r="H22" s="21">
        <f>Sheet1!K23</f>
        <v>15.9</v>
      </c>
      <c r="I22" s="21">
        <f>Sheet1!M23</f>
        <v>364</v>
      </c>
      <c r="J22" s="21" t="str">
        <f>Sheet1!O23</f>
        <v>NS</v>
      </c>
      <c r="K22" s="21" t="str">
        <f>Sheet1!Q23</f>
        <v>NS</v>
      </c>
      <c r="L22" s="21">
        <f>Sheet1!S23</f>
        <v>45</v>
      </c>
      <c r="M22" s="21">
        <f>Sheet1!U23</f>
        <v>0</v>
      </c>
      <c r="N22" s="21">
        <f>Sheet1!W23</f>
        <v>409</v>
      </c>
      <c r="O22" s="21">
        <f>Sheet1!Y23</f>
        <v>0</v>
      </c>
      <c r="P22" s="21">
        <f>Sheet1!AA23</f>
        <v>0</v>
      </c>
      <c r="Q22" s="21" t="str">
        <f>Sheet1!AC23</f>
        <v>inpat_psych</v>
      </c>
      <c r="R22" s="21" t="str">
        <f>Sheet1!AF23</f>
        <v>afri</v>
      </c>
      <c r="S22" s="21" t="str">
        <f>Sheet1!AI23</f>
        <v>no</v>
      </c>
      <c r="T22" s="21" t="str">
        <f>Sheet1!AK23</f>
        <v>NS</v>
      </c>
      <c r="U22" s="21" t="str">
        <f>Sheet1!AO23</f>
        <v>NS</v>
      </c>
      <c r="V22" s="21" t="str">
        <f>Sheet1!AQ23</f>
        <v>NS</v>
      </c>
      <c r="W22" s="21">
        <f>Sheet1!AS23</f>
        <v>0</v>
      </c>
      <c r="X22" s="21" t="str">
        <f>Sheet1!AU23</f>
        <v>NS</v>
      </c>
      <c r="Y22" s="21" t="str">
        <f>Sheet1!AW23</f>
        <v>NS</v>
      </c>
      <c r="Z22" s="21">
        <f>Sheet1!AY23</f>
        <v>409</v>
      </c>
      <c r="AA22" s="21">
        <f>Sheet1!BA23</f>
        <v>32</v>
      </c>
      <c r="AB22" s="21" t="str">
        <f>Sheet1!BC23</f>
        <v>multiple</v>
      </c>
      <c r="AC22" s="21">
        <f>Sheet1!BE23</f>
        <v>32</v>
      </c>
      <c r="AD22" s="21">
        <f>Sheet1!BG23</f>
        <v>0</v>
      </c>
      <c r="AE22" s="21" t="str">
        <f>Sheet1!BI23</f>
        <v>NA</v>
      </c>
      <c r="AF22" s="21" t="str">
        <f>Sheet1!BK23</f>
        <v>NA</v>
      </c>
      <c r="AG22" s="21" t="str">
        <f>Sheet1!BM23</f>
        <v>NA</v>
      </c>
      <c r="AH22" s="21" t="str">
        <f>Sheet1!BO23</f>
        <v>NA</v>
      </c>
      <c r="AI22" s="21" t="str">
        <f>Sheet1!BQ23</f>
        <v>NA</v>
      </c>
      <c r="AJ22" s="21" t="str">
        <f>Sheet1!BS23</f>
        <v>NA</v>
      </c>
      <c r="AK22" s="21" t="str">
        <f>Sheet1!BU23</f>
        <v>NA</v>
      </c>
      <c r="AL22" s="21" t="str">
        <f>Sheet1!BQ23</f>
        <v>NA</v>
      </c>
      <c r="AM22" s="21" t="str">
        <f>Sheet1!BY23</f>
        <v>NA</v>
      </c>
      <c r="AN22" s="21" t="str">
        <f>Sheet1!CA23</f>
        <v>NA</v>
      </c>
      <c r="AO22" s="21" t="str">
        <f>Sheet1!CC23</f>
        <v>NA</v>
      </c>
      <c r="AP22" s="21" t="str">
        <f>Sheet1!CE23</f>
        <v>NA</v>
      </c>
      <c r="AQ22" s="21" t="str">
        <f>Sheet1!CG23</f>
        <v>NA</v>
      </c>
      <c r="AR22" s="21" t="str">
        <f>Sheet1!CI23</f>
        <v>NA</v>
      </c>
      <c r="AS22" s="21" t="str">
        <f>Sheet1!CK23</f>
        <v>NA</v>
      </c>
      <c r="AT22" s="21" t="str">
        <f>Sheet1!CM23</f>
        <v>NA</v>
      </c>
      <c r="AU22" s="21">
        <f>Sheet1!CO23</f>
        <v>32</v>
      </c>
      <c r="AV22" s="21" t="str">
        <f>Sheet1!CQ23</f>
        <v>NS</v>
      </c>
      <c r="AW22" s="21" t="str">
        <f>Sheet1!CS23</f>
        <v>NS</v>
      </c>
      <c r="AX22" s="21" t="str">
        <f>Sheet1!CU23</f>
        <v>NS</v>
      </c>
      <c r="AY22" s="21" t="str">
        <f>Sheet1!CW23</f>
        <v>NS</v>
      </c>
      <c r="AZ22" s="21" t="str">
        <f>Sheet1!CY23</f>
        <v>NS</v>
      </c>
      <c r="BA22" s="21" t="str">
        <f>Sheet1!DA23</f>
        <v>NS</v>
      </c>
      <c r="BB22" s="21" t="str">
        <f>Sheet1!DC23</f>
        <v>NS</v>
      </c>
      <c r="BC22" s="21" t="str">
        <f>Sheet1!DE23</f>
        <v>all</v>
      </c>
      <c r="BD22" s="21" t="str">
        <f>Sheet1!DG23</f>
        <v>yes</v>
      </c>
      <c r="BE22" s="21" t="str">
        <f>Sheet1!DI23</f>
        <v>NS</v>
      </c>
      <c r="BF22" s="21" t="str">
        <f>Sheet1!DK23</f>
        <v>NS</v>
      </c>
      <c r="BG22" s="21" t="str">
        <f>Sheet1!DM23</f>
        <v>NS</v>
      </c>
      <c r="BH22" s="21" t="str">
        <f>Sheet1!DO23</f>
        <v>NS</v>
      </c>
      <c r="BI22" s="21" t="str">
        <f>Sheet1!DQ23</f>
        <v>NS</v>
      </c>
      <c r="BJ22" s="21" t="str">
        <f>Sheet1!DS23</f>
        <v>disorder</v>
      </c>
      <c r="BK22" s="21" t="str">
        <f>Sheet1!DU23</f>
        <v>Clinical Assessment</v>
      </c>
      <c r="BL22" s="21" t="str">
        <f>Sheet1!DW23</f>
        <v>ICD-10 and DSM-IV</v>
      </c>
      <c r="BM22" s="21">
        <f>Sheet1!ES23</f>
        <v>9</v>
      </c>
    </row>
    <row r="23" spans="1:66" ht="15.75" customHeight="1" x14ac:dyDescent="0.2">
      <c r="A23" s="21" t="str">
        <f>Sheet1!A24</f>
        <v>Perala</v>
      </c>
      <c r="B23" s="21">
        <f>Sheet1!B24</f>
        <v>2007</v>
      </c>
      <c r="C23" s="21" t="str">
        <f>_xlfn.CONCAT(data!A23," ",data!B23)</f>
        <v>Perala 2007</v>
      </c>
      <c r="D23" s="21" t="str">
        <f>Sheet1!C24</f>
        <v>NS</v>
      </c>
      <c r="E23" s="21" t="str">
        <f>Sheet1!E24</f>
        <v>NS</v>
      </c>
      <c r="F23" s="21" t="str">
        <f>Sheet1!G24</f>
        <v>NS</v>
      </c>
      <c r="G23" s="21" t="str">
        <f>Sheet1!I24</f>
        <v>NS</v>
      </c>
      <c r="H23" s="21" t="str">
        <f>Sheet1!K24</f>
        <v>NS</v>
      </c>
      <c r="I23" s="21" t="str">
        <f>Sheet1!M24</f>
        <v>NS</v>
      </c>
      <c r="J23" s="21" t="str">
        <f>Sheet1!O24</f>
        <v>NS</v>
      </c>
      <c r="K23" s="21" t="str">
        <f>Sheet1!Q24</f>
        <v>NS</v>
      </c>
      <c r="L23" s="21" t="str">
        <f>Sheet1!S24</f>
        <v>NS</v>
      </c>
      <c r="M23" s="21" t="str">
        <f>Sheet1!U24</f>
        <v>NS</v>
      </c>
      <c r="N23" s="21" t="str">
        <f>Sheet1!W24</f>
        <v>NS</v>
      </c>
      <c r="O23" s="21">
        <f>Sheet1!Y24</f>
        <v>0</v>
      </c>
      <c r="P23" s="21">
        <f>Sheet1!AA24</f>
        <v>0</v>
      </c>
      <c r="Q23" s="21" t="str">
        <f>Sheet1!AC24</f>
        <v>mixture</v>
      </c>
      <c r="R23" s="21" t="str">
        <f>Sheet1!AF24</f>
        <v>euro</v>
      </c>
      <c r="S23" s="21" t="str">
        <f>Sheet1!AI24</f>
        <v>yes</v>
      </c>
      <c r="T23" s="21" t="str">
        <f>Sheet1!AK24</f>
        <v>no</v>
      </c>
      <c r="U23" s="21" t="str">
        <f>Sheet1!AO24</f>
        <v>NS</v>
      </c>
      <c r="V23" s="21" t="str">
        <f>Sheet1!AQ24</f>
        <v>NS</v>
      </c>
      <c r="W23" s="21" t="str">
        <f>Sheet1!AS24</f>
        <v>NS</v>
      </c>
      <c r="X23" s="21" t="str">
        <f>Sheet1!AU24</f>
        <v>NS</v>
      </c>
      <c r="Y23" s="21" t="str">
        <f>Sheet1!AW24</f>
        <v>NS</v>
      </c>
      <c r="Z23" s="21">
        <f>Sheet1!AY24</f>
        <v>249</v>
      </c>
      <c r="AA23" s="21">
        <f>Sheet1!BA24</f>
        <v>55</v>
      </c>
      <c r="AB23" s="21" t="str">
        <f>Sheet1!BC24</f>
        <v>single</v>
      </c>
      <c r="AC23" s="21">
        <f>Sheet1!BE24</f>
        <v>23</v>
      </c>
      <c r="AD23" s="21">
        <f>Sheet1!BG24</f>
        <v>33</v>
      </c>
      <c r="AE23" s="21" t="str">
        <f>Sheet1!BI24</f>
        <v>NA</v>
      </c>
      <c r="AF23" s="21" t="str">
        <f>Sheet1!BK24</f>
        <v>NA</v>
      </c>
      <c r="AG23" s="21">
        <f>Sheet1!BM24</f>
        <v>33</v>
      </c>
      <c r="AH23" s="21" t="str">
        <f>Sheet1!BO24</f>
        <v>NA</v>
      </c>
      <c r="AI23" s="21" t="str">
        <f>Sheet1!BQ24</f>
        <v>NA</v>
      </c>
      <c r="AJ23" s="21" t="str">
        <f>Sheet1!BS24</f>
        <v>NA</v>
      </c>
      <c r="AK23" s="21" t="str">
        <f>Sheet1!BU24</f>
        <v>NA</v>
      </c>
      <c r="AL23" s="21" t="str">
        <f>Sheet1!BQ24</f>
        <v>NA</v>
      </c>
      <c r="AM23" s="21" t="str">
        <f>Sheet1!BY24</f>
        <v>NA</v>
      </c>
      <c r="AN23" s="21" t="str">
        <f>Sheet1!CA24</f>
        <v>NA</v>
      </c>
      <c r="AO23" s="21" t="str">
        <f>Sheet1!CC24</f>
        <v>NA</v>
      </c>
      <c r="AP23" s="21" t="str">
        <f>Sheet1!CE24</f>
        <v>NA</v>
      </c>
      <c r="AQ23" s="21" t="str">
        <f>Sheet1!CG24</f>
        <v>NA</v>
      </c>
      <c r="AR23" s="21" t="str">
        <f>Sheet1!CI24</f>
        <v>NA</v>
      </c>
      <c r="AS23" s="21" t="str">
        <f>Sheet1!CK24</f>
        <v>NA</v>
      </c>
      <c r="AT23" s="21" t="str">
        <f>Sheet1!CM24</f>
        <v>NA</v>
      </c>
      <c r="AU23" s="21">
        <f>Sheet1!CO24</f>
        <v>23</v>
      </c>
      <c r="AV23" s="21" t="str">
        <f>Sheet1!CQ24</f>
        <v>NS</v>
      </c>
      <c r="AW23" s="21" t="str">
        <f>Sheet1!CS24</f>
        <v>NS</v>
      </c>
      <c r="AX23" s="21" t="str">
        <f>Sheet1!CU24</f>
        <v>NS</v>
      </c>
      <c r="AY23" s="21" t="str">
        <f>Sheet1!CW24</f>
        <v>NS</v>
      </c>
      <c r="AZ23" s="21" t="str">
        <f>Sheet1!CY24</f>
        <v>NS</v>
      </c>
      <c r="BA23" s="21" t="str">
        <f>Sheet1!DA24</f>
        <v>NS</v>
      </c>
      <c r="BB23" s="21" t="str">
        <f>Sheet1!DC24</f>
        <v>NS</v>
      </c>
      <c r="BC23" s="21" t="str">
        <f>Sheet1!DE24</f>
        <v>all</v>
      </c>
      <c r="BD23" s="21" t="str">
        <f>Sheet1!DG24</f>
        <v>yes</v>
      </c>
      <c r="BE23" s="21" t="str">
        <f>Sheet1!DI24</f>
        <v>all</v>
      </c>
      <c r="BF23" s="21" t="str">
        <f>Sheet1!DK24</f>
        <v>NS</v>
      </c>
      <c r="BG23" s="21" t="str">
        <f>Sheet1!DM24</f>
        <v>NS</v>
      </c>
      <c r="BH23" s="21" t="str">
        <f>Sheet1!DO24</f>
        <v>NS</v>
      </c>
      <c r="BI23" s="21" t="str">
        <f>Sheet1!DQ24</f>
        <v>NS</v>
      </c>
      <c r="BJ23" s="21" t="str">
        <f>Sheet1!DS24</f>
        <v>disorder</v>
      </c>
      <c r="BK23" s="21" t="str">
        <f>Sheet1!DU24</f>
        <v>SCID</v>
      </c>
      <c r="BL23" s="21" t="str">
        <f>Sheet1!DW24</f>
        <v>DSM-IV</v>
      </c>
      <c r="BM23" s="21">
        <f>Sheet1!ES24</f>
        <v>10</v>
      </c>
    </row>
    <row r="24" spans="1:66" ht="15.75" customHeight="1" x14ac:dyDescent="0.2">
      <c r="A24" s="21" t="str">
        <f>Sheet1!A25</f>
        <v>Rattay</v>
      </c>
      <c r="B24" s="21">
        <f>Sheet1!B25</f>
        <v>2021</v>
      </c>
      <c r="C24" s="21" t="str">
        <f>_xlfn.CONCAT(data!A24," ",data!B24)</f>
        <v>Rattay 2021</v>
      </c>
      <c r="D24" s="21">
        <f>Sheet1!C25</f>
        <v>88</v>
      </c>
      <c r="E24" s="21">
        <f>Sheet1!E25</f>
        <v>56</v>
      </c>
      <c r="F24" s="21" t="str">
        <f>Sheet1!G25</f>
        <v>NS</v>
      </c>
      <c r="G24" s="21" t="str">
        <f>Sheet1!I25</f>
        <v>NS</v>
      </c>
      <c r="H24" s="21" t="str">
        <f>Sheet1!K25</f>
        <v>Mixed</v>
      </c>
      <c r="I24" s="21" t="str">
        <f>Sheet1!M25</f>
        <v>NS</v>
      </c>
      <c r="J24" s="21" t="str">
        <f>Sheet1!O25</f>
        <v>NS</v>
      </c>
      <c r="K24" s="21" t="str">
        <f>Sheet1!Q25</f>
        <v>NS</v>
      </c>
      <c r="L24" s="21" t="str">
        <f>Sheet1!S25</f>
        <v>NS</v>
      </c>
      <c r="M24" s="21">
        <f>Sheet1!U25</f>
        <v>0</v>
      </c>
      <c r="N24" s="21">
        <f>Sheet1!W25</f>
        <v>144</v>
      </c>
      <c r="O24" s="21">
        <f>Sheet1!Y25</f>
        <v>0</v>
      </c>
      <c r="P24" s="21">
        <f>Sheet1!AA25</f>
        <v>0</v>
      </c>
      <c r="Q24" s="21" t="str">
        <f>Sheet1!AC25</f>
        <v>inpat_psych</v>
      </c>
      <c r="R24" s="21" t="str">
        <f>Sheet1!AF25</f>
        <v>euro</v>
      </c>
      <c r="S24" s="21" t="str">
        <f>Sheet1!AI25</f>
        <v>no</v>
      </c>
      <c r="T24" s="21" t="str">
        <f>Sheet1!AK25</f>
        <v>no</v>
      </c>
      <c r="U24" s="21" t="str">
        <f>Sheet1!AO25</f>
        <v>NS</v>
      </c>
      <c r="V24" s="21" t="str">
        <f>Sheet1!AQ25</f>
        <v>NS</v>
      </c>
      <c r="W24" s="21">
        <f>Sheet1!AS25</f>
        <v>0</v>
      </c>
      <c r="X24" s="21">
        <f>Sheet1!AU25</f>
        <v>0</v>
      </c>
      <c r="Y24" s="21">
        <f>Sheet1!AW25</f>
        <v>0</v>
      </c>
      <c r="Z24" s="21">
        <f>Sheet1!AY25</f>
        <v>144</v>
      </c>
      <c r="AA24" s="21">
        <f>Sheet1!BA25</f>
        <v>17</v>
      </c>
      <c r="AB24" s="21" t="str">
        <f>Sheet1!BC25</f>
        <v>multiple</v>
      </c>
      <c r="AC24" s="21">
        <f>Sheet1!BE25</f>
        <v>17</v>
      </c>
      <c r="AD24" s="21">
        <f>Sheet1!BG25</f>
        <v>0</v>
      </c>
      <c r="AE24" s="21">
        <f>Sheet1!BI25</f>
        <v>10</v>
      </c>
      <c r="AF24" s="21">
        <f>Sheet1!BK25</f>
        <v>0</v>
      </c>
      <c r="AG24" s="21">
        <f>Sheet1!BM25</f>
        <v>0</v>
      </c>
      <c r="AH24" s="21">
        <f>Sheet1!BO25</f>
        <v>0</v>
      </c>
      <c r="AI24" s="21">
        <f>Sheet1!BQ25</f>
        <v>0</v>
      </c>
      <c r="AJ24" s="21">
        <f>Sheet1!BS25</f>
        <v>1</v>
      </c>
      <c r="AK24" s="21">
        <f>Sheet1!BU25</f>
        <v>0</v>
      </c>
      <c r="AL24" s="21">
        <f>Sheet1!BQ25</f>
        <v>0</v>
      </c>
      <c r="AM24" s="21">
        <f>Sheet1!BY25</f>
        <v>2</v>
      </c>
      <c r="AN24" s="21">
        <f>Sheet1!CA25</f>
        <v>0</v>
      </c>
      <c r="AO24" s="21">
        <f>Sheet1!CC25</f>
        <v>2</v>
      </c>
      <c r="AP24" s="21">
        <f>Sheet1!CE25</f>
        <v>0</v>
      </c>
      <c r="AQ24" s="21">
        <f>Sheet1!CG25</f>
        <v>0</v>
      </c>
      <c r="AR24" s="21">
        <f>Sheet1!CI25</f>
        <v>0</v>
      </c>
      <c r="AS24" s="21">
        <f>Sheet1!CK25</f>
        <v>2</v>
      </c>
      <c r="AT24" s="21">
        <f>Sheet1!CM25</f>
        <v>0</v>
      </c>
      <c r="AU24" s="21">
        <f>Sheet1!CO25</f>
        <v>0</v>
      </c>
      <c r="AV24" s="21" t="str">
        <f>Sheet1!CQ25</f>
        <v>some</v>
      </c>
      <c r="AW24" s="21" t="str">
        <f>Sheet1!CS25</f>
        <v>all</v>
      </c>
      <c r="AX24" s="21">
        <f>Sheet1!CU25</f>
        <v>0</v>
      </c>
      <c r="AY24" s="21" t="str">
        <f>Sheet1!CW25</f>
        <v>some</v>
      </c>
      <c r="AZ24" s="21" t="str">
        <f>Sheet1!CY25</f>
        <v>all</v>
      </c>
      <c r="BA24" s="21" t="str">
        <f>Sheet1!DA25</f>
        <v>all</v>
      </c>
      <c r="BB24" s="21" t="str">
        <f>Sheet1!DC25</f>
        <v>NS</v>
      </c>
      <c r="BC24" s="21" t="str">
        <f>Sheet1!DE25</f>
        <v>all</v>
      </c>
      <c r="BD24" s="21" t="str">
        <f>Sheet1!DG25</f>
        <v>NS</v>
      </c>
      <c r="BE24" s="21" t="str">
        <f>Sheet1!DI25</f>
        <v>all</v>
      </c>
      <c r="BF24" s="21" t="str">
        <f>Sheet1!DK25</f>
        <v>NS</v>
      </c>
      <c r="BG24" s="21" t="str">
        <f>Sheet1!DM25</f>
        <v>NS</v>
      </c>
      <c r="BH24" s="21" t="str">
        <f>Sheet1!DO25</f>
        <v>NS</v>
      </c>
      <c r="BI24" s="21" t="str">
        <f>Sheet1!DQ25</f>
        <v>NS</v>
      </c>
      <c r="BJ24" s="21" t="str">
        <f>Sheet1!DS25</f>
        <v>symptoms</v>
      </c>
      <c r="BK24" s="21" t="str">
        <f>Sheet1!DU25</f>
        <v>Clinical Assessment</v>
      </c>
      <c r="BL24" s="21" t="str">
        <f>Sheet1!DW25</f>
        <v>ICD-10</v>
      </c>
      <c r="BM24" s="21">
        <f>Sheet1!ES25</f>
        <v>10</v>
      </c>
    </row>
    <row r="25" spans="1:66" ht="15.75" customHeight="1" x14ac:dyDescent="0.2">
      <c r="A25" s="21" t="str">
        <f>Sheet1!A26</f>
        <v>Reay</v>
      </c>
      <c r="B25" s="21">
        <f>Sheet1!B26</f>
        <v>2010</v>
      </c>
      <c r="C25" s="21" t="str">
        <f>_xlfn.CONCAT(data!A25," ",data!B25)</f>
        <v>Reay 2010</v>
      </c>
      <c r="D25" s="21">
        <f>Sheet1!C26</f>
        <v>308</v>
      </c>
      <c r="E25" s="21">
        <f>Sheet1!E26</f>
        <v>231</v>
      </c>
      <c r="F25" s="21" t="str">
        <f>Sheet1!G26</f>
        <v>NS</v>
      </c>
      <c r="G25" s="21" t="str">
        <f>Sheet1!I26</f>
        <v>NS</v>
      </c>
      <c r="H25" s="21" t="str">
        <f>Sheet1!K26</f>
        <v>NS</v>
      </c>
      <c r="I25" s="21" t="str">
        <f>Sheet1!M26</f>
        <v>NS</v>
      </c>
      <c r="J25" s="21">
        <f>Sheet1!O26</f>
        <v>534</v>
      </c>
      <c r="K25" s="21" t="str">
        <f>Sheet1!Q26</f>
        <v>NS</v>
      </c>
      <c r="L25" s="21">
        <f>Sheet1!S26</f>
        <v>5</v>
      </c>
      <c r="M25" s="21" t="str">
        <f>Sheet1!U26</f>
        <v>NS</v>
      </c>
      <c r="N25" s="21" t="str">
        <f>Sheet1!W26</f>
        <v>NS</v>
      </c>
      <c r="O25" s="21" t="str">
        <f>Sheet1!Y26</f>
        <v>NS</v>
      </c>
      <c r="P25" s="21" t="str">
        <f>Sheet1!AA26</f>
        <v>NS</v>
      </c>
      <c r="Q25" s="21" t="str">
        <f>Sheet1!AC26</f>
        <v>mixture</v>
      </c>
      <c r="R25" s="21" t="str">
        <f>Sheet1!AF26</f>
        <v>euro</v>
      </c>
      <c r="S25" s="21" t="str">
        <f>Sheet1!AI26</f>
        <v>yes</v>
      </c>
      <c r="T25" s="21" t="str">
        <f>Sheet1!AK26</f>
        <v>yes</v>
      </c>
      <c r="U25" s="21">
        <f>Sheet1!AO26</f>
        <v>0</v>
      </c>
      <c r="V25" s="21">
        <f>Sheet1!AQ26</f>
        <v>0</v>
      </c>
      <c r="W25" s="21" t="str">
        <f>Sheet1!AS26</f>
        <v>NS</v>
      </c>
      <c r="X25" s="21" t="str">
        <f>Sheet1!AU26</f>
        <v>NS</v>
      </c>
      <c r="Y25" s="21" t="str">
        <f>Sheet1!AW26</f>
        <v>NS</v>
      </c>
      <c r="Z25" s="21">
        <f>Sheet1!AY26</f>
        <v>540</v>
      </c>
      <c r="AA25" s="21">
        <f>Sheet1!BA26</f>
        <v>87</v>
      </c>
      <c r="AB25" s="21" t="str">
        <f>Sheet1!BC26</f>
        <v>single</v>
      </c>
      <c r="AC25" s="21">
        <f>Sheet1!BE26</f>
        <v>41</v>
      </c>
      <c r="AD25" s="21">
        <f>Sheet1!BG26</f>
        <v>46</v>
      </c>
      <c r="AE25" s="21" t="str">
        <f>Sheet1!BI26</f>
        <v>NA</v>
      </c>
      <c r="AF25" s="21" t="str">
        <f>Sheet1!BK26</f>
        <v>NA</v>
      </c>
      <c r="AG25" s="21">
        <f>Sheet1!BM26</f>
        <v>46</v>
      </c>
      <c r="AH25" s="21" t="str">
        <f>Sheet1!BO26</f>
        <v>NA</v>
      </c>
      <c r="AI25" s="21" t="str">
        <f>Sheet1!BQ26</f>
        <v>NA</v>
      </c>
      <c r="AJ25" s="21" t="str">
        <f>Sheet1!BS26</f>
        <v>NA</v>
      </c>
      <c r="AK25" s="21" t="str">
        <f>Sheet1!BU26</f>
        <v>NA</v>
      </c>
      <c r="AL25" s="21" t="str">
        <f>Sheet1!BQ26</f>
        <v>NA</v>
      </c>
      <c r="AM25" s="21" t="str">
        <f>Sheet1!BY26</f>
        <v>NA</v>
      </c>
      <c r="AN25" s="21" t="str">
        <f>Sheet1!CA26</f>
        <v>NA</v>
      </c>
      <c r="AO25" s="21" t="str">
        <f>Sheet1!CC26</f>
        <v>NA</v>
      </c>
      <c r="AP25" s="21" t="str">
        <f>Sheet1!CE26</f>
        <v>NA</v>
      </c>
      <c r="AQ25" s="21" t="str">
        <f>Sheet1!CG26</f>
        <v>NA</v>
      </c>
      <c r="AR25" s="21" t="str">
        <f>Sheet1!CI26</f>
        <v>NA</v>
      </c>
      <c r="AS25" s="21" t="str">
        <f>Sheet1!CK26</f>
        <v>NA</v>
      </c>
      <c r="AT25" s="21" t="str">
        <f>Sheet1!CM26</f>
        <v>NA</v>
      </c>
      <c r="AU25" s="21">
        <f>Sheet1!CO26</f>
        <v>41</v>
      </c>
      <c r="AV25" s="21" t="str">
        <f>Sheet1!CQ26</f>
        <v>NS</v>
      </c>
      <c r="AW25" s="21" t="str">
        <f>Sheet1!CS26</f>
        <v>NS</v>
      </c>
      <c r="AX25" s="21" t="str">
        <f>Sheet1!CU26</f>
        <v>NS</v>
      </c>
      <c r="AY25" s="21" t="str">
        <f>Sheet1!CW26</f>
        <v>NS</v>
      </c>
      <c r="AZ25" s="21" t="str">
        <f>Sheet1!CY26</f>
        <v>NS</v>
      </c>
      <c r="BA25" s="21" t="str">
        <f>Sheet1!DA26</f>
        <v>NS</v>
      </c>
      <c r="BB25" s="21" t="str">
        <f>Sheet1!DC26</f>
        <v>NS</v>
      </c>
      <c r="BC25" s="21" t="str">
        <f>Sheet1!DE26</f>
        <v>NS</v>
      </c>
      <c r="BD25" s="21" t="str">
        <f>Sheet1!DG26</f>
        <v>NS</v>
      </c>
      <c r="BE25" s="21" t="str">
        <f>Sheet1!DI26</f>
        <v>NS</v>
      </c>
      <c r="BF25" s="21" t="str">
        <f>Sheet1!DK26</f>
        <v>NS</v>
      </c>
      <c r="BG25" s="21" t="str">
        <f>Sheet1!DM26</f>
        <v>NS</v>
      </c>
      <c r="BH25" s="21" t="str">
        <f>Sheet1!DO26</f>
        <v>NS</v>
      </c>
      <c r="BI25" s="21" t="str">
        <f>Sheet1!DQ26</f>
        <v>NS</v>
      </c>
      <c r="BJ25" s="21" t="str">
        <f>Sheet1!DS26</f>
        <v>disorder</v>
      </c>
      <c r="BK25" s="21" t="str">
        <f>Sheet1!DU26</f>
        <v>Clinical Assessment</v>
      </c>
      <c r="BL25" s="21" t="str">
        <f>Sheet1!DW26</f>
        <v>ICD-10</v>
      </c>
      <c r="BM25" s="21">
        <f>Sheet1!ES26</f>
        <v>6</v>
      </c>
    </row>
    <row r="26" spans="1:66" ht="15.75" customHeight="1" x14ac:dyDescent="0.2">
      <c r="A26" s="21" t="str">
        <f>Sheet1!A27</f>
        <v>Schanzer</v>
      </c>
      <c r="B26" s="21">
        <f>Sheet1!B27</f>
        <v>2006</v>
      </c>
      <c r="C26" s="21" t="str">
        <f>_xlfn.CONCAT(data!A26," ",data!B26)</f>
        <v>Schanzer 2006</v>
      </c>
      <c r="D26" s="21">
        <f>Sheet1!C27</f>
        <v>214</v>
      </c>
      <c r="E26" s="21">
        <f>Sheet1!E27</f>
        <v>88</v>
      </c>
      <c r="F26" s="21" t="str">
        <f>Sheet1!G27</f>
        <v>NS</v>
      </c>
      <c r="G26" s="21" t="str">
        <f>Sheet1!I27</f>
        <v>NS</v>
      </c>
      <c r="H26" s="21">
        <f>Sheet1!K27</f>
        <v>28.5</v>
      </c>
      <c r="I26" s="21">
        <f>Sheet1!M27</f>
        <v>148</v>
      </c>
      <c r="J26" s="21" t="str">
        <f>Sheet1!O27</f>
        <v>NS</v>
      </c>
      <c r="K26" s="21">
        <f>Sheet1!Q27</f>
        <v>0</v>
      </c>
      <c r="L26" s="21">
        <f>Sheet1!S27</f>
        <v>154</v>
      </c>
      <c r="M26" s="21">
        <f>Sheet1!U27</f>
        <v>302</v>
      </c>
      <c r="N26" s="21">
        <f>Sheet1!W27</f>
        <v>0</v>
      </c>
      <c r="O26" s="21">
        <f>Sheet1!Y27</f>
        <v>0</v>
      </c>
      <c r="P26" s="21">
        <f>Sheet1!AA27</f>
        <v>0</v>
      </c>
      <c r="Q26" s="21" t="str">
        <f>Sheet1!AC27</f>
        <v>gen_hospital</v>
      </c>
      <c r="R26" s="21" t="str">
        <f>Sheet1!AF27</f>
        <v>n_am</v>
      </c>
      <c r="S26" s="21" t="str">
        <f>Sheet1!AI27</f>
        <v>yes</v>
      </c>
      <c r="T26" s="21" t="str">
        <f>Sheet1!AK27</f>
        <v>yes</v>
      </c>
      <c r="U26" s="21">
        <f>Sheet1!AO27</f>
        <v>0</v>
      </c>
      <c r="V26" s="21">
        <f>Sheet1!AQ27</f>
        <v>0</v>
      </c>
      <c r="W26" s="21" t="str">
        <f>Sheet1!AS27</f>
        <v>NS</v>
      </c>
      <c r="X26" s="21" t="str">
        <f>Sheet1!AU27</f>
        <v>NS</v>
      </c>
      <c r="Y26" s="21" t="str">
        <f>Sheet1!AW27</f>
        <v>NS</v>
      </c>
      <c r="Z26" s="21">
        <f>Sheet1!AY27</f>
        <v>302</v>
      </c>
      <c r="AA26" s="21">
        <f>Sheet1!BA27</f>
        <v>53</v>
      </c>
      <c r="AB26" s="21" t="str">
        <f>Sheet1!BC27</f>
        <v>single</v>
      </c>
      <c r="AC26" s="21">
        <f>Sheet1!BE27</f>
        <v>0</v>
      </c>
      <c r="AD26" s="21">
        <f>Sheet1!BG27</f>
        <v>53</v>
      </c>
      <c r="AE26" s="21" t="str">
        <f>Sheet1!BI27</f>
        <v>NA</v>
      </c>
      <c r="AF26" s="21" t="str">
        <f>Sheet1!BK27</f>
        <v>NA</v>
      </c>
      <c r="AG26" s="21">
        <f>Sheet1!BM27</f>
        <v>53</v>
      </c>
      <c r="AH26" s="21" t="str">
        <f>Sheet1!BO27</f>
        <v>NA</v>
      </c>
      <c r="AI26" s="21" t="str">
        <f>Sheet1!BQ27</f>
        <v>NA</v>
      </c>
      <c r="AJ26" s="21" t="str">
        <f>Sheet1!BS27</f>
        <v>NA</v>
      </c>
      <c r="AK26" s="21" t="str">
        <f>Sheet1!BU27</f>
        <v>NA</v>
      </c>
      <c r="AL26" s="21" t="str">
        <f>Sheet1!BQ27</f>
        <v>NA</v>
      </c>
      <c r="AM26" s="21" t="str">
        <f>Sheet1!BY27</f>
        <v>NA</v>
      </c>
      <c r="AN26" s="21" t="str">
        <f>Sheet1!CA27</f>
        <v>NA</v>
      </c>
      <c r="AO26" s="21" t="str">
        <f>Sheet1!CC27</f>
        <v>NA</v>
      </c>
      <c r="AP26" s="21" t="str">
        <f>Sheet1!CE27</f>
        <v>NA</v>
      </c>
      <c r="AQ26" s="21" t="str">
        <f>Sheet1!CG27</f>
        <v>NA</v>
      </c>
      <c r="AR26" s="21" t="str">
        <f>Sheet1!CI27</f>
        <v>NA</v>
      </c>
      <c r="AS26" s="21" t="str">
        <f>Sheet1!CK27</f>
        <v>NA</v>
      </c>
      <c r="AT26" s="21" t="str">
        <f>Sheet1!CM27</f>
        <v>NA</v>
      </c>
      <c r="AU26" s="21" t="str">
        <f>Sheet1!CO27</f>
        <v>NA</v>
      </c>
      <c r="AV26" s="21" t="str">
        <f>Sheet1!CQ27</f>
        <v>NS</v>
      </c>
      <c r="AW26" s="21" t="str">
        <f>Sheet1!CS27</f>
        <v>NS</v>
      </c>
      <c r="AX26" s="21" t="str">
        <f>Sheet1!CU27</f>
        <v>NS</v>
      </c>
      <c r="AY26" s="21" t="str">
        <f>Sheet1!CW27</f>
        <v>NS</v>
      </c>
      <c r="AZ26" s="21" t="str">
        <f>Sheet1!CY27</f>
        <v>NS</v>
      </c>
      <c r="BA26" s="21" t="str">
        <f>Sheet1!DA27</f>
        <v>NS</v>
      </c>
      <c r="BB26" s="21" t="str">
        <f>Sheet1!DC27</f>
        <v>all</v>
      </c>
      <c r="BC26" s="21" t="str">
        <f>Sheet1!DE27</f>
        <v>all</v>
      </c>
      <c r="BD26" s="21" t="str">
        <f>Sheet1!DG27</f>
        <v>yes</v>
      </c>
      <c r="BE26" s="21" t="str">
        <f>Sheet1!DI27</f>
        <v>yes</v>
      </c>
      <c r="BF26" s="21" t="str">
        <f>Sheet1!DK27</f>
        <v>NS</v>
      </c>
      <c r="BG26" s="21" t="str">
        <f>Sheet1!DM27</f>
        <v>NS</v>
      </c>
      <c r="BH26" s="21" t="str">
        <f>Sheet1!DO27</f>
        <v>NS</v>
      </c>
      <c r="BI26" s="21" t="str">
        <f>Sheet1!DQ27</f>
        <v>NS</v>
      </c>
      <c r="BJ26" s="21" t="str">
        <f>Sheet1!DS27</f>
        <v>disorder</v>
      </c>
      <c r="BK26" s="21" t="str">
        <f>Sheet1!DU27</f>
        <v>PRISM</v>
      </c>
      <c r="BL26" s="21" t="str">
        <f>Sheet1!DW27</f>
        <v>DSM-IV</v>
      </c>
      <c r="BM26" s="21">
        <f>Sheet1!ES27</f>
        <v>9</v>
      </c>
    </row>
    <row r="27" spans="1:66" ht="15.75" customHeight="1" x14ac:dyDescent="0.2">
      <c r="A27" s="21" t="str">
        <f>Sheet1!A28</f>
        <v>Scott</v>
      </c>
      <c r="B27" s="21">
        <f>Sheet1!B28</f>
        <v>2018</v>
      </c>
      <c r="C27" s="21" t="str">
        <f>_xlfn.CONCAT(data!A27," ",data!B27)</f>
        <v>Scott 2018</v>
      </c>
      <c r="D27" s="21">
        <f>Sheet1!C28</f>
        <v>66</v>
      </c>
      <c r="E27" s="21">
        <f>Sheet1!E28</f>
        <v>47</v>
      </c>
      <c r="F27" s="21" t="str">
        <f>Sheet1!G28</f>
        <v>NS</v>
      </c>
      <c r="G27" s="21" t="str">
        <f>Sheet1!I28</f>
        <v>NS</v>
      </c>
      <c r="H27" s="21">
        <f>Sheet1!K28</f>
        <v>26.2</v>
      </c>
      <c r="I27" s="21" t="str">
        <f>Sheet1!M28</f>
        <v>NS</v>
      </c>
      <c r="J27" s="21" t="str">
        <f>Sheet1!O28</f>
        <v>NS</v>
      </c>
      <c r="K27" s="21" t="str">
        <f>Sheet1!Q28</f>
        <v>NS</v>
      </c>
      <c r="L27" s="21" t="str">
        <f>Sheet1!S28</f>
        <v>NS</v>
      </c>
      <c r="M27" s="21">
        <f>Sheet1!U28</f>
        <v>0</v>
      </c>
      <c r="N27" s="21">
        <f>Sheet1!W28</f>
        <v>113</v>
      </c>
      <c r="O27" s="21">
        <f>Sheet1!Y28</f>
        <v>0</v>
      </c>
      <c r="P27" s="21">
        <f>Sheet1!AA28</f>
        <v>0</v>
      </c>
      <c r="Q27" s="21" t="str">
        <f>Sheet1!AC28</f>
        <v>inpat_psych</v>
      </c>
      <c r="R27" s="21" t="str">
        <f>Sheet1!AF28</f>
        <v>aus</v>
      </c>
      <c r="S27" s="21" t="str">
        <f>Sheet1!AI28</f>
        <v>yes</v>
      </c>
      <c r="T27" s="21" t="str">
        <f>Sheet1!AK28</f>
        <v>yes</v>
      </c>
      <c r="U27" s="21">
        <f>Sheet1!AO28</f>
        <v>0</v>
      </c>
      <c r="V27" s="21">
        <f>Sheet1!AQ28</f>
        <v>0</v>
      </c>
      <c r="W27" s="21">
        <f>Sheet1!AS28</f>
        <v>30</v>
      </c>
      <c r="X27" s="21" t="str">
        <f>Sheet1!AU28</f>
        <v>NS</v>
      </c>
      <c r="Y27" s="21" t="str">
        <f>Sheet1!AW28</f>
        <v>NS</v>
      </c>
      <c r="Z27" s="21">
        <f>Sheet1!AY28</f>
        <v>113</v>
      </c>
      <c r="AA27" s="21">
        <f>Sheet1!BA28</f>
        <v>24</v>
      </c>
      <c r="AB27" s="21" t="str">
        <f>Sheet1!BC28</f>
        <v>multiple</v>
      </c>
      <c r="AC27" s="21">
        <f>Sheet1!BE28</f>
        <v>6</v>
      </c>
      <c r="AD27" s="21">
        <f>Sheet1!BG28</f>
        <v>18</v>
      </c>
      <c r="AE27" s="21">
        <f>Sheet1!BI28</f>
        <v>6</v>
      </c>
      <c r="AF27" s="21">
        <f>Sheet1!BK28</f>
        <v>0</v>
      </c>
      <c r="AG27" s="21">
        <f>Sheet1!BM28</f>
        <v>18</v>
      </c>
      <c r="AH27" s="21">
        <f>Sheet1!BO28</f>
        <v>0</v>
      </c>
      <c r="AI27" s="21">
        <f>Sheet1!BQ28</f>
        <v>0</v>
      </c>
      <c r="AJ27" s="21">
        <f>Sheet1!BS28</f>
        <v>0</v>
      </c>
      <c r="AK27" s="21">
        <f>Sheet1!BU28</f>
        <v>0</v>
      </c>
      <c r="AL27" s="21">
        <f>Sheet1!BQ28</f>
        <v>0</v>
      </c>
      <c r="AM27" s="21">
        <f>Sheet1!BY28</f>
        <v>0</v>
      </c>
      <c r="AN27" s="21">
        <f>Sheet1!CA28</f>
        <v>0</v>
      </c>
      <c r="AO27" s="21">
        <f>Sheet1!CC28</f>
        <v>0</v>
      </c>
      <c r="AP27" s="21">
        <f>Sheet1!CE28</f>
        <v>0</v>
      </c>
      <c r="AQ27" s="21">
        <f>Sheet1!CG28</f>
        <v>0</v>
      </c>
      <c r="AR27" s="21">
        <f>Sheet1!CI28</f>
        <v>0</v>
      </c>
      <c r="AS27" s="21">
        <f>Sheet1!CK28</f>
        <v>0</v>
      </c>
      <c r="AT27" s="21">
        <f>Sheet1!CM28</f>
        <v>0</v>
      </c>
      <c r="AU27" s="21">
        <f>Sheet1!CO28</f>
        <v>0</v>
      </c>
      <c r="AV27" s="21" t="str">
        <f>Sheet1!CQ28</f>
        <v>Yes - NS</v>
      </c>
      <c r="AW27" s="21" t="str">
        <f>Sheet1!CS28</f>
        <v>Yes - NS</v>
      </c>
      <c r="AX27" s="21" t="str">
        <f>Sheet1!CU28</f>
        <v>NS</v>
      </c>
      <c r="AY27" s="21" t="str">
        <f>Sheet1!CW28</f>
        <v>yes - NS</v>
      </c>
      <c r="AZ27" s="21" t="str">
        <f>Sheet1!CY28</f>
        <v>Yes - NS</v>
      </c>
      <c r="BA27" s="21" t="str">
        <f>Sheet1!DA28</f>
        <v>All</v>
      </c>
      <c r="BB27" s="21" t="str">
        <f>Sheet1!DC28</f>
        <v>NS</v>
      </c>
      <c r="BC27" s="21" t="str">
        <f>Sheet1!DE28</f>
        <v>All</v>
      </c>
      <c r="BD27" s="21" t="str">
        <f>Sheet1!DG28</f>
        <v>NS</v>
      </c>
      <c r="BE27" s="21" t="str">
        <f>Sheet1!DI28</f>
        <v>NS</v>
      </c>
      <c r="BF27" s="21" t="str">
        <f>Sheet1!DK28</f>
        <v>NS</v>
      </c>
      <c r="BG27" s="21" t="str">
        <f>Sheet1!DM28</f>
        <v>NS</v>
      </c>
      <c r="BH27" s="21" t="str">
        <f>Sheet1!DO28</f>
        <v>Radioimmunoassay</v>
      </c>
      <c r="BI27" s="21" t="str">
        <f>Sheet1!DQ28</f>
        <v>NS</v>
      </c>
      <c r="BJ27" s="21" t="str">
        <f>Sheet1!DS28</f>
        <v>disorder</v>
      </c>
      <c r="BK27" s="21" t="str">
        <f>Sheet1!DU28</f>
        <v>NS</v>
      </c>
      <c r="BL27" s="21" t="str">
        <f>Sheet1!DW28</f>
        <v>ICD-10</v>
      </c>
      <c r="BM27" s="21">
        <f>Sheet1!ES28</f>
        <v>10</v>
      </c>
    </row>
    <row r="28" spans="1:66" ht="15.75" customHeight="1" x14ac:dyDescent="0.2">
      <c r="A28" s="21" t="str">
        <f>Sheet1!A29</f>
        <v>Solomons</v>
      </c>
      <c r="B28" s="21">
        <f>Sheet1!B29</f>
        <v>1990</v>
      </c>
      <c r="C28" s="21" t="str">
        <f>_xlfn.CONCAT(data!A28," ",data!B28)</f>
        <v>Solomons 1990</v>
      </c>
      <c r="D28" s="21">
        <f>Sheet1!C29</f>
        <v>100</v>
      </c>
      <c r="E28" s="21">
        <f>Sheet1!E29</f>
        <v>0</v>
      </c>
      <c r="F28" s="21" t="str">
        <f>Sheet1!G29</f>
        <v>NS</v>
      </c>
      <c r="G28" s="21" t="str">
        <f>Sheet1!I29</f>
        <v>NS</v>
      </c>
      <c r="H28" s="21">
        <f>Sheet1!K29</f>
        <v>28.2</v>
      </c>
      <c r="I28" s="21">
        <f>Sheet1!M29</f>
        <v>100</v>
      </c>
      <c r="J28" s="21">
        <f>Sheet1!O29</f>
        <v>0</v>
      </c>
      <c r="K28" s="21">
        <f>Sheet1!Q29</f>
        <v>0</v>
      </c>
      <c r="L28" s="21">
        <f>Sheet1!S29</f>
        <v>0</v>
      </c>
      <c r="M28" s="21">
        <f>Sheet1!U29</f>
        <v>0</v>
      </c>
      <c r="N28" s="21">
        <f>Sheet1!W29</f>
        <v>100</v>
      </c>
      <c r="O28" s="21">
        <f>Sheet1!Y29</f>
        <v>0</v>
      </c>
      <c r="P28" s="21">
        <f>Sheet1!AA29</f>
        <v>0</v>
      </c>
      <c r="Q28" s="21" t="str">
        <f>Sheet1!AC29</f>
        <v>inpat_psych</v>
      </c>
      <c r="R28" s="21" t="str">
        <f>Sheet1!AF29</f>
        <v>afri</v>
      </c>
      <c r="S28" s="21" t="str">
        <f>Sheet1!AI29</f>
        <v>yes</v>
      </c>
      <c r="T28" s="21" t="str">
        <f>Sheet1!AK29</f>
        <v>no</v>
      </c>
      <c r="U28" s="21" t="str">
        <f>Sheet1!AO29</f>
        <v>NS</v>
      </c>
      <c r="V28" s="21" t="str">
        <f>Sheet1!AQ29</f>
        <v>NS</v>
      </c>
      <c r="W28" s="21" t="str">
        <f>Sheet1!AS29</f>
        <v>NS</v>
      </c>
      <c r="X28" s="21" t="str">
        <f>Sheet1!AU29</f>
        <v>NS</v>
      </c>
      <c r="Y28" s="21" t="str">
        <f>Sheet1!AW29</f>
        <v>NS</v>
      </c>
      <c r="Z28" s="21">
        <f>Sheet1!AY29</f>
        <v>70</v>
      </c>
      <c r="AA28" s="21">
        <f>Sheet1!BA29</f>
        <v>42</v>
      </c>
      <c r="AB28" s="21" t="str">
        <f>Sheet1!BC29</f>
        <v>multiple</v>
      </c>
      <c r="AC28" s="21">
        <f>Sheet1!BE29</f>
        <v>0</v>
      </c>
      <c r="AD28" s="21">
        <f>Sheet1!BG29</f>
        <v>42</v>
      </c>
      <c r="AE28" s="21" t="str">
        <f>Sheet1!BI29</f>
        <v>NA</v>
      </c>
      <c r="AF28" s="21" t="str">
        <f>Sheet1!BK29</f>
        <v>NA</v>
      </c>
      <c r="AG28" s="21">
        <f>Sheet1!BM29</f>
        <v>42</v>
      </c>
      <c r="AH28" s="21" t="str">
        <f>Sheet1!BO29</f>
        <v>NA</v>
      </c>
      <c r="AI28" s="21" t="str">
        <f>Sheet1!BQ29</f>
        <v>NA</v>
      </c>
      <c r="AJ28" s="21" t="str">
        <f>Sheet1!BS29</f>
        <v>NA</v>
      </c>
      <c r="AK28" s="21" t="str">
        <f>Sheet1!BU29</f>
        <v>NA</v>
      </c>
      <c r="AL28" s="21" t="str">
        <f>Sheet1!BQ29</f>
        <v>NA</v>
      </c>
      <c r="AM28" s="21" t="str">
        <f>Sheet1!BY29</f>
        <v>NA</v>
      </c>
      <c r="AN28" s="21" t="str">
        <f>Sheet1!CA29</f>
        <v>NA</v>
      </c>
      <c r="AO28" s="21" t="str">
        <f>Sheet1!CC29</f>
        <v>NA</v>
      </c>
      <c r="AP28" s="21" t="str">
        <f>Sheet1!CE29</f>
        <v>NA</v>
      </c>
      <c r="AQ28" s="21" t="str">
        <f>Sheet1!CG29</f>
        <v>NA</v>
      </c>
      <c r="AR28" s="21" t="str">
        <f>Sheet1!CI29</f>
        <v>NA</v>
      </c>
      <c r="AS28" s="21" t="str">
        <f>Sheet1!CK29</f>
        <v>NA</v>
      </c>
      <c r="AT28" s="21" t="str">
        <f>Sheet1!CM29</f>
        <v>NA</v>
      </c>
      <c r="AU28" s="21" t="str">
        <f>Sheet1!CO29</f>
        <v>NA</v>
      </c>
      <c r="AV28" s="21">
        <f>Sheet1!CQ29</f>
        <v>0</v>
      </c>
      <c r="AW28" s="21">
        <f>Sheet1!CS29</f>
        <v>0</v>
      </c>
      <c r="AX28" s="21">
        <f>Sheet1!CU29</f>
        <v>0</v>
      </c>
      <c r="AY28" s="21" t="str">
        <f>Sheet1!CW29</f>
        <v>some</v>
      </c>
      <c r="AZ28" s="21">
        <f>Sheet1!CY29</f>
        <v>0</v>
      </c>
      <c r="BA28" s="21">
        <f>Sheet1!DA29</f>
        <v>0</v>
      </c>
      <c r="BB28" s="21" t="str">
        <f>Sheet1!DC29</f>
        <v>all</v>
      </c>
      <c r="BC28" s="21" t="str">
        <f>Sheet1!DE29</f>
        <v>all</v>
      </c>
      <c r="BD28" s="21" t="str">
        <f>Sheet1!DG29</f>
        <v>NS</v>
      </c>
      <c r="BE28" s="21" t="str">
        <f>Sheet1!DI29</f>
        <v>NS</v>
      </c>
      <c r="BF28" s="21" t="str">
        <f>Sheet1!DK29</f>
        <v>NS</v>
      </c>
      <c r="BG28" s="21" t="str">
        <f>Sheet1!DM29</f>
        <v>NS</v>
      </c>
      <c r="BH28" s="21" t="str">
        <f>Sheet1!DO29</f>
        <v>NS</v>
      </c>
      <c r="BI28" s="21" t="str">
        <f>Sheet1!DQ29</f>
        <v>NS</v>
      </c>
      <c r="BJ28" s="21" t="str">
        <f>Sheet1!DS29</f>
        <v>disorder</v>
      </c>
      <c r="BK28" s="21" t="str">
        <f>Sheet1!DU29</f>
        <v>BPRS</v>
      </c>
      <c r="BL28" s="21" t="str">
        <f>Sheet1!DW29</f>
        <v>DSM-III</v>
      </c>
      <c r="BM28" s="21">
        <f>Sheet1!ES29</f>
        <v>8</v>
      </c>
    </row>
    <row r="29" spans="1:66" ht="15.75" customHeight="1" x14ac:dyDescent="0.2">
      <c r="A29" s="21" t="str">
        <f>Sheet1!A30</f>
        <v>Spies</v>
      </c>
      <c r="B29" s="21">
        <f>Sheet1!B30</f>
        <v>2022</v>
      </c>
      <c r="C29" s="21" t="str">
        <f>_xlfn.CONCAT(data!A29," ",data!B29)</f>
        <v>Spies 2022</v>
      </c>
      <c r="D29" s="21">
        <f>Sheet1!C30</f>
        <v>448</v>
      </c>
      <c r="E29" s="21">
        <f>Sheet1!E30</f>
        <v>463</v>
      </c>
      <c r="F29" s="21" t="str">
        <f>Sheet1!G30</f>
        <v>NS</v>
      </c>
      <c r="G29" s="21" t="str">
        <f>Sheet1!I30</f>
        <v>NS</v>
      </c>
      <c r="H29" s="21" t="str">
        <f>Sheet1!K30</f>
        <v>Mixed</v>
      </c>
      <c r="I29" s="21" t="str">
        <f>Sheet1!M30</f>
        <v>NS</v>
      </c>
      <c r="J29" s="21" t="str">
        <f>Sheet1!O30</f>
        <v>NS</v>
      </c>
      <c r="K29" s="21" t="str">
        <f>Sheet1!Q30</f>
        <v>NS</v>
      </c>
      <c r="L29" s="21" t="str">
        <f>Sheet1!S30</f>
        <v>NS</v>
      </c>
      <c r="M29" s="21">
        <f>Sheet1!U30</f>
        <v>0</v>
      </c>
      <c r="N29" s="21">
        <f>Sheet1!W30</f>
        <v>911</v>
      </c>
      <c r="O29" s="21">
        <f>Sheet1!Y30</f>
        <v>0</v>
      </c>
      <c r="P29" s="21">
        <f>Sheet1!AA30</f>
        <v>0</v>
      </c>
      <c r="Q29" s="21" t="str">
        <f>Sheet1!AC30</f>
        <v>inpat_psych</v>
      </c>
      <c r="R29" s="21" t="str">
        <f>Sheet1!AF30</f>
        <v>aus</v>
      </c>
      <c r="S29" s="21" t="str">
        <f>Sheet1!AI30</f>
        <v>no</v>
      </c>
      <c r="T29" s="21" t="str">
        <f>Sheet1!AK30</f>
        <v>no</v>
      </c>
      <c r="U29" s="21" t="str">
        <f>Sheet1!AO30</f>
        <v>NS</v>
      </c>
      <c r="V29" s="21" t="str">
        <f>Sheet1!AQ30</f>
        <v>NS</v>
      </c>
      <c r="W29" s="21" t="str">
        <f>Sheet1!AS30</f>
        <v>NS</v>
      </c>
      <c r="X29" s="21" t="str">
        <f>Sheet1!AU30</f>
        <v>NS</v>
      </c>
      <c r="Y29" s="21" t="str">
        <f>Sheet1!AW30</f>
        <v>NS</v>
      </c>
      <c r="Z29" s="21">
        <f>Sheet1!AY30</f>
        <v>911</v>
      </c>
      <c r="AA29" s="21">
        <f>Sheet1!BA30</f>
        <v>2</v>
      </c>
      <c r="AB29" s="21" t="str">
        <f>Sheet1!BC30</f>
        <v>single</v>
      </c>
      <c r="AC29" s="21">
        <f>Sheet1!BE30</f>
        <v>2</v>
      </c>
      <c r="AD29" s="21">
        <f>Sheet1!BG30</f>
        <v>0</v>
      </c>
      <c r="AE29" s="21">
        <f>Sheet1!BI30</f>
        <v>2</v>
      </c>
      <c r="AF29" s="21" t="str">
        <f>Sheet1!BK30</f>
        <v>NA</v>
      </c>
      <c r="AG29" s="21" t="str">
        <f>Sheet1!BM30</f>
        <v>NA</v>
      </c>
      <c r="AH29" s="21" t="str">
        <f>Sheet1!BO30</f>
        <v>NA</v>
      </c>
      <c r="AI29" s="21" t="str">
        <f>Sheet1!BQ30</f>
        <v>NA</v>
      </c>
      <c r="AJ29" s="21" t="str">
        <f>Sheet1!BS30</f>
        <v>NA</v>
      </c>
      <c r="AK29" s="21" t="str">
        <f>Sheet1!BU30</f>
        <v>NA</v>
      </c>
      <c r="AL29" s="21" t="str">
        <f>Sheet1!BQ30</f>
        <v>NA</v>
      </c>
      <c r="AM29" s="21" t="str">
        <f>Sheet1!BY30</f>
        <v>NA</v>
      </c>
      <c r="AN29" s="21" t="str">
        <f>Sheet1!CA30</f>
        <v>NA</v>
      </c>
      <c r="AO29" s="21" t="str">
        <f>Sheet1!CC30</f>
        <v>NA</v>
      </c>
      <c r="AP29" s="21" t="str">
        <f>Sheet1!CE30</f>
        <v>NA</v>
      </c>
      <c r="AQ29" s="21" t="str">
        <f>Sheet1!CG30</f>
        <v>NA</v>
      </c>
      <c r="AR29" s="21" t="str">
        <f>Sheet1!CI30</f>
        <v>NA</v>
      </c>
      <c r="AS29" s="21" t="str">
        <f>Sheet1!CK30</f>
        <v>NA</v>
      </c>
      <c r="AT29" s="21" t="str">
        <f>Sheet1!CM30</f>
        <v>NA</v>
      </c>
      <c r="AU29" s="21" t="str">
        <f>Sheet1!CO30</f>
        <v>NA</v>
      </c>
      <c r="AV29" s="21" t="str">
        <f>Sheet1!CQ30</f>
        <v>some</v>
      </c>
      <c r="AW29" s="21" t="str">
        <f>Sheet1!CS30</f>
        <v>some</v>
      </c>
      <c r="AX29" s="21" t="str">
        <f>Sheet1!CU30</f>
        <v>some</v>
      </c>
      <c r="AY29" s="21" t="str">
        <f>Sheet1!CW30</f>
        <v>NS</v>
      </c>
      <c r="AZ29" s="21" t="str">
        <f>Sheet1!CY30</f>
        <v>NS</v>
      </c>
      <c r="BA29" s="21" t="str">
        <f>Sheet1!DA30</f>
        <v>all</v>
      </c>
      <c r="BB29" s="21" t="str">
        <f>Sheet1!DC30</f>
        <v>NS</v>
      </c>
      <c r="BC29" s="21" t="str">
        <f>Sheet1!DE30</f>
        <v>all</v>
      </c>
      <c r="BD29" s="21" t="str">
        <f>Sheet1!DG30</f>
        <v>NS</v>
      </c>
      <c r="BE29" s="21" t="str">
        <f>Sheet1!DI30</f>
        <v>NS</v>
      </c>
      <c r="BF29" s="21" t="str">
        <f>Sheet1!DK30</f>
        <v>NS</v>
      </c>
      <c r="BG29" s="21" t="str">
        <f>Sheet1!DM30</f>
        <v>NS</v>
      </c>
      <c r="BH29" s="21" t="str">
        <f>Sheet1!DO30</f>
        <v>NS</v>
      </c>
      <c r="BI29" s="21" t="str">
        <f>Sheet1!DQ30</f>
        <v>NS</v>
      </c>
      <c r="BJ29" s="21" t="str">
        <f>Sheet1!DS30</f>
        <v>disorder</v>
      </c>
      <c r="BK29" s="21" t="str">
        <f>Sheet1!DU30</f>
        <v>NS</v>
      </c>
      <c r="BL29" s="21" t="str">
        <f>Sheet1!DW30</f>
        <v>ICD-10</v>
      </c>
      <c r="BM29" s="21">
        <f>Sheet1!ES30</f>
        <v>9</v>
      </c>
    </row>
    <row r="30" spans="1:66" ht="15.75" customHeight="1" x14ac:dyDescent="0.2">
      <c r="A30" s="21" t="str">
        <f>Sheet1!A31</f>
        <v>Steiner</v>
      </c>
      <c r="B30" s="21">
        <f>Sheet1!B31</f>
        <v>2013</v>
      </c>
      <c r="C30" s="21" t="str">
        <f>_xlfn.CONCAT(data!A30," ",data!B30)</f>
        <v>Steiner 2013</v>
      </c>
      <c r="D30" s="21">
        <f>Sheet1!C31</f>
        <v>77</v>
      </c>
      <c r="E30" s="21">
        <f>Sheet1!E31</f>
        <v>44</v>
      </c>
      <c r="F30" s="21" t="str">
        <f>Sheet1!G31</f>
        <v>NS</v>
      </c>
      <c r="G30" s="21">
        <f>Sheet1!I31</f>
        <v>21.5</v>
      </c>
      <c r="H30" s="21">
        <f>Sheet1!K31</f>
        <v>36</v>
      </c>
      <c r="I30" s="21" t="str">
        <f>Sheet1!M31</f>
        <v>NS</v>
      </c>
      <c r="J30" s="21" t="str">
        <f>Sheet1!O31</f>
        <v>NS</v>
      </c>
      <c r="K30" s="21" t="str">
        <f>Sheet1!Q31</f>
        <v>NS</v>
      </c>
      <c r="L30" s="21" t="str">
        <f>Sheet1!S31</f>
        <v>NS</v>
      </c>
      <c r="M30" s="21">
        <f>Sheet1!U31</f>
        <v>0</v>
      </c>
      <c r="N30" s="21">
        <f>Sheet1!W31</f>
        <v>121</v>
      </c>
      <c r="O30" s="21">
        <f>Sheet1!Y31</f>
        <v>0</v>
      </c>
      <c r="P30" s="21">
        <f>Sheet1!AA31</f>
        <v>0</v>
      </c>
      <c r="Q30" s="21" t="str">
        <f>Sheet1!AC31</f>
        <v>inpat_psych</v>
      </c>
      <c r="R30" s="21">
        <f>Sheet1!AF31</f>
        <v>0</v>
      </c>
      <c r="S30" s="21" t="s">
        <v>86</v>
      </c>
      <c r="T30" s="21" t="str">
        <f>Sheet1!AK31</f>
        <v>No</v>
      </c>
      <c r="U30" s="21" t="str">
        <f>Sheet1!AO31</f>
        <v>NS</v>
      </c>
      <c r="V30" s="21" t="str">
        <f>Sheet1!AQ31</f>
        <v>NS</v>
      </c>
      <c r="W30" s="21" t="str">
        <f>Sheet1!AS31</f>
        <v>NS</v>
      </c>
      <c r="X30" s="21" t="str">
        <f>Sheet1!AU31</f>
        <v>NS</v>
      </c>
      <c r="Y30" s="21" t="str">
        <f>Sheet1!AW31</f>
        <v>NS</v>
      </c>
      <c r="Z30" s="21">
        <f>Sheet1!AY31</f>
        <v>121</v>
      </c>
      <c r="AA30" s="21">
        <f>Sheet1!BA31</f>
        <v>2</v>
      </c>
      <c r="AB30" s="21" t="str">
        <f>Sheet1!BC31</f>
        <v>single</v>
      </c>
      <c r="AC30" s="21">
        <f>Sheet1!BE31</f>
        <v>2</v>
      </c>
      <c r="AD30" s="21">
        <f>Sheet1!BG31</f>
        <v>0</v>
      </c>
      <c r="AE30" s="21">
        <f>Sheet1!BI31</f>
        <v>2</v>
      </c>
      <c r="AF30" s="21" t="str">
        <f>Sheet1!BK31</f>
        <v>NA</v>
      </c>
      <c r="AG30" s="21" t="str">
        <f>Sheet1!BM31</f>
        <v>NA</v>
      </c>
      <c r="AH30" s="21" t="str">
        <f>Sheet1!BO31</f>
        <v>NA</v>
      </c>
      <c r="AI30" s="21" t="str">
        <f>Sheet1!BQ31</f>
        <v>NA</v>
      </c>
      <c r="AJ30" s="21" t="str">
        <f>Sheet1!BS31</f>
        <v>NA</v>
      </c>
      <c r="AK30" s="21" t="str">
        <f>Sheet1!BU31</f>
        <v>NA</v>
      </c>
      <c r="AL30" s="21" t="str">
        <f>Sheet1!BQ31</f>
        <v>NA</v>
      </c>
      <c r="AM30" s="21" t="str">
        <f>Sheet1!BY31</f>
        <v>NA</v>
      </c>
      <c r="AN30" s="21" t="str">
        <f>Sheet1!CA31</f>
        <v>NA</v>
      </c>
      <c r="AO30" s="21" t="str">
        <f>Sheet1!CC31</f>
        <v>NA</v>
      </c>
      <c r="AP30" s="21" t="str">
        <f>Sheet1!CE31</f>
        <v>NA</v>
      </c>
      <c r="AQ30" s="21" t="str">
        <f>Sheet1!CG31</f>
        <v>NA</v>
      </c>
      <c r="AR30" s="21" t="str">
        <f>Sheet1!CI31</f>
        <v>NA</v>
      </c>
      <c r="AS30" s="21" t="str">
        <f>Sheet1!CK31</f>
        <v>NA</v>
      </c>
      <c r="AT30" s="21" t="str">
        <f>Sheet1!CM31</f>
        <v>NA</v>
      </c>
      <c r="AU30" s="21" t="str">
        <f>Sheet1!CO31</f>
        <v>NA</v>
      </c>
      <c r="AV30" s="21" t="str">
        <f>Sheet1!CQ31</f>
        <v>All</v>
      </c>
      <c r="AW30" s="21" t="str">
        <f>Sheet1!CS31</f>
        <v>NS</v>
      </c>
      <c r="AX30" s="21" t="str">
        <f>Sheet1!CU31</f>
        <v>NS</v>
      </c>
      <c r="AY30" s="21" t="str">
        <f>Sheet1!CW31</f>
        <v>all</v>
      </c>
      <c r="AZ30" s="21" t="str">
        <f>Sheet1!CY31</f>
        <v>some</v>
      </c>
      <c r="BA30" s="21" t="str">
        <f>Sheet1!DA31</f>
        <v>all</v>
      </c>
      <c r="BB30" s="21" t="str">
        <f>Sheet1!DC31</f>
        <v>all</v>
      </c>
      <c r="BC30" s="21" t="str">
        <f>Sheet1!DE31</f>
        <v>all</v>
      </c>
      <c r="BD30" s="21" t="str">
        <f>Sheet1!DG31</f>
        <v>Yes</v>
      </c>
      <c r="BE30" s="21" t="str">
        <f>Sheet1!DI31</f>
        <v>all</v>
      </c>
      <c r="BF30" s="21" t="str">
        <f>Sheet1!DK31</f>
        <v>NS</v>
      </c>
      <c r="BG30" s="21" t="str">
        <f>Sheet1!DM31</f>
        <v>NS</v>
      </c>
      <c r="BH30" s="21" t="str">
        <f>Sheet1!DO31</f>
        <v>NS</v>
      </c>
      <c r="BI30" s="21" t="str">
        <f>Sheet1!DQ31</f>
        <v>NS</v>
      </c>
      <c r="BJ30" s="21" t="str">
        <f>Sheet1!DS31</f>
        <v>disorder</v>
      </c>
      <c r="BK30" s="21" t="str">
        <f>Sheet1!DU31</f>
        <v>NS</v>
      </c>
      <c r="BL30" s="21" t="str">
        <f>Sheet1!DW31</f>
        <v>DSM-IV</v>
      </c>
      <c r="BM30" s="21">
        <f>Sheet1!ES31</f>
        <v>9</v>
      </c>
    </row>
    <row r="31" spans="1:66" ht="15.75" customHeight="1" x14ac:dyDescent="0.2">
      <c r="A31" s="21" t="str">
        <f>Sheet1!A32</f>
        <v>Sullivan</v>
      </c>
      <c r="B31" s="21">
        <f>Sheet1!B32</f>
        <v>2020</v>
      </c>
      <c r="C31" s="21" t="str">
        <f>_xlfn.CONCAT(data!A31," ",data!B31)</f>
        <v>Sullivan 2020</v>
      </c>
      <c r="D31" s="21" t="str">
        <f>Sheet1!C32</f>
        <v>NS</v>
      </c>
      <c r="E31" s="21" t="str">
        <f>Sheet1!E32</f>
        <v>NS</v>
      </c>
      <c r="F31" s="21" t="str">
        <f>Sheet1!G32</f>
        <v>NS</v>
      </c>
      <c r="G31" s="21" t="str">
        <f>Sheet1!I32</f>
        <v>NS</v>
      </c>
      <c r="H31" s="21" t="str">
        <f>Sheet1!K32</f>
        <v>NS</v>
      </c>
      <c r="I31" s="21" t="str">
        <f>Sheet1!M32</f>
        <v>NS</v>
      </c>
      <c r="J31" s="21" t="str">
        <f>Sheet1!O32</f>
        <v>NS</v>
      </c>
      <c r="K31" s="21" t="str">
        <f>Sheet1!Q32</f>
        <v>NS</v>
      </c>
      <c r="L31" s="21" t="str">
        <f>Sheet1!S32</f>
        <v>NS</v>
      </c>
      <c r="M31" s="21" t="str">
        <f>Sheet1!U32</f>
        <v>NS</v>
      </c>
      <c r="N31" s="21" t="str">
        <f>Sheet1!W32</f>
        <v>NS</v>
      </c>
      <c r="O31" s="21" t="str">
        <f>Sheet1!Y32</f>
        <v>NS</v>
      </c>
      <c r="P31" s="21" t="str">
        <f>Sheet1!AA32</f>
        <v>NS</v>
      </c>
      <c r="Q31" s="21" t="str">
        <f>Sheet1!AC32</f>
        <v>mixture</v>
      </c>
      <c r="R31" s="21" t="str">
        <f>Sheet1!AF32</f>
        <v>euro</v>
      </c>
      <c r="S31" s="21" t="str">
        <f>Sheet1!AI32</f>
        <v>yes</v>
      </c>
      <c r="T31" s="21" t="str">
        <f>Sheet1!AK32</f>
        <v>no</v>
      </c>
      <c r="U31" s="21" t="str">
        <f>Sheet1!AO32</f>
        <v>NS</v>
      </c>
      <c r="V31" s="21" t="str">
        <f>Sheet1!AQ32</f>
        <v>NS</v>
      </c>
      <c r="W31" s="21" t="str">
        <f>Sheet1!AS32</f>
        <v>NS</v>
      </c>
      <c r="X31" s="21" t="str">
        <f>Sheet1!AU32</f>
        <v>NS</v>
      </c>
      <c r="Y31" s="21" t="str">
        <f>Sheet1!AW32</f>
        <v>NS</v>
      </c>
      <c r="Z31" s="21">
        <f>Sheet1!AY32</f>
        <v>313</v>
      </c>
      <c r="AA31" s="21">
        <f>Sheet1!BA32</f>
        <v>67</v>
      </c>
      <c r="AB31" s="21" t="str">
        <f>Sheet1!BC32</f>
        <v>multiple</v>
      </c>
      <c r="AC31" s="21">
        <f>Sheet1!BE32</f>
        <v>59</v>
      </c>
      <c r="AD31" s="21">
        <f>Sheet1!BG32</f>
        <v>8</v>
      </c>
      <c r="AE31" s="21" t="str">
        <f>Sheet1!BI32</f>
        <v>NA</v>
      </c>
      <c r="AF31" s="21" t="str">
        <f>Sheet1!BK32</f>
        <v>NA</v>
      </c>
      <c r="AG31" s="21">
        <f>Sheet1!BM32</f>
        <v>8</v>
      </c>
      <c r="AH31" s="21" t="str">
        <f>Sheet1!BO32</f>
        <v>NA</v>
      </c>
      <c r="AI31" s="21" t="str">
        <f>Sheet1!BQ32</f>
        <v>NA</v>
      </c>
      <c r="AJ31" s="21" t="str">
        <f>Sheet1!BS32</f>
        <v>NA</v>
      </c>
      <c r="AK31" s="21" t="str">
        <f>Sheet1!BU32</f>
        <v>NA</v>
      </c>
      <c r="AL31" s="21" t="str">
        <f>Sheet1!BQ32</f>
        <v>NA</v>
      </c>
      <c r="AM31" s="21" t="str">
        <f>Sheet1!BY32</f>
        <v>NA</v>
      </c>
      <c r="AN31" s="21" t="str">
        <f>Sheet1!CA32</f>
        <v>NA</v>
      </c>
      <c r="AO31" s="21" t="str">
        <f>Sheet1!CC32</f>
        <v>NA</v>
      </c>
      <c r="AP31" s="21" t="str">
        <f>Sheet1!CE32</f>
        <v>NA</v>
      </c>
      <c r="AQ31" s="21" t="str">
        <f>Sheet1!CG32</f>
        <v>NA</v>
      </c>
      <c r="AR31" s="21" t="str">
        <f>Sheet1!CI32</f>
        <v>NA</v>
      </c>
      <c r="AS31" s="21" t="str">
        <f>Sheet1!CK32</f>
        <v>NA</v>
      </c>
      <c r="AT31" s="21" t="str">
        <f>Sheet1!CM32</f>
        <v>NA</v>
      </c>
      <c r="AU31" s="21">
        <f>Sheet1!CO32</f>
        <v>59</v>
      </c>
      <c r="AV31" s="21" t="str">
        <f>Sheet1!CQ32</f>
        <v>NS</v>
      </c>
      <c r="AW31" s="21" t="str">
        <f>Sheet1!CS32</f>
        <v>NS</v>
      </c>
      <c r="AX31" s="21" t="str">
        <f>Sheet1!CU32</f>
        <v>NS</v>
      </c>
      <c r="AY31" s="21" t="str">
        <f>Sheet1!CW32</f>
        <v>NS</v>
      </c>
      <c r="AZ31" s="21" t="str">
        <f>Sheet1!CY32</f>
        <v>NS</v>
      </c>
      <c r="BA31" s="21" t="str">
        <f>Sheet1!DA32</f>
        <v>NS</v>
      </c>
      <c r="BB31" s="21" t="str">
        <f>Sheet1!DC32</f>
        <v>NS</v>
      </c>
      <c r="BC31" s="21" t="str">
        <f>Sheet1!DE32</f>
        <v>all</v>
      </c>
      <c r="BD31" s="21" t="str">
        <f>Sheet1!DG32</f>
        <v>yes</v>
      </c>
      <c r="BE31" s="21" t="str">
        <f>Sheet1!DI32</f>
        <v>NS</v>
      </c>
      <c r="BF31" s="21" t="str">
        <f>Sheet1!DK32</f>
        <v>NS</v>
      </c>
      <c r="BG31" s="21" t="str">
        <f>Sheet1!DM32</f>
        <v>NS</v>
      </c>
      <c r="BH31" s="21" t="str">
        <f>Sheet1!DO32</f>
        <v>NS</v>
      </c>
      <c r="BI31" s="21" t="str">
        <f>Sheet1!DQ32</f>
        <v>NS</v>
      </c>
      <c r="BJ31" s="21" t="str">
        <f>Sheet1!DS32</f>
        <v>symptoms</v>
      </c>
      <c r="BK31" s="21" t="str">
        <f>Sheet1!DU32</f>
        <v>NS</v>
      </c>
      <c r="BL31" s="21" t="str">
        <f>Sheet1!DW32</f>
        <v>NS</v>
      </c>
      <c r="BM31" s="21">
        <f>Sheet1!ES32</f>
        <v>7</v>
      </c>
    </row>
    <row r="32" spans="1:66" ht="15.75" customHeight="1" x14ac:dyDescent="0.2">
      <c r="A32" s="21" t="str">
        <f>Sheet1!A33</f>
        <v>Thompson</v>
      </c>
      <c r="B32" s="21">
        <f>Sheet1!B33</f>
        <v>2016</v>
      </c>
      <c r="C32" s="21" t="str">
        <f>_xlfn.CONCAT(data!A32," ",data!B32)</f>
        <v>Thompson 2016</v>
      </c>
      <c r="D32" s="21">
        <f>Sheet1!C33</f>
        <v>658</v>
      </c>
      <c r="E32" s="21">
        <f>Sheet1!E33</f>
        <v>296</v>
      </c>
      <c r="F32" s="21">
        <f>Sheet1!G33</f>
        <v>21.3</v>
      </c>
      <c r="G32" s="21">
        <f>Sheet1!I33</f>
        <v>20.7</v>
      </c>
      <c r="H32" s="21">
        <f>Sheet1!K33</f>
        <v>21.3</v>
      </c>
      <c r="I32" s="21">
        <f>Sheet1!M33</f>
        <v>59</v>
      </c>
      <c r="J32" s="21">
        <f>Sheet1!O33</f>
        <v>710</v>
      </c>
      <c r="K32" s="21">
        <f>Sheet1!Q33</f>
        <v>139</v>
      </c>
      <c r="L32" s="21">
        <f>Sheet1!S33</f>
        <v>46</v>
      </c>
      <c r="M32" s="21">
        <f>Sheet1!U33</f>
        <v>0</v>
      </c>
      <c r="N32" s="21">
        <f>Sheet1!W33</f>
        <v>0</v>
      </c>
      <c r="O32" s="21">
        <f>Sheet1!Y33</f>
        <v>954</v>
      </c>
      <c r="P32" s="21">
        <f>Sheet1!AA33</f>
        <v>0</v>
      </c>
      <c r="Q32" s="21" t="str">
        <f>Sheet1!AC33</f>
        <v>outpat_psych</v>
      </c>
      <c r="R32" s="21" t="str">
        <f>Sheet1!AF33</f>
        <v>euro</v>
      </c>
      <c r="S32" s="21" t="str">
        <f>Sheet1!AI33</f>
        <v>no</v>
      </c>
      <c r="T32" s="21" t="str">
        <f>Sheet1!AK33</f>
        <v>yes</v>
      </c>
      <c r="U32" s="21">
        <f>Sheet1!AO33</f>
        <v>0</v>
      </c>
      <c r="V32" s="21">
        <f>Sheet1!AQ33</f>
        <v>0</v>
      </c>
      <c r="W32" s="21">
        <f>Sheet1!AS33</f>
        <v>316.10000000000002</v>
      </c>
      <c r="X32" s="21">
        <f>Sheet1!AU33</f>
        <v>328.3</v>
      </c>
      <c r="Y32" s="21">
        <f>Sheet1!AW33</f>
        <v>154.69999999999999</v>
      </c>
      <c r="Z32" s="21">
        <f>Sheet1!AY33</f>
        <v>954</v>
      </c>
      <c r="AA32" s="21">
        <f>Sheet1!BA33</f>
        <v>67</v>
      </c>
      <c r="AB32" s="21" t="str">
        <f>Sheet1!BC33</f>
        <v>single</v>
      </c>
      <c r="AC32" s="21">
        <f>Sheet1!BE33</f>
        <v>0</v>
      </c>
      <c r="AD32" s="21">
        <f>Sheet1!BG33</f>
        <v>67</v>
      </c>
      <c r="AE32" s="21" t="str">
        <f>Sheet1!BI33</f>
        <v>NA</v>
      </c>
      <c r="AF32" s="21" t="str">
        <f>Sheet1!BK33</f>
        <v>NA</v>
      </c>
      <c r="AG32" s="21">
        <f>Sheet1!BM33</f>
        <v>67</v>
      </c>
      <c r="AH32" s="21" t="str">
        <f>Sheet1!BO33</f>
        <v>NA</v>
      </c>
      <c r="AI32" s="21" t="str">
        <f>Sheet1!BQ33</f>
        <v>NA</v>
      </c>
      <c r="AJ32" s="21" t="str">
        <f>Sheet1!BS33</f>
        <v>NA</v>
      </c>
      <c r="AK32" s="21" t="str">
        <f>Sheet1!BU33</f>
        <v>NA</v>
      </c>
      <c r="AL32" s="21" t="str">
        <f>Sheet1!BQ33</f>
        <v>NA</v>
      </c>
      <c r="AM32" s="21" t="str">
        <f>Sheet1!BY33</f>
        <v>NA</v>
      </c>
      <c r="AN32" s="21" t="str">
        <f>Sheet1!CA33</f>
        <v>NA</v>
      </c>
      <c r="AO32" s="21" t="str">
        <f>Sheet1!CC33</f>
        <v>NA</v>
      </c>
      <c r="AP32" s="21" t="str">
        <f>Sheet1!CE33</f>
        <v>NA</v>
      </c>
      <c r="AQ32" s="21" t="str">
        <f>Sheet1!CG33</f>
        <v>NA</v>
      </c>
      <c r="AR32" s="21" t="str">
        <f>Sheet1!CI33</f>
        <v>NA</v>
      </c>
      <c r="AS32" s="21" t="str">
        <f>Sheet1!CK33</f>
        <v>NA</v>
      </c>
      <c r="AT32" s="21" t="str">
        <f>Sheet1!CM33</f>
        <v>NA</v>
      </c>
      <c r="AU32" s="21" t="str">
        <f>Sheet1!CO33</f>
        <v>NA</v>
      </c>
      <c r="AV32" s="21" t="str">
        <f>Sheet1!CQ33</f>
        <v>NS</v>
      </c>
      <c r="AW32" s="21" t="str">
        <f>Sheet1!CS33</f>
        <v>NS</v>
      </c>
      <c r="AX32" s="21" t="str">
        <f>Sheet1!CU33</f>
        <v>NS</v>
      </c>
      <c r="AY32" s="21" t="str">
        <f>Sheet1!CW33</f>
        <v>NS</v>
      </c>
      <c r="AZ32" s="21" t="str">
        <f>Sheet1!CY33</f>
        <v>NS</v>
      </c>
      <c r="BA32" s="21" t="str">
        <f>Sheet1!DA33</f>
        <v>NS</v>
      </c>
      <c r="BB32" s="21" t="str">
        <f>Sheet1!DC33</f>
        <v>NS</v>
      </c>
      <c r="BC32" s="21" t="str">
        <f>Sheet1!DE33</f>
        <v>all</v>
      </c>
      <c r="BD32" s="21" t="str">
        <f>Sheet1!DG33</f>
        <v>yes</v>
      </c>
      <c r="BE32" s="21" t="str">
        <f>Sheet1!DI33</f>
        <v>NS</v>
      </c>
      <c r="BF32" s="21" t="str">
        <f>Sheet1!DK33</f>
        <v>NS</v>
      </c>
      <c r="BG32" s="21" t="str">
        <f>Sheet1!DM33</f>
        <v>NS</v>
      </c>
      <c r="BH32" s="21" t="str">
        <f>Sheet1!DO33</f>
        <v>NS</v>
      </c>
      <c r="BI32" s="21" t="str">
        <f>Sheet1!DQ33</f>
        <v>NS</v>
      </c>
      <c r="BJ32" s="21" t="str">
        <f>Sheet1!DS33</f>
        <v>disorder</v>
      </c>
      <c r="BK32" s="21" t="str">
        <f>Sheet1!DU33</f>
        <v>OPCRIT, Clinical Assessment</v>
      </c>
      <c r="BL32" s="21" t="str">
        <f>Sheet1!DW33</f>
        <v>ICD-10</v>
      </c>
      <c r="BM32" s="21">
        <f>Sheet1!ES33</f>
        <v>9</v>
      </c>
    </row>
    <row r="33" spans="1:65" ht="15.75" customHeight="1" x14ac:dyDescent="0.2">
      <c r="A33" s="21" t="str">
        <f>Sheet1!A34</f>
        <v>Turner</v>
      </c>
      <c r="B33" s="21">
        <f>Sheet1!B34</f>
        <v>2006</v>
      </c>
      <c r="C33" s="21" t="str">
        <f>_xlfn.CONCAT(data!A33," ",data!B33)</f>
        <v>Turner 2006</v>
      </c>
      <c r="D33" s="21" t="str">
        <f>Sheet1!C34</f>
        <v>NS</v>
      </c>
      <c r="E33" s="21" t="str">
        <f>Sheet1!E34</f>
        <v>NS</v>
      </c>
      <c r="F33" s="21" t="str">
        <f>Sheet1!G34</f>
        <v>NS</v>
      </c>
      <c r="G33" s="21" t="str">
        <f>Sheet1!I34</f>
        <v>NS</v>
      </c>
      <c r="H33" s="21" t="str">
        <f>Sheet1!K34</f>
        <v>NS</v>
      </c>
      <c r="I33" s="21" t="str">
        <f>Sheet1!M34</f>
        <v>NS</v>
      </c>
      <c r="J33" s="21" t="str">
        <f>Sheet1!O34</f>
        <v>NS</v>
      </c>
      <c r="K33" s="21" t="str">
        <f>Sheet1!Q34</f>
        <v>NS</v>
      </c>
      <c r="L33" s="21" t="str">
        <f>Sheet1!S34</f>
        <v>NS</v>
      </c>
      <c r="M33" s="21" t="str">
        <f>Sheet1!U34</f>
        <v>NS</v>
      </c>
      <c r="N33" s="21" t="str">
        <f>Sheet1!W34</f>
        <v>NS</v>
      </c>
      <c r="O33" s="21" t="str">
        <f>Sheet1!Y34</f>
        <v>NS</v>
      </c>
      <c r="P33" s="21" t="str">
        <f>Sheet1!AA34</f>
        <v>NS</v>
      </c>
      <c r="Q33" s="21" t="str">
        <f>Sheet1!AC34</f>
        <v>mixture</v>
      </c>
      <c r="R33" s="21" t="str">
        <f>Sheet1!AF34</f>
        <v>aus</v>
      </c>
      <c r="S33" s="21" t="str">
        <f>Sheet1!AI34</f>
        <v>yes</v>
      </c>
      <c r="T33" s="21" t="str">
        <f>Sheet1!AK34</f>
        <v>yes</v>
      </c>
      <c r="U33" s="21">
        <f>Sheet1!AO34</f>
        <v>0</v>
      </c>
      <c r="V33" s="21">
        <f>Sheet1!AQ34</f>
        <v>0</v>
      </c>
      <c r="W33" s="21">
        <f>Sheet1!AS34</f>
        <v>197</v>
      </c>
      <c r="X33" s="21" t="str">
        <f>Sheet1!AU34</f>
        <v>NS</v>
      </c>
      <c r="Y33" s="21" t="str">
        <f>Sheet1!AW34</f>
        <v>NS</v>
      </c>
      <c r="Z33" s="21">
        <f>Sheet1!AY34</f>
        <v>117</v>
      </c>
      <c r="AA33" s="21">
        <f>Sheet1!BA34</f>
        <v>9</v>
      </c>
      <c r="AB33" s="21" t="str">
        <f>Sheet1!BC34</f>
        <v>single</v>
      </c>
      <c r="AC33" s="21">
        <f>Sheet1!BE34</f>
        <v>0</v>
      </c>
      <c r="AD33" s="21">
        <f>Sheet1!BG34</f>
        <v>9</v>
      </c>
      <c r="AE33" s="21" t="str">
        <f>Sheet1!BI34</f>
        <v>NA</v>
      </c>
      <c r="AF33" s="21" t="str">
        <f>Sheet1!BK34</f>
        <v>NA</v>
      </c>
      <c r="AG33" s="21">
        <f>Sheet1!BM34</f>
        <v>9</v>
      </c>
      <c r="AH33" s="21" t="str">
        <f>Sheet1!BO34</f>
        <v>NA</v>
      </c>
      <c r="AI33" s="21" t="str">
        <f>Sheet1!BQ34</f>
        <v>NA</v>
      </c>
      <c r="AJ33" s="21" t="str">
        <f>Sheet1!BS34</f>
        <v>NA</v>
      </c>
      <c r="AK33" s="21" t="str">
        <f>Sheet1!BU34</f>
        <v>NA</v>
      </c>
      <c r="AL33" s="21" t="str">
        <f>Sheet1!BQ34</f>
        <v>NA</v>
      </c>
      <c r="AM33" s="21" t="str">
        <f>Sheet1!BY34</f>
        <v>NA</v>
      </c>
      <c r="AN33" s="21" t="str">
        <f>Sheet1!CA34</f>
        <v>NA</v>
      </c>
      <c r="AO33" s="21" t="str">
        <f>Sheet1!CC34</f>
        <v>NA</v>
      </c>
      <c r="AP33" s="21" t="str">
        <f>Sheet1!CE34</f>
        <v>NA</v>
      </c>
      <c r="AQ33" s="21" t="str">
        <f>Sheet1!CG34</f>
        <v>NA</v>
      </c>
      <c r="AR33" s="21" t="str">
        <f>Sheet1!CI34</f>
        <v>NA</v>
      </c>
      <c r="AS33" s="21" t="str">
        <f>Sheet1!CK34</f>
        <v>NA</v>
      </c>
      <c r="AT33" s="21" t="str">
        <f>Sheet1!CM34</f>
        <v>NA</v>
      </c>
      <c r="AU33" s="21" t="str">
        <f>Sheet1!CO34</f>
        <v>NA</v>
      </c>
      <c r="AV33" s="21" t="str">
        <f>Sheet1!CQ34</f>
        <v>NS</v>
      </c>
      <c r="AW33" s="21" t="str">
        <f>Sheet1!CS34</f>
        <v>NS</v>
      </c>
      <c r="AX33" s="21" t="str">
        <f>Sheet1!CU34</f>
        <v>NS</v>
      </c>
      <c r="AY33" s="21" t="str">
        <f>Sheet1!CW34</f>
        <v>NS</v>
      </c>
      <c r="AZ33" s="21" t="str">
        <f>Sheet1!CY34</f>
        <v>NS</v>
      </c>
      <c r="BA33" s="21" t="str">
        <f>Sheet1!DA34</f>
        <v>NS</v>
      </c>
      <c r="BB33" s="21" t="str">
        <f>Sheet1!DC34</f>
        <v>NS</v>
      </c>
      <c r="BC33" s="21" t="str">
        <f>Sheet1!DE34</f>
        <v>all</v>
      </c>
      <c r="BD33" s="21" t="str">
        <f>Sheet1!DG34</f>
        <v>yes</v>
      </c>
      <c r="BE33" s="21" t="str">
        <f>Sheet1!DI34</f>
        <v>NS</v>
      </c>
      <c r="BF33" s="21" t="str">
        <f>Sheet1!DK34</f>
        <v>NS</v>
      </c>
      <c r="BG33" s="21" t="str">
        <f>Sheet1!DM34</f>
        <v>NS</v>
      </c>
      <c r="BH33" s="21" t="str">
        <f>Sheet1!DO34</f>
        <v>NS</v>
      </c>
      <c r="BI33" s="21" t="str">
        <f>Sheet1!DQ34</f>
        <v>NS</v>
      </c>
      <c r="BJ33" s="21" t="str">
        <f>Sheet1!DS34</f>
        <v>disorder</v>
      </c>
      <c r="BK33" s="21" t="str">
        <f>Sheet1!DU34</f>
        <v>Clinical Assessment</v>
      </c>
      <c r="BL33" s="21" t="str">
        <f>Sheet1!DW34</f>
        <v>DSM-IV</v>
      </c>
      <c r="BM33" s="21">
        <f>Sheet1!ES34</f>
        <v>8</v>
      </c>
    </row>
    <row r="34" spans="1:65" ht="15.75" customHeight="1" x14ac:dyDescent="0.2">
      <c r="A34" s="21" t="str">
        <f>Sheet1!A35</f>
        <v>Williams</v>
      </c>
      <c r="B34" s="21">
        <f>Sheet1!B35</f>
        <v>2014</v>
      </c>
      <c r="C34" s="21" t="str">
        <f>_xlfn.CONCAT(data!A34," ",data!B34)</f>
        <v>Williams 2014</v>
      </c>
      <c r="D34" s="21" t="str">
        <f>Sheet1!C35</f>
        <v>NS</v>
      </c>
      <c r="E34" s="21" t="str">
        <f>Sheet1!E35</f>
        <v>NS</v>
      </c>
      <c r="F34" s="21" t="str">
        <f>Sheet1!G35</f>
        <v>NS</v>
      </c>
      <c r="G34" s="21" t="str">
        <f>Sheet1!I35</f>
        <v>NS</v>
      </c>
      <c r="H34" s="21" t="str">
        <f>Sheet1!K35</f>
        <v>NS</v>
      </c>
      <c r="I34" s="21" t="str">
        <f>Sheet1!M35</f>
        <v>NS</v>
      </c>
      <c r="J34" s="21" t="str">
        <f>Sheet1!O35</f>
        <v>NS</v>
      </c>
      <c r="K34" s="21" t="str">
        <f>Sheet1!Q35</f>
        <v>NS</v>
      </c>
      <c r="L34" s="21" t="str">
        <f>Sheet1!S35</f>
        <v>NS</v>
      </c>
      <c r="M34" s="21">
        <f>Sheet1!U35</f>
        <v>0</v>
      </c>
      <c r="N34" s="21">
        <f>Sheet1!W35</f>
        <v>115</v>
      </c>
      <c r="O34" s="21">
        <f>Sheet1!Y35</f>
        <v>0</v>
      </c>
      <c r="P34" s="21">
        <f>Sheet1!AA35</f>
        <v>0</v>
      </c>
      <c r="Q34" s="21" t="str">
        <f>Sheet1!AC35</f>
        <v>inpat_psych</v>
      </c>
      <c r="R34" s="21" t="str">
        <f>Sheet1!AF35</f>
        <v>n_am</v>
      </c>
      <c r="S34" s="21" t="str">
        <f>Sheet1!AI35</f>
        <v>no</v>
      </c>
      <c r="T34" s="21" t="str">
        <f>Sheet1!AK35</f>
        <v>yes</v>
      </c>
      <c r="U34" s="21">
        <f>Sheet1!AO35</f>
        <v>0</v>
      </c>
      <c r="V34" s="21">
        <f>Sheet1!AQ35</f>
        <v>0</v>
      </c>
      <c r="W34" s="21" t="str">
        <f>Sheet1!AS35</f>
        <v>NS</v>
      </c>
      <c r="X34" s="21" t="str">
        <f>Sheet1!AU35</f>
        <v>NS</v>
      </c>
      <c r="Y34" s="21" t="str">
        <f>Sheet1!AW35</f>
        <v>NS</v>
      </c>
      <c r="Z34" s="21">
        <f>Sheet1!AY35</f>
        <v>115</v>
      </c>
      <c r="AA34" s="21">
        <f>Sheet1!BA35</f>
        <v>0</v>
      </c>
      <c r="AB34" s="21" t="str">
        <f>Sheet1!BC35</f>
        <v>multiple</v>
      </c>
      <c r="AC34" s="21">
        <f>Sheet1!BE35</f>
        <v>0</v>
      </c>
      <c r="AD34" s="21">
        <f>Sheet1!BG35</f>
        <v>0</v>
      </c>
      <c r="AE34" s="21" t="str">
        <f>Sheet1!BI35</f>
        <v>NA</v>
      </c>
      <c r="AF34" s="21">
        <f>Sheet1!BK35</f>
        <v>0</v>
      </c>
      <c r="AG34" s="21" t="str">
        <f>Sheet1!BM35</f>
        <v>NA</v>
      </c>
      <c r="AH34" s="21" t="str">
        <f>Sheet1!BO35</f>
        <v>NA</v>
      </c>
      <c r="AI34" s="21">
        <f>Sheet1!BQ35</f>
        <v>0</v>
      </c>
      <c r="AJ34" s="21">
        <f>Sheet1!BS35</f>
        <v>0</v>
      </c>
      <c r="AK34" s="21" t="str">
        <f>Sheet1!BU35</f>
        <v>NA</v>
      </c>
      <c r="AL34" s="21">
        <f>Sheet1!BQ35</f>
        <v>0</v>
      </c>
      <c r="AM34" s="21" t="str">
        <f>Sheet1!BY35</f>
        <v>NA</v>
      </c>
      <c r="AN34" s="21">
        <f>Sheet1!CA35</f>
        <v>0</v>
      </c>
      <c r="AO34" s="21">
        <f>Sheet1!CC35</f>
        <v>0</v>
      </c>
      <c r="AP34" s="21">
        <f>Sheet1!CE35</f>
        <v>0</v>
      </c>
      <c r="AQ34" s="21" t="str">
        <f>Sheet1!CG35</f>
        <v>NA</v>
      </c>
      <c r="AR34" s="21">
        <f>Sheet1!CI35</f>
        <v>0</v>
      </c>
      <c r="AS34" s="21" t="str">
        <f>Sheet1!CK35</f>
        <v>NA</v>
      </c>
      <c r="AT34" s="21" t="str">
        <f>Sheet1!CM35</f>
        <v>NA</v>
      </c>
      <c r="AU34" s="21" t="str">
        <f>Sheet1!CO35</f>
        <v>NA</v>
      </c>
      <c r="AV34" s="21" t="str">
        <f>Sheet1!CQ35</f>
        <v>Some</v>
      </c>
      <c r="AW34" s="21" t="str">
        <f>Sheet1!CS35</f>
        <v>some</v>
      </c>
      <c r="AX34" s="21" t="str">
        <f>Sheet1!CU35</f>
        <v>NS</v>
      </c>
      <c r="AY34" s="21" t="str">
        <f>Sheet1!CW35</f>
        <v>yes - NS</v>
      </c>
      <c r="AZ34" s="21" t="str">
        <f>Sheet1!CY35</f>
        <v>NS</v>
      </c>
      <c r="BA34" s="21" t="str">
        <f>Sheet1!DA35</f>
        <v>Yes - NS</v>
      </c>
      <c r="BB34" s="21" t="str">
        <f>Sheet1!DC35</f>
        <v>Yes - NS</v>
      </c>
      <c r="BC34" s="21" t="str">
        <f>Sheet1!DE35</f>
        <v>NS</v>
      </c>
      <c r="BD34" s="21" t="str">
        <f>Sheet1!DG35</f>
        <v>NS</v>
      </c>
      <c r="BE34" s="21" t="str">
        <f>Sheet1!DI35</f>
        <v>NS</v>
      </c>
      <c r="BF34" s="21" t="str">
        <f>Sheet1!DK35</f>
        <v>NS</v>
      </c>
      <c r="BG34" s="21" t="str">
        <f>Sheet1!DM35</f>
        <v>NS</v>
      </c>
      <c r="BH34" s="21" t="str">
        <f>Sheet1!DO35</f>
        <v>NS</v>
      </c>
      <c r="BI34" s="21" t="str">
        <f>Sheet1!DQ35</f>
        <v>NS</v>
      </c>
      <c r="BJ34" s="21" t="str">
        <f>Sheet1!DS35</f>
        <v>disorder</v>
      </c>
      <c r="BK34" s="21" t="str">
        <f>Sheet1!DU35</f>
        <v>NS</v>
      </c>
      <c r="BL34" s="21" t="str">
        <f>Sheet1!DW35</f>
        <v>NS</v>
      </c>
      <c r="BM34" s="21">
        <f>Sheet1!ES35</f>
        <v>10</v>
      </c>
    </row>
    <row r="35" spans="1:65" ht="15.75" customHeight="1" x14ac:dyDescent="0.2">
      <c r="A35" s="21" t="str">
        <f>Sheet1!A36</f>
        <v>Yaxley</v>
      </c>
      <c r="B35" s="21">
        <f>Sheet1!B36</f>
        <v>2021</v>
      </c>
      <c r="C35" s="21" t="str">
        <f>_xlfn.CONCAT(data!A35," ",data!B35)</f>
        <v>Yaxley 2021</v>
      </c>
      <c r="D35" s="21" t="str">
        <f>Sheet1!C36</f>
        <v>NS</v>
      </c>
      <c r="E35" s="21" t="str">
        <f>Sheet1!E36</f>
        <v>NS</v>
      </c>
      <c r="F35" s="21" t="str">
        <f>Sheet1!G36</f>
        <v>NS</v>
      </c>
      <c r="G35" s="21" t="str">
        <f>Sheet1!I36</f>
        <v>NS</v>
      </c>
      <c r="H35" s="21" t="str">
        <f>Sheet1!K36</f>
        <v>NS</v>
      </c>
      <c r="I35" s="21" t="str">
        <f>Sheet1!M36</f>
        <v>NS</v>
      </c>
      <c r="J35" s="21" t="str">
        <f>Sheet1!O36</f>
        <v>NS</v>
      </c>
      <c r="K35" s="21" t="str">
        <f>Sheet1!Q36</f>
        <v>NS</v>
      </c>
      <c r="L35" s="21" t="str">
        <f>Sheet1!S36</f>
        <v>NS</v>
      </c>
      <c r="M35" s="21" t="str">
        <f>Sheet1!U36</f>
        <v>NS</v>
      </c>
      <c r="N35" s="21" t="str">
        <f>Sheet1!W36</f>
        <v>NS</v>
      </c>
      <c r="O35" s="21" t="str">
        <f>Sheet1!Y36</f>
        <v>NS</v>
      </c>
      <c r="P35" s="21" t="str">
        <f>Sheet1!AA36</f>
        <v>Germany</v>
      </c>
      <c r="Q35" s="21" t="str">
        <f>Sheet1!AC36</f>
        <v>inpat_psych</v>
      </c>
      <c r="R35" s="21" t="str">
        <f>Sheet1!AF36</f>
        <v>aus</v>
      </c>
      <c r="S35" s="21" t="str">
        <f>Sheet1!AI36</f>
        <v>no</v>
      </c>
      <c r="T35" s="21" t="str">
        <f>Sheet1!AK36</f>
        <v>yes</v>
      </c>
      <c r="U35" s="21">
        <f>Sheet1!AO36</f>
        <v>0</v>
      </c>
      <c r="V35" s="21">
        <f>Sheet1!AQ36</f>
        <v>0</v>
      </c>
      <c r="W35" s="21">
        <f>Sheet1!AS36</f>
        <v>0</v>
      </c>
      <c r="X35" s="21">
        <f>Sheet1!AU36</f>
        <v>0</v>
      </c>
      <c r="Y35" s="21">
        <f>Sheet1!AW36</f>
        <v>0</v>
      </c>
      <c r="Z35" s="21">
        <f>Sheet1!AY36</f>
        <v>132</v>
      </c>
      <c r="AA35" s="21">
        <f>Sheet1!BA36</f>
        <v>45</v>
      </c>
      <c r="AB35" s="21" t="str">
        <f>Sheet1!BC36</f>
        <v>multiple</v>
      </c>
      <c r="AC35" s="21">
        <f>Sheet1!BE36</f>
        <v>1</v>
      </c>
      <c r="AD35" s="21">
        <f>Sheet1!BG36</f>
        <v>44</v>
      </c>
      <c r="AE35" s="21">
        <f>Sheet1!BI36</f>
        <v>0</v>
      </c>
      <c r="AF35" s="21">
        <f>Sheet1!BK36</f>
        <v>0</v>
      </c>
      <c r="AG35" s="21">
        <f>Sheet1!BM36</f>
        <v>44</v>
      </c>
      <c r="AH35" s="21">
        <f>Sheet1!BO36</f>
        <v>0</v>
      </c>
      <c r="AI35" s="21">
        <f>Sheet1!BQ36</f>
        <v>0</v>
      </c>
      <c r="AJ35" s="21">
        <f>Sheet1!BS36</f>
        <v>0</v>
      </c>
      <c r="AK35" s="21">
        <f>Sheet1!BU36</f>
        <v>0</v>
      </c>
      <c r="AL35" s="21">
        <f>Sheet1!BQ36</f>
        <v>0</v>
      </c>
      <c r="AM35" s="21">
        <f>Sheet1!BY36</f>
        <v>0</v>
      </c>
      <c r="AN35" s="21">
        <f>Sheet1!CA36</f>
        <v>1</v>
      </c>
      <c r="AO35" s="21">
        <f>Sheet1!CC36</f>
        <v>0</v>
      </c>
      <c r="AP35" s="21">
        <f>Sheet1!CE36</f>
        <v>0</v>
      </c>
      <c r="AQ35" s="21">
        <f>Sheet1!CG36</f>
        <v>0</v>
      </c>
      <c r="AR35" s="21">
        <f>Sheet1!CI36</f>
        <v>0</v>
      </c>
      <c r="AS35" s="21">
        <f>Sheet1!CK36</f>
        <v>0</v>
      </c>
      <c r="AT35" s="21">
        <f>Sheet1!CM36</f>
        <v>0</v>
      </c>
      <c r="AU35" s="21">
        <f>Sheet1!CO36</f>
        <v>0</v>
      </c>
      <c r="AV35" s="21" t="str">
        <f>Sheet1!CQ36</f>
        <v>Some</v>
      </c>
      <c r="AW35" s="21" t="str">
        <f>Sheet1!CS36</f>
        <v>some</v>
      </c>
      <c r="AX35" s="21" t="str">
        <f>Sheet1!CU36</f>
        <v>NS</v>
      </c>
      <c r="AY35" s="21" t="str">
        <f>Sheet1!CW36</f>
        <v>NS</v>
      </c>
      <c r="AZ35" s="21" t="str">
        <f>Sheet1!CY36</f>
        <v>NS</v>
      </c>
      <c r="BA35" s="21" t="str">
        <f>Sheet1!DA36</f>
        <v>some</v>
      </c>
      <c r="BB35" s="21" t="str">
        <f>Sheet1!DC36</f>
        <v>some</v>
      </c>
      <c r="BC35" s="21" t="str">
        <f>Sheet1!DE36</f>
        <v>NS</v>
      </c>
      <c r="BD35" s="21" t="str">
        <f>Sheet1!DG36</f>
        <v>NS</v>
      </c>
      <c r="BE35" s="21" t="str">
        <f>Sheet1!DI36</f>
        <v>NS</v>
      </c>
      <c r="BF35" s="21" t="str">
        <f>Sheet1!DK36</f>
        <v>NS</v>
      </c>
      <c r="BG35" s="21" t="str">
        <f>Sheet1!DM36</f>
        <v>NS</v>
      </c>
      <c r="BH35" s="21" t="str">
        <f>Sheet1!DO36</f>
        <v>NS</v>
      </c>
      <c r="BI35" s="21" t="str">
        <f>Sheet1!DQ36</f>
        <v>NS</v>
      </c>
      <c r="BJ35" s="21" t="str">
        <f>Sheet1!DS36</f>
        <v>disorder</v>
      </c>
      <c r="BK35" s="21" t="str">
        <f>Sheet1!DU36</f>
        <v>NS</v>
      </c>
      <c r="BL35" s="21" t="str">
        <f>Sheet1!DW36</f>
        <v>NS</v>
      </c>
      <c r="BM35" s="21">
        <f>Sheet1!ES36</f>
        <v>10</v>
      </c>
    </row>
    <row r="36" spans="1:65" ht="15.75" customHeight="1" x14ac:dyDescent="0.2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</row>
    <row r="37" spans="1:65" ht="15.75" customHeight="1" x14ac:dyDescent="0.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</row>
    <row r="38" spans="1:65" ht="15.75" customHeight="1" x14ac:dyDescent="0.2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</row>
    <row r="39" spans="1:65" ht="15.75" customHeight="1" x14ac:dyDescent="0.2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</row>
    <row r="40" spans="1:65" ht="15.75" customHeight="1" x14ac:dyDescent="0.2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</row>
    <row r="41" spans="1:65" ht="15.75" customHeight="1" x14ac:dyDescent="0.2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</row>
    <row r="42" spans="1:65" ht="15.75" customHeight="1" x14ac:dyDescent="0.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</row>
    <row r="43" spans="1:65" ht="15.75" customHeight="1" x14ac:dyDescent="0.2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</row>
    <row r="44" spans="1:65" ht="15.75" customHeight="1" x14ac:dyDescent="0.2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</row>
    <row r="45" spans="1:65" ht="15.75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</row>
    <row r="46" spans="1:65" ht="15.75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</row>
    <row r="47" spans="1:65" ht="15.75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</row>
    <row r="48" spans="1:65" ht="15.75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</row>
    <row r="49" spans="1:65" ht="15.75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107"/>
      <c r="T49" s="108"/>
      <c r="U49" s="57"/>
      <c r="V49" s="57"/>
      <c r="W49" s="57"/>
      <c r="X49" s="57"/>
      <c r="Y49" s="57"/>
      <c r="Z49" s="107"/>
      <c r="AA49" s="108"/>
      <c r="AB49" s="107"/>
      <c r="AC49" s="108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</row>
    <row r="50" spans="1:65" ht="15.75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</row>
    <row r="51" spans="1:65" ht="15.75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</row>
    <row r="52" spans="1:65" ht="15.75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</row>
    <row r="53" spans="1:65" ht="15.75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</row>
    <row r="54" spans="1:65" ht="15.75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</row>
    <row r="55" spans="1:65" ht="15.75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</row>
    <row r="56" spans="1:65" ht="15.75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</row>
    <row r="57" spans="1:65" ht="15.75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</row>
    <row r="58" spans="1:65" ht="15.7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</row>
    <row r="59" spans="1:65" ht="15.75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</row>
    <row r="60" spans="1:65" ht="15.75" customHeight="1" x14ac:dyDescent="0.2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</row>
    <row r="61" spans="1:65" ht="15.75" customHeight="1" x14ac:dyDescent="0.2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</row>
    <row r="62" spans="1:65" ht="15.75" customHeight="1" x14ac:dyDescent="0.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</row>
    <row r="63" spans="1:65" ht="15.75" customHeight="1" x14ac:dyDescent="0.2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</row>
    <row r="64" spans="1:65" ht="15.75" customHeight="1" x14ac:dyDescent="0.2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</row>
    <row r="65" spans="1:65" ht="15.75" customHeight="1" x14ac:dyDescent="0.2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</row>
    <row r="66" spans="1:65" ht="15.75" customHeight="1" x14ac:dyDescent="0.2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</row>
    <row r="67" spans="1:65" ht="15.75" customHeight="1" x14ac:dyDescent="0.2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</row>
    <row r="68" spans="1:65" ht="15.75" customHeight="1" x14ac:dyDescent="0.2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</row>
    <row r="69" spans="1:65" ht="15.75" customHeight="1" x14ac:dyDescent="0.2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</row>
    <row r="70" spans="1:65" ht="15.75" customHeight="1" x14ac:dyDescent="0.2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</row>
    <row r="71" spans="1:65" ht="15.75" customHeight="1" x14ac:dyDescent="0.2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</row>
    <row r="72" spans="1:65" ht="15.75" customHeight="1" x14ac:dyDescent="0.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</row>
    <row r="73" spans="1:65" ht="15.75" customHeight="1" x14ac:dyDescent="0.2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</row>
    <row r="74" spans="1:65" ht="15.75" customHeight="1" x14ac:dyDescent="0.2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</row>
    <row r="75" spans="1:65" ht="15.75" customHeight="1" x14ac:dyDescent="0.2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</row>
    <row r="76" spans="1:65" ht="15.75" customHeight="1" x14ac:dyDescent="0.2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</row>
    <row r="77" spans="1:65" ht="15.75" customHeight="1" x14ac:dyDescent="0.2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</row>
    <row r="78" spans="1:65" ht="15.75" customHeight="1" x14ac:dyDescent="0.2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</row>
    <row r="79" spans="1:65" ht="15.75" customHeight="1" x14ac:dyDescent="0.2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</row>
    <row r="80" spans="1:65" ht="15.75" customHeight="1" x14ac:dyDescent="0.2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</row>
    <row r="81" spans="1:65" ht="15.75" customHeight="1" x14ac:dyDescent="0.2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</row>
    <row r="82" spans="1:65" ht="15.75" customHeight="1" x14ac:dyDescent="0.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</row>
    <row r="83" spans="1:65" ht="15.75" customHeight="1" x14ac:dyDescent="0.2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</row>
    <row r="84" spans="1:65" ht="15.75" customHeight="1" x14ac:dyDescent="0.2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</row>
    <row r="85" spans="1:65" ht="15.75" customHeight="1" x14ac:dyDescent="0.2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</row>
    <row r="86" spans="1:65" ht="15.75" customHeight="1" x14ac:dyDescent="0.2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</row>
    <row r="87" spans="1:65" ht="15.75" customHeight="1" x14ac:dyDescent="0.2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</row>
    <row r="88" spans="1:65" ht="15.75" customHeight="1" x14ac:dyDescent="0.2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</row>
    <row r="89" spans="1:65" ht="15.75" customHeight="1" x14ac:dyDescent="0.2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</row>
    <row r="90" spans="1:65" ht="15.75" customHeight="1" x14ac:dyDescent="0.2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</row>
    <row r="91" spans="1:65" ht="15.75" customHeight="1" x14ac:dyDescent="0.2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</row>
    <row r="92" spans="1:65" ht="15.75" customHeight="1" x14ac:dyDescent="0.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</row>
    <row r="93" spans="1:65" ht="15.75" customHeight="1" x14ac:dyDescent="0.2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</row>
    <row r="94" spans="1:65" ht="15.75" customHeight="1" x14ac:dyDescent="0.2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</row>
    <row r="95" spans="1:65" ht="15.75" customHeight="1" x14ac:dyDescent="0.2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</row>
    <row r="96" spans="1:65" ht="15.75" customHeight="1" x14ac:dyDescent="0.2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</row>
    <row r="97" spans="1:65" ht="15.75" customHeight="1" x14ac:dyDescent="0.2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</row>
    <row r="98" spans="1:65" ht="15.75" customHeight="1" x14ac:dyDescent="0.2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</row>
    <row r="99" spans="1:65" ht="15.75" customHeight="1" x14ac:dyDescent="0.2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</row>
    <row r="100" spans="1:65" ht="15.75" customHeight="1" x14ac:dyDescent="0.2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</row>
    <row r="101" spans="1:65" ht="15.75" customHeight="1" x14ac:dyDescent="0.2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</row>
    <row r="102" spans="1:65" ht="15.75" customHeight="1" x14ac:dyDescent="0.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</row>
    <row r="103" spans="1:65" ht="15.75" customHeight="1" x14ac:dyDescent="0.2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</row>
    <row r="104" spans="1:65" ht="15.75" customHeight="1" x14ac:dyDescent="0.2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</row>
    <row r="105" spans="1:65" ht="15.75" customHeight="1" x14ac:dyDescent="0.2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</row>
    <row r="106" spans="1:65" ht="15.75" customHeight="1" x14ac:dyDescent="0.2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</row>
    <row r="107" spans="1:65" ht="15.75" customHeight="1" x14ac:dyDescent="0.2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</row>
    <row r="108" spans="1:65" ht="15.75" customHeight="1" x14ac:dyDescent="0.2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</row>
    <row r="109" spans="1:65" ht="15.75" customHeight="1" x14ac:dyDescent="0.2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</row>
    <row r="110" spans="1:65" ht="15.75" customHeight="1" x14ac:dyDescent="0.2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</row>
    <row r="111" spans="1:65" ht="15.75" customHeight="1" x14ac:dyDescent="0.2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</row>
    <row r="112" spans="1:65" ht="15.75" customHeight="1" x14ac:dyDescent="0.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</row>
    <row r="113" spans="1:65" ht="15.75" customHeight="1" x14ac:dyDescent="0.2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</row>
    <row r="114" spans="1:65" ht="15.75" customHeight="1" x14ac:dyDescent="0.2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</row>
    <row r="115" spans="1:65" ht="15.75" customHeight="1" x14ac:dyDescent="0.2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</row>
    <row r="116" spans="1:65" ht="15.75" customHeight="1" x14ac:dyDescent="0.2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</row>
    <row r="117" spans="1:65" ht="15.75" customHeight="1" x14ac:dyDescent="0.2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</row>
    <row r="118" spans="1:65" ht="15.75" customHeight="1" x14ac:dyDescent="0.2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</row>
    <row r="119" spans="1:65" ht="15.75" customHeight="1" x14ac:dyDescent="0.2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</row>
    <row r="120" spans="1:65" ht="15.75" customHeight="1" x14ac:dyDescent="0.2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</row>
    <row r="121" spans="1:65" ht="15.75" customHeight="1" x14ac:dyDescent="0.2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</row>
    <row r="122" spans="1:65" ht="15.75" customHeight="1" x14ac:dyDescent="0.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</row>
    <row r="123" spans="1:65" ht="15.75" customHeight="1" x14ac:dyDescent="0.2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</row>
    <row r="124" spans="1:65" ht="15.75" customHeight="1" x14ac:dyDescent="0.2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</row>
    <row r="125" spans="1:65" ht="15.75" customHeight="1" x14ac:dyDescent="0.2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</row>
    <row r="126" spans="1:65" ht="15.75" customHeight="1" x14ac:dyDescent="0.2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</row>
    <row r="127" spans="1:65" ht="15.75" customHeight="1" x14ac:dyDescent="0.2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</row>
    <row r="128" spans="1:65" ht="15.75" customHeight="1" x14ac:dyDescent="0.2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</row>
    <row r="129" spans="1:65" ht="15.75" customHeight="1" x14ac:dyDescent="0.2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</row>
    <row r="130" spans="1:65" ht="15.75" customHeight="1" x14ac:dyDescent="0.2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</row>
    <row r="131" spans="1:65" ht="15.75" customHeight="1" x14ac:dyDescent="0.2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</row>
    <row r="132" spans="1:65" ht="15.75" customHeight="1" x14ac:dyDescent="0.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</row>
    <row r="133" spans="1:65" ht="15.75" customHeight="1" x14ac:dyDescent="0.2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</row>
    <row r="134" spans="1:65" ht="15.75" customHeight="1" x14ac:dyDescent="0.2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</row>
    <row r="135" spans="1:65" ht="15.75" customHeight="1" x14ac:dyDescent="0.2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</row>
    <row r="136" spans="1:65" ht="15.75" customHeight="1" x14ac:dyDescent="0.2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</row>
    <row r="137" spans="1:65" ht="15.75" customHeight="1" x14ac:dyDescent="0.2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</row>
    <row r="138" spans="1:65" ht="15.75" customHeight="1" x14ac:dyDescent="0.2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</row>
    <row r="139" spans="1:65" ht="15.75" customHeight="1" x14ac:dyDescent="0.2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</row>
    <row r="140" spans="1:65" ht="15.75" customHeight="1" x14ac:dyDescent="0.2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</row>
    <row r="141" spans="1:65" ht="15.75" customHeight="1" x14ac:dyDescent="0.2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</row>
    <row r="142" spans="1:65" ht="15.75" customHeight="1" x14ac:dyDescent="0.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</row>
    <row r="143" spans="1:65" ht="15.75" customHeight="1" x14ac:dyDescent="0.2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</row>
    <row r="144" spans="1:65" ht="15.75" customHeight="1" x14ac:dyDescent="0.2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</row>
    <row r="145" spans="1:65" ht="15.75" customHeight="1" x14ac:dyDescent="0.2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</row>
    <row r="146" spans="1:65" ht="15.75" customHeight="1" x14ac:dyDescent="0.2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</row>
    <row r="147" spans="1:65" ht="15.75" customHeight="1" x14ac:dyDescent="0.2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</row>
    <row r="148" spans="1:65" ht="15.75" customHeight="1" x14ac:dyDescent="0.2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</row>
    <row r="149" spans="1:65" ht="15.75" customHeight="1" x14ac:dyDescent="0.2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</row>
    <row r="150" spans="1:65" ht="15.75" customHeight="1" x14ac:dyDescent="0.2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</row>
    <row r="151" spans="1:65" ht="15.75" customHeight="1" x14ac:dyDescent="0.2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</row>
    <row r="152" spans="1:65" ht="15.75" customHeight="1" x14ac:dyDescent="0.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</row>
    <row r="153" spans="1:65" ht="15.75" customHeight="1" x14ac:dyDescent="0.2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</row>
    <row r="154" spans="1:65" ht="15.75" customHeight="1" x14ac:dyDescent="0.2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</row>
    <row r="155" spans="1:65" ht="15.75" customHeight="1" x14ac:dyDescent="0.2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</row>
    <row r="156" spans="1:65" ht="15.75" customHeight="1" x14ac:dyDescent="0.2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</row>
    <row r="157" spans="1:65" ht="15.75" customHeight="1" x14ac:dyDescent="0.2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</row>
    <row r="158" spans="1:65" ht="15.75" customHeight="1" x14ac:dyDescent="0.2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</row>
    <row r="159" spans="1:65" ht="15.75" customHeight="1" x14ac:dyDescent="0.2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</row>
    <row r="160" spans="1:65" ht="15.75" customHeight="1" x14ac:dyDescent="0.2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</row>
    <row r="161" spans="1:65" ht="15.75" customHeight="1" x14ac:dyDescent="0.2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</row>
    <row r="162" spans="1:65" ht="15.75" customHeight="1" x14ac:dyDescent="0.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</row>
    <row r="163" spans="1:65" ht="15.75" customHeight="1" x14ac:dyDescent="0.2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</row>
    <row r="164" spans="1:65" ht="15.75" customHeight="1" x14ac:dyDescent="0.2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</row>
    <row r="165" spans="1:65" ht="15.75" customHeight="1" x14ac:dyDescent="0.2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</row>
    <row r="166" spans="1:65" ht="15.75" customHeight="1" x14ac:dyDescent="0.2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</row>
    <row r="167" spans="1:65" ht="15.75" customHeight="1" x14ac:dyDescent="0.2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</row>
    <row r="168" spans="1:65" ht="15.75" customHeight="1" x14ac:dyDescent="0.2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</row>
    <row r="169" spans="1:65" ht="15.75" customHeight="1" x14ac:dyDescent="0.2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</row>
    <row r="170" spans="1:65" ht="15.75" customHeight="1" x14ac:dyDescent="0.2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</row>
    <row r="171" spans="1:65" ht="15.75" customHeight="1" x14ac:dyDescent="0.2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</row>
    <row r="172" spans="1:65" ht="15.75" customHeight="1" x14ac:dyDescent="0.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</row>
    <row r="173" spans="1:65" ht="15.75" customHeight="1" x14ac:dyDescent="0.2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</row>
    <row r="174" spans="1:65" ht="15.75" customHeight="1" x14ac:dyDescent="0.2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</row>
    <row r="175" spans="1:65" ht="15.75" customHeight="1" x14ac:dyDescent="0.2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</row>
    <row r="176" spans="1:65" ht="15.75" customHeight="1" x14ac:dyDescent="0.2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</row>
    <row r="177" spans="1:65" ht="15.75" customHeight="1" x14ac:dyDescent="0.2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</row>
    <row r="178" spans="1:65" ht="15.75" customHeight="1" x14ac:dyDescent="0.2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</row>
    <row r="179" spans="1:65" ht="15.75" customHeight="1" x14ac:dyDescent="0.2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</row>
    <row r="180" spans="1:65" ht="15.75" customHeight="1" x14ac:dyDescent="0.2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</row>
    <row r="181" spans="1:65" ht="15.75" customHeight="1" x14ac:dyDescent="0.2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</row>
    <row r="182" spans="1:65" ht="15.75" customHeight="1" x14ac:dyDescent="0.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</row>
    <row r="183" spans="1:65" ht="15.75" customHeight="1" x14ac:dyDescent="0.2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</row>
    <row r="184" spans="1:65" ht="15.75" customHeight="1" x14ac:dyDescent="0.2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</row>
    <row r="185" spans="1:65" ht="15.75" customHeight="1" x14ac:dyDescent="0.2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</row>
    <row r="186" spans="1:65" ht="15.75" customHeight="1" x14ac:dyDescent="0.2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</row>
    <row r="187" spans="1:65" ht="15.75" customHeight="1" x14ac:dyDescent="0.2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</row>
    <row r="188" spans="1:65" ht="15.75" customHeight="1" x14ac:dyDescent="0.2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</row>
    <row r="189" spans="1:65" ht="15.75" customHeight="1" x14ac:dyDescent="0.2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</row>
    <row r="190" spans="1:65" ht="15.75" customHeight="1" x14ac:dyDescent="0.2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</row>
    <row r="191" spans="1:65" ht="15.75" customHeight="1" x14ac:dyDescent="0.2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</row>
    <row r="192" spans="1:65" ht="15.75" customHeight="1" x14ac:dyDescent="0.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</row>
    <row r="193" spans="1:65" ht="15.75" customHeight="1" x14ac:dyDescent="0.2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</row>
    <row r="194" spans="1:65" ht="15.75" customHeight="1" x14ac:dyDescent="0.2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</row>
    <row r="195" spans="1:65" ht="15.75" customHeight="1" x14ac:dyDescent="0.2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</row>
    <row r="196" spans="1:65" ht="15.75" customHeight="1" x14ac:dyDescent="0.2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</row>
    <row r="197" spans="1:65" ht="15.75" customHeight="1" x14ac:dyDescent="0.2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</row>
    <row r="198" spans="1:65" ht="15.75" customHeight="1" x14ac:dyDescent="0.2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</row>
    <row r="199" spans="1:65" ht="15.75" customHeight="1" x14ac:dyDescent="0.2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</row>
    <row r="200" spans="1:65" ht="15.75" customHeight="1" x14ac:dyDescent="0.2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</row>
    <row r="201" spans="1:65" ht="15.75" customHeight="1" x14ac:dyDescent="0.2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</row>
    <row r="202" spans="1:65" ht="15.75" customHeight="1" x14ac:dyDescent="0.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</row>
    <row r="203" spans="1:65" ht="15.75" customHeight="1" x14ac:dyDescent="0.2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</row>
    <row r="204" spans="1:65" ht="15.75" customHeight="1" x14ac:dyDescent="0.2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</row>
    <row r="205" spans="1:65" ht="15.75" customHeight="1" x14ac:dyDescent="0.2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</row>
    <row r="206" spans="1:65" ht="15.75" customHeight="1" x14ac:dyDescent="0.2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</row>
    <row r="207" spans="1:65" ht="15.75" customHeight="1" x14ac:dyDescent="0.2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</row>
    <row r="208" spans="1:65" ht="15.75" customHeight="1" x14ac:dyDescent="0.2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</row>
    <row r="209" spans="1:65" ht="15.75" customHeight="1" x14ac:dyDescent="0.2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</row>
    <row r="210" spans="1:65" ht="15.75" customHeight="1" x14ac:dyDescent="0.2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</row>
    <row r="211" spans="1:65" ht="15.75" customHeight="1" x14ac:dyDescent="0.2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</row>
    <row r="212" spans="1:65" ht="15.75" customHeight="1" x14ac:dyDescent="0.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</row>
    <row r="213" spans="1:65" ht="15.75" customHeight="1" x14ac:dyDescent="0.2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</row>
    <row r="214" spans="1:65" ht="15.75" customHeight="1" x14ac:dyDescent="0.2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</row>
    <row r="215" spans="1:65" ht="15.75" customHeight="1" x14ac:dyDescent="0.2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</row>
    <row r="216" spans="1:65" ht="15.75" customHeight="1" x14ac:dyDescent="0.2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</row>
    <row r="217" spans="1:65" ht="15.75" customHeight="1" x14ac:dyDescent="0.2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</row>
    <row r="218" spans="1:65" ht="15.75" customHeight="1" x14ac:dyDescent="0.2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</row>
    <row r="219" spans="1:65" ht="15.75" customHeight="1" x14ac:dyDescent="0.2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</row>
    <row r="220" spans="1:65" ht="15.75" customHeight="1" x14ac:dyDescent="0.2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</row>
    <row r="221" spans="1:65" ht="15.75" customHeight="1" x14ac:dyDescent="0.2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</row>
    <row r="222" spans="1:65" ht="15.75" customHeight="1" x14ac:dyDescent="0.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</row>
    <row r="223" spans="1:65" ht="15.75" customHeight="1" x14ac:dyDescent="0.2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</row>
    <row r="224" spans="1:65" ht="15.75" customHeight="1" x14ac:dyDescent="0.2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</row>
    <row r="225" spans="1:65" ht="15.75" customHeight="1" x14ac:dyDescent="0.2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</row>
    <row r="226" spans="1:65" ht="15.75" customHeight="1" x14ac:dyDescent="0.2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</row>
    <row r="227" spans="1:65" ht="15.75" customHeight="1" x14ac:dyDescent="0.2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</row>
    <row r="228" spans="1:65" ht="15.75" customHeight="1" x14ac:dyDescent="0.2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</row>
    <row r="229" spans="1:65" ht="15.75" customHeight="1" x14ac:dyDescent="0.2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</row>
    <row r="230" spans="1:65" ht="15.75" customHeight="1" x14ac:dyDescent="0.2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</row>
    <row r="231" spans="1:65" ht="15.75" customHeight="1" x14ac:dyDescent="0.2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</row>
    <row r="232" spans="1:65" ht="15.75" customHeight="1" x14ac:dyDescent="0.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</row>
    <row r="233" spans="1:65" ht="15.75" customHeight="1" x14ac:dyDescent="0.2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</row>
    <row r="234" spans="1:65" ht="15.75" customHeight="1" x14ac:dyDescent="0.2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</row>
    <row r="235" spans="1:65" ht="15.75" customHeight="1" x14ac:dyDescent="0.2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</row>
    <row r="236" spans="1:65" ht="15.75" customHeight="1" x14ac:dyDescent="0.2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</row>
    <row r="237" spans="1:65" ht="15.75" customHeight="1" x14ac:dyDescent="0.2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</row>
    <row r="238" spans="1:65" ht="15.75" customHeight="1" x14ac:dyDescent="0.2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</row>
    <row r="239" spans="1:65" ht="15.75" customHeight="1" x14ac:dyDescent="0.2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</row>
    <row r="240" spans="1:65" ht="15.75" customHeight="1" x14ac:dyDescent="0.2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</row>
    <row r="241" spans="1:65" ht="15.75" customHeight="1" x14ac:dyDescent="0.2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</row>
    <row r="242" spans="1:65" ht="15.75" customHeight="1" x14ac:dyDescent="0.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</row>
    <row r="243" spans="1:65" ht="15.75" customHeight="1" x14ac:dyDescent="0.2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</row>
    <row r="244" spans="1:65" ht="15.75" customHeight="1" x14ac:dyDescent="0.2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</row>
    <row r="245" spans="1:65" ht="15.75" customHeight="1" x14ac:dyDescent="0.2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</row>
    <row r="246" spans="1:65" ht="15.75" customHeight="1" x14ac:dyDescent="0.2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</row>
    <row r="247" spans="1:65" ht="15.75" customHeight="1" x14ac:dyDescent="0.2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</row>
    <row r="248" spans="1:65" ht="15.75" customHeight="1" x14ac:dyDescent="0.2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</row>
    <row r="249" spans="1:65" ht="15.75" customHeight="1" x14ac:dyDescent="0.2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</row>
    <row r="250" spans="1:65" ht="15.75" customHeight="1" x14ac:dyDescent="0.2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</row>
    <row r="251" spans="1:65" ht="15.75" customHeight="1" x14ac:dyDescent="0.2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</row>
    <row r="252" spans="1:65" ht="15.75" customHeight="1" x14ac:dyDescent="0.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</row>
    <row r="253" spans="1:65" ht="15.75" customHeight="1" x14ac:dyDescent="0.2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</row>
    <row r="254" spans="1:65" ht="15.75" customHeight="1" x14ac:dyDescent="0.2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</row>
    <row r="255" spans="1:65" ht="15.75" customHeight="1" x14ac:dyDescent="0.2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</row>
    <row r="256" spans="1:65" ht="15.75" customHeight="1" x14ac:dyDescent="0.2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</row>
    <row r="257" spans="1:65" ht="15.75" customHeight="1" x14ac:dyDescent="0.2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</row>
    <row r="258" spans="1:65" ht="15.75" customHeight="1" x14ac:dyDescent="0.2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</row>
    <row r="259" spans="1:65" ht="15.75" customHeight="1" x14ac:dyDescent="0.2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</row>
    <row r="260" spans="1:65" ht="15.75" customHeight="1" x14ac:dyDescent="0.2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</row>
    <row r="261" spans="1:65" ht="15.75" customHeight="1" x14ac:dyDescent="0.2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</row>
    <row r="262" spans="1:65" ht="15.75" customHeight="1" x14ac:dyDescent="0.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</row>
    <row r="263" spans="1:65" ht="15.75" customHeight="1" x14ac:dyDescent="0.2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</row>
    <row r="264" spans="1:65" ht="15.75" customHeight="1" x14ac:dyDescent="0.2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</row>
    <row r="265" spans="1:65" ht="15.75" customHeight="1" x14ac:dyDescent="0.2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</row>
    <row r="266" spans="1:65" ht="15.75" customHeight="1" x14ac:dyDescent="0.2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</row>
    <row r="267" spans="1:65" ht="15.75" customHeight="1" x14ac:dyDescent="0.2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</row>
    <row r="268" spans="1:65" ht="15.75" customHeight="1" x14ac:dyDescent="0.2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</row>
    <row r="269" spans="1:65" ht="15.75" customHeight="1" x14ac:dyDescent="0.2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</row>
    <row r="270" spans="1:65" ht="15.75" customHeight="1" x14ac:dyDescent="0.2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</row>
    <row r="271" spans="1:65" ht="15.75" customHeight="1" x14ac:dyDescent="0.2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</row>
    <row r="272" spans="1:65" ht="15.75" customHeight="1" x14ac:dyDescent="0.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</row>
    <row r="273" spans="1:65" ht="15.75" customHeight="1" x14ac:dyDescent="0.2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</row>
    <row r="274" spans="1:65" ht="15.75" customHeight="1" x14ac:dyDescent="0.2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</row>
    <row r="275" spans="1:65" ht="15.75" customHeight="1" x14ac:dyDescent="0.2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</row>
    <row r="276" spans="1:65" ht="15.75" customHeight="1" x14ac:dyDescent="0.2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</row>
    <row r="277" spans="1:65" ht="15.75" customHeight="1" x14ac:dyDescent="0.2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</row>
    <row r="278" spans="1:65" ht="15.75" customHeight="1" x14ac:dyDescent="0.2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</row>
    <row r="279" spans="1:65" ht="15.75" customHeight="1" x14ac:dyDescent="0.2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</row>
    <row r="280" spans="1:65" ht="15.75" customHeight="1" x14ac:dyDescent="0.2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</row>
    <row r="281" spans="1:65" ht="15.75" customHeight="1" x14ac:dyDescent="0.2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</row>
    <row r="282" spans="1:65" ht="15.75" customHeight="1" x14ac:dyDescent="0.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</row>
    <row r="283" spans="1:65" ht="15.75" customHeight="1" x14ac:dyDescent="0.2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</row>
    <row r="284" spans="1:65" ht="15.75" customHeight="1" x14ac:dyDescent="0.2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</row>
    <row r="285" spans="1:65" ht="15.75" customHeight="1" x14ac:dyDescent="0.2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</row>
    <row r="286" spans="1:65" ht="15.75" customHeight="1" x14ac:dyDescent="0.2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</row>
    <row r="287" spans="1:65" ht="15.75" customHeight="1" x14ac:dyDescent="0.2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</row>
    <row r="288" spans="1:65" ht="15.75" customHeight="1" x14ac:dyDescent="0.2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</row>
    <row r="289" spans="1:65" ht="15.75" customHeight="1" x14ac:dyDescent="0.2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</row>
    <row r="290" spans="1:65" ht="15.75" customHeight="1" x14ac:dyDescent="0.2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</row>
    <row r="291" spans="1:65" ht="15.75" customHeight="1" x14ac:dyDescent="0.2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</row>
    <row r="292" spans="1:65" ht="15.75" customHeight="1" x14ac:dyDescent="0.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</row>
    <row r="293" spans="1:65" ht="15.75" customHeight="1" x14ac:dyDescent="0.2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</row>
    <row r="294" spans="1:65" ht="15.75" customHeight="1" x14ac:dyDescent="0.2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</row>
    <row r="295" spans="1:65" ht="15.75" customHeight="1" x14ac:dyDescent="0.2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</row>
    <row r="296" spans="1:65" ht="15.75" customHeight="1" x14ac:dyDescent="0.2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</row>
    <row r="297" spans="1:65" ht="15.75" customHeight="1" x14ac:dyDescent="0.2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</row>
    <row r="298" spans="1:65" ht="15.75" customHeight="1" x14ac:dyDescent="0.2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</row>
    <row r="299" spans="1:65" ht="15.75" customHeight="1" x14ac:dyDescent="0.2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</row>
    <row r="300" spans="1:65" ht="15.75" customHeight="1" x14ac:dyDescent="0.2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</row>
    <row r="301" spans="1:65" ht="15.75" customHeight="1" x14ac:dyDescent="0.2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</row>
    <row r="302" spans="1:65" ht="15.75" customHeight="1" x14ac:dyDescent="0.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</row>
    <row r="303" spans="1:65" ht="15.75" customHeight="1" x14ac:dyDescent="0.2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</row>
    <row r="304" spans="1:65" ht="15.75" customHeight="1" x14ac:dyDescent="0.2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</row>
    <row r="305" spans="1:65" ht="15.75" customHeight="1" x14ac:dyDescent="0.2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</row>
    <row r="306" spans="1:65" ht="15.75" customHeight="1" x14ac:dyDescent="0.2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</row>
    <row r="307" spans="1:65" ht="15.75" customHeight="1" x14ac:dyDescent="0.2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</row>
    <row r="308" spans="1:65" ht="15.75" customHeight="1" x14ac:dyDescent="0.2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</row>
    <row r="309" spans="1:65" ht="15.75" customHeight="1" x14ac:dyDescent="0.2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</row>
    <row r="310" spans="1:65" ht="15.75" customHeight="1" x14ac:dyDescent="0.2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</row>
    <row r="311" spans="1:65" ht="15.75" customHeight="1" x14ac:dyDescent="0.2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</row>
    <row r="312" spans="1:65" ht="15.75" customHeight="1" x14ac:dyDescent="0.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</row>
    <row r="313" spans="1:65" ht="15.75" customHeight="1" x14ac:dyDescent="0.2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</row>
    <row r="314" spans="1:65" ht="15.75" customHeight="1" x14ac:dyDescent="0.2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</row>
    <row r="315" spans="1:65" ht="15.75" customHeight="1" x14ac:dyDescent="0.2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</row>
    <row r="316" spans="1:65" ht="15.75" customHeight="1" x14ac:dyDescent="0.2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</row>
    <row r="317" spans="1:65" ht="15.75" customHeight="1" x14ac:dyDescent="0.2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</row>
    <row r="318" spans="1:65" ht="15.75" customHeight="1" x14ac:dyDescent="0.2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</row>
    <row r="319" spans="1:65" ht="15.75" customHeight="1" x14ac:dyDescent="0.2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</row>
    <row r="320" spans="1:65" ht="15.75" customHeight="1" x14ac:dyDescent="0.2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</row>
    <row r="321" spans="1:65" ht="15.75" customHeight="1" x14ac:dyDescent="0.2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</row>
    <row r="322" spans="1:65" ht="15.75" customHeight="1" x14ac:dyDescent="0.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</row>
    <row r="323" spans="1:65" ht="15.75" customHeight="1" x14ac:dyDescent="0.2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</row>
    <row r="324" spans="1:65" ht="15.75" customHeight="1" x14ac:dyDescent="0.2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</row>
    <row r="325" spans="1:65" ht="15.75" customHeight="1" x14ac:dyDescent="0.2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</row>
    <row r="326" spans="1:65" ht="15.75" customHeight="1" x14ac:dyDescent="0.2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</row>
    <row r="327" spans="1:65" ht="15.75" customHeight="1" x14ac:dyDescent="0.2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</row>
    <row r="328" spans="1:65" ht="15.75" customHeight="1" x14ac:dyDescent="0.2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</row>
    <row r="329" spans="1:65" ht="15.75" customHeight="1" x14ac:dyDescent="0.2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</row>
    <row r="330" spans="1:65" ht="15.75" customHeight="1" x14ac:dyDescent="0.2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</row>
    <row r="331" spans="1:65" ht="15.75" customHeight="1" x14ac:dyDescent="0.2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</row>
    <row r="332" spans="1:65" ht="15.75" customHeight="1" x14ac:dyDescent="0.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</row>
    <row r="333" spans="1:65" ht="15.75" customHeight="1" x14ac:dyDescent="0.2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</row>
    <row r="334" spans="1:65" ht="15.75" customHeight="1" x14ac:dyDescent="0.2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</row>
    <row r="335" spans="1:65" ht="15.75" customHeight="1" x14ac:dyDescent="0.2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</row>
    <row r="336" spans="1:65" ht="15.75" customHeight="1" x14ac:dyDescent="0.2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</row>
    <row r="337" spans="1:65" ht="15.75" customHeight="1" x14ac:dyDescent="0.2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</row>
    <row r="338" spans="1:65" ht="15.75" customHeight="1" x14ac:dyDescent="0.2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</row>
    <row r="339" spans="1:65" ht="15.75" customHeight="1" x14ac:dyDescent="0.2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</row>
    <row r="340" spans="1:65" ht="15.75" customHeight="1" x14ac:dyDescent="0.2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</row>
    <row r="341" spans="1:65" ht="15.75" customHeight="1" x14ac:dyDescent="0.2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</row>
    <row r="342" spans="1:65" ht="15.75" customHeight="1" x14ac:dyDescent="0.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</row>
    <row r="343" spans="1:65" ht="15.75" customHeight="1" x14ac:dyDescent="0.2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</row>
    <row r="344" spans="1:65" ht="15.75" customHeight="1" x14ac:dyDescent="0.2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</row>
    <row r="345" spans="1:65" ht="15.75" customHeight="1" x14ac:dyDescent="0.2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</row>
    <row r="346" spans="1:65" ht="15.75" customHeight="1" x14ac:dyDescent="0.2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</row>
    <row r="347" spans="1:65" ht="15.75" customHeight="1" x14ac:dyDescent="0.2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</row>
    <row r="348" spans="1:65" ht="15.75" customHeight="1" x14ac:dyDescent="0.2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</row>
    <row r="349" spans="1:65" ht="15.75" customHeight="1" x14ac:dyDescent="0.2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</row>
    <row r="350" spans="1:65" ht="15.75" customHeight="1" x14ac:dyDescent="0.2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</row>
    <row r="351" spans="1:65" ht="15.75" customHeight="1" x14ac:dyDescent="0.2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</row>
    <row r="352" spans="1:65" ht="15.75" customHeight="1" x14ac:dyDescent="0.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</row>
    <row r="353" spans="1:65" ht="15.75" customHeight="1" x14ac:dyDescent="0.2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</row>
    <row r="354" spans="1:65" ht="15.75" customHeight="1" x14ac:dyDescent="0.2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</row>
    <row r="355" spans="1:65" ht="15.75" customHeight="1" x14ac:dyDescent="0.2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</row>
    <row r="356" spans="1:65" ht="15.75" customHeight="1" x14ac:dyDescent="0.2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</row>
    <row r="357" spans="1:65" ht="15.75" customHeight="1" x14ac:dyDescent="0.2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</row>
    <row r="358" spans="1:65" ht="15.75" customHeight="1" x14ac:dyDescent="0.2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</row>
    <row r="359" spans="1:65" ht="15.75" customHeight="1" x14ac:dyDescent="0.2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</row>
    <row r="360" spans="1:65" ht="15.75" customHeight="1" x14ac:dyDescent="0.2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</row>
    <row r="361" spans="1:65" ht="15.75" customHeight="1" x14ac:dyDescent="0.2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</row>
    <row r="362" spans="1:65" ht="15.75" customHeight="1" x14ac:dyDescent="0.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</row>
    <row r="363" spans="1:65" ht="15.75" customHeight="1" x14ac:dyDescent="0.2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</row>
    <row r="364" spans="1:65" ht="15.75" customHeight="1" x14ac:dyDescent="0.2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</row>
    <row r="365" spans="1:65" ht="15.75" customHeight="1" x14ac:dyDescent="0.2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</row>
    <row r="366" spans="1:65" ht="15.75" customHeight="1" x14ac:dyDescent="0.2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</row>
    <row r="367" spans="1:65" ht="15.75" customHeight="1" x14ac:dyDescent="0.2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</row>
    <row r="368" spans="1:65" ht="15.75" customHeight="1" x14ac:dyDescent="0.2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</row>
    <row r="369" spans="1:65" ht="15.75" customHeight="1" x14ac:dyDescent="0.2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</row>
    <row r="370" spans="1:65" ht="15.75" customHeight="1" x14ac:dyDescent="0.2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</row>
    <row r="371" spans="1:65" ht="15.75" customHeight="1" x14ac:dyDescent="0.2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</row>
    <row r="372" spans="1:65" ht="15.75" customHeight="1" x14ac:dyDescent="0.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</row>
    <row r="373" spans="1:65" ht="15.75" customHeight="1" x14ac:dyDescent="0.2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</row>
    <row r="374" spans="1:65" ht="15.75" customHeight="1" x14ac:dyDescent="0.2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</row>
    <row r="375" spans="1:65" ht="15.75" customHeight="1" x14ac:dyDescent="0.2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</row>
    <row r="376" spans="1:65" ht="15.75" customHeight="1" x14ac:dyDescent="0.2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</row>
    <row r="377" spans="1:65" ht="15.75" customHeight="1" x14ac:dyDescent="0.2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</row>
    <row r="378" spans="1:65" ht="15.75" customHeight="1" x14ac:dyDescent="0.2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</row>
    <row r="379" spans="1:65" ht="15.75" customHeight="1" x14ac:dyDescent="0.2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</row>
    <row r="380" spans="1:65" ht="15.75" customHeight="1" x14ac:dyDescent="0.2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</row>
    <row r="381" spans="1:65" ht="15.75" customHeight="1" x14ac:dyDescent="0.2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</row>
    <row r="382" spans="1:65" ht="15.75" customHeight="1" x14ac:dyDescent="0.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</row>
    <row r="383" spans="1:65" ht="15.75" customHeight="1" x14ac:dyDescent="0.2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</row>
    <row r="384" spans="1:65" ht="15.75" customHeight="1" x14ac:dyDescent="0.2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</row>
    <row r="385" spans="1:65" ht="15.75" customHeight="1" x14ac:dyDescent="0.2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</row>
    <row r="386" spans="1:65" ht="15.75" customHeight="1" x14ac:dyDescent="0.2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</row>
    <row r="387" spans="1:65" ht="15.75" customHeight="1" x14ac:dyDescent="0.2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</row>
    <row r="388" spans="1:65" ht="15.75" customHeight="1" x14ac:dyDescent="0.2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</row>
    <row r="389" spans="1:65" ht="15.75" customHeight="1" x14ac:dyDescent="0.2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</row>
    <row r="390" spans="1:65" ht="15.75" customHeight="1" x14ac:dyDescent="0.2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</row>
    <row r="391" spans="1:65" ht="15.75" customHeight="1" x14ac:dyDescent="0.2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</row>
    <row r="392" spans="1:65" ht="15.75" customHeight="1" x14ac:dyDescent="0.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</row>
    <row r="393" spans="1:65" ht="15.75" customHeight="1" x14ac:dyDescent="0.2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</row>
    <row r="394" spans="1:65" ht="15.75" customHeight="1" x14ac:dyDescent="0.2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</row>
    <row r="395" spans="1:65" ht="15.75" customHeight="1" x14ac:dyDescent="0.2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</row>
    <row r="396" spans="1:65" ht="15.75" customHeight="1" x14ac:dyDescent="0.2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</row>
    <row r="397" spans="1:65" ht="15.75" customHeight="1" x14ac:dyDescent="0.2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</row>
    <row r="398" spans="1:65" ht="15.75" customHeight="1" x14ac:dyDescent="0.2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</row>
    <row r="399" spans="1:65" ht="15.75" customHeight="1" x14ac:dyDescent="0.2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</row>
    <row r="400" spans="1:65" ht="15.75" customHeight="1" x14ac:dyDescent="0.2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</row>
    <row r="401" spans="1:65" ht="15.75" customHeight="1" x14ac:dyDescent="0.2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</row>
    <row r="402" spans="1:65" ht="15.75" customHeight="1" x14ac:dyDescent="0.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</row>
    <row r="403" spans="1:65" ht="15.75" customHeight="1" x14ac:dyDescent="0.2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</row>
    <row r="404" spans="1:65" ht="15.75" customHeight="1" x14ac:dyDescent="0.2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</row>
    <row r="405" spans="1:65" ht="15.75" customHeight="1" x14ac:dyDescent="0.2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</row>
    <row r="406" spans="1:65" ht="15.75" customHeight="1" x14ac:dyDescent="0.2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</row>
    <row r="407" spans="1:65" ht="15.75" customHeight="1" x14ac:dyDescent="0.2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</row>
    <row r="408" spans="1:65" ht="15.75" customHeight="1" x14ac:dyDescent="0.2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</row>
    <row r="409" spans="1:65" ht="15.75" customHeight="1" x14ac:dyDescent="0.2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</row>
    <row r="410" spans="1:65" ht="15.75" customHeight="1" x14ac:dyDescent="0.2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</row>
    <row r="411" spans="1:65" ht="15.75" customHeight="1" x14ac:dyDescent="0.2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</row>
    <row r="412" spans="1:65" ht="15.75" customHeight="1" x14ac:dyDescent="0.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</row>
    <row r="413" spans="1:65" ht="15.75" customHeight="1" x14ac:dyDescent="0.2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</row>
    <row r="414" spans="1:65" ht="15.75" customHeight="1" x14ac:dyDescent="0.2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</row>
    <row r="415" spans="1:65" ht="15.75" customHeight="1" x14ac:dyDescent="0.2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</row>
    <row r="416" spans="1:65" ht="15.75" customHeight="1" x14ac:dyDescent="0.2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</row>
    <row r="417" spans="1:65" ht="15.75" customHeight="1" x14ac:dyDescent="0.2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</row>
    <row r="418" spans="1:65" ht="15.75" customHeight="1" x14ac:dyDescent="0.2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</row>
    <row r="419" spans="1:65" ht="15.75" customHeight="1" x14ac:dyDescent="0.2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</row>
    <row r="420" spans="1:65" ht="15.75" customHeight="1" x14ac:dyDescent="0.2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</row>
    <row r="421" spans="1:65" ht="15.75" customHeight="1" x14ac:dyDescent="0.2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</row>
    <row r="422" spans="1:65" ht="15.75" customHeight="1" x14ac:dyDescent="0.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</row>
    <row r="423" spans="1:65" ht="15.75" customHeight="1" x14ac:dyDescent="0.2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</row>
    <row r="424" spans="1:65" ht="15.75" customHeight="1" x14ac:dyDescent="0.2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</row>
    <row r="425" spans="1:65" ht="15.75" customHeight="1" x14ac:dyDescent="0.2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</row>
    <row r="426" spans="1:65" ht="15.75" customHeight="1" x14ac:dyDescent="0.2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</row>
    <row r="427" spans="1:65" ht="15.75" customHeight="1" x14ac:dyDescent="0.2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</row>
    <row r="428" spans="1:65" ht="15.75" customHeight="1" x14ac:dyDescent="0.2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</row>
    <row r="429" spans="1:65" ht="15.75" customHeight="1" x14ac:dyDescent="0.2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</row>
    <row r="430" spans="1:65" ht="15.75" customHeight="1" x14ac:dyDescent="0.2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</row>
    <row r="431" spans="1:65" ht="15.75" customHeight="1" x14ac:dyDescent="0.2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</row>
    <row r="432" spans="1:65" ht="15.75" customHeight="1" x14ac:dyDescent="0.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</row>
    <row r="433" spans="1:65" ht="15.75" customHeight="1" x14ac:dyDescent="0.2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</row>
    <row r="434" spans="1:65" ht="15.75" customHeight="1" x14ac:dyDescent="0.2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</row>
    <row r="435" spans="1:65" ht="15.75" customHeight="1" x14ac:dyDescent="0.2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</row>
    <row r="436" spans="1:65" ht="15.75" customHeight="1" x14ac:dyDescent="0.2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</row>
    <row r="437" spans="1:65" ht="15.75" customHeight="1" x14ac:dyDescent="0.2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</row>
    <row r="438" spans="1:65" ht="15.75" customHeight="1" x14ac:dyDescent="0.2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</row>
    <row r="439" spans="1:65" ht="15.75" customHeight="1" x14ac:dyDescent="0.2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</row>
    <row r="440" spans="1:65" ht="15.75" customHeight="1" x14ac:dyDescent="0.2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</row>
    <row r="441" spans="1:65" ht="15.75" customHeight="1" x14ac:dyDescent="0.2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</row>
    <row r="442" spans="1:65" ht="15.75" customHeight="1" x14ac:dyDescent="0.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</row>
    <row r="443" spans="1:65" ht="15.75" customHeight="1" x14ac:dyDescent="0.2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</row>
    <row r="444" spans="1:65" ht="15.75" customHeight="1" x14ac:dyDescent="0.2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</row>
    <row r="445" spans="1:65" ht="15.75" customHeight="1" x14ac:dyDescent="0.2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</row>
    <row r="446" spans="1:65" ht="15.75" customHeight="1" x14ac:dyDescent="0.2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</row>
    <row r="447" spans="1:65" ht="15.75" customHeight="1" x14ac:dyDescent="0.2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</row>
    <row r="448" spans="1:65" ht="15.75" customHeight="1" x14ac:dyDescent="0.2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</row>
    <row r="449" spans="1:65" ht="15.75" customHeight="1" x14ac:dyDescent="0.2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</row>
    <row r="450" spans="1:65" ht="15.75" customHeight="1" x14ac:dyDescent="0.2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</row>
    <row r="451" spans="1:65" ht="15.75" customHeight="1" x14ac:dyDescent="0.2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</row>
    <row r="452" spans="1:65" ht="15.75" customHeight="1" x14ac:dyDescent="0.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</row>
    <row r="453" spans="1:65" ht="15.75" customHeight="1" x14ac:dyDescent="0.2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</row>
    <row r="454" spans="1:65" ht="15.75" customHeight="1" x14ac:dyDescent="0.2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</row>
    <row r="455" spans="1:65" ht="15.75" customHeight="1" x14ac:dyDescent="0.2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</row>
    <row r="456" spans="1:65" ht="15.75" customHeight="1" x14ac:dyDescent="0.2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</row>
    <row r="457" spans="1:65" ht="15.75" customHeight="1" x14ac:dyDescent="0.2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</row>
    <row r="458" spans="1:65" ht="15.75" customHeight="1" x14ac:dyDescent="0.2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</row>
    <row r="459" spans="1:65" ht="15.75" customHeight="1" x14ac:dyDescent="0.2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</row>
    <row r="460" spans="1:65" ht="15.75" customHeight="1" x14ac:dyDescent="0.2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</row>
    <row r="461" spans="1:65" ht="15.75" customHeight="1" x14ac:dyDescent="0.2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</row>
    <row r="462" spans="1:65" ht="15.75" customHeight="1" x14ac:dyDescent="0.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</row>
    <row r="463" spans="1:65" ht="15.75" customHeight="1" x14ac:dyDescent="0.2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</row>
    <row r="464" spans="1:65" ht="15.75" customHeight="1" x14ac:dyDescent="0.2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</row>
    <row r="465" spans="1:65" ht="15.75" customHeight="1" x14ac:dyDescent="0.2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</row>
    <row r="466" spans="1:65" ht="15.75" customHeight="1" x14ac:dyDescent="0.2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</row>
    <row r="467" spans="1:65" ht="15.75" customHeight="1" x14ac:dyDescent="0.2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</row>
    <row r="468" spans="1:65" ht="15.75" customHeight="1" x14ac:dyDescent="0.2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</row>
    <row r="469" spans="1:65" ht="15.75" customHeight="1" x14ac:dyDescent="0.2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</row>
    <row r="470" spans="1:65" ht="15.75" customHeight="1" x14ac:dyDescent="0.2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</row>
    <row r="471" spans="1:65" ht="15.75" customHeight="1" x14ac:dyDescent="0.2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</row>
    <row r="472" spans="1:65" ht="15.75" customHeight="1" x14ac:dyDescent="0.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</row>
    <row r="473" spans="1:65" ht="15.75" customHeight="1" x14ac:dyDescent="0.2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</row>
    <row r="474" spans="1:65" ht="15.75" customHeight="1" x14ac:dyDescent="0.2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</row>
    <row r="475" spans="1:65" ht="15.75" customHeight="1" x14ac:dyDescent="0.2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</row>
    <row r="476" spans="1:65" ht="15.75" customHeight="1" x14ac:dyDescent="0.2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</row>
    <row r="477" spans="1:65" ht="15.75" customHeight="1" x14ac:dyDescent="0.2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</row>
    <row r="478" spans="1:65" ht="15.75" customHeight="1" x14ac:dyDescent="0.2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</row>
    <row r="479" spans="1:65" ht="15.75" customHeight="1" x14ac:dyDescent="0.2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</row>
    <row r="480" spans="1:65" ht="15.75" customHeight="1" x14ac:dyDescent="0.2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</row>
    <row r="481" spans="1:65" ht="15.75" customHeight="1" x14ac:dyDescent="0.2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</row>
    <row r="482" spans="1:65" ht="15.75" customHeight="1" x14ac:dyDescent="0.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</row>
    <row r="483" spans="1:65" ht="15.75" customHeight="1" x14ac:dyDescent="0.2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</row>
    <row r="484" spans="1:65" ht="15.75" customHeight="1" x14ac:dyDescent="0.2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</row>
    <row r="485" spans="1:65" ht="15.75" customHeight="1" x14ac:dyDescent="0.2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</row>
    <row r="486" spans="1:65" ht="15.75" customHeight="1" x14ac:dyDescent="0.2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</row>
    <row r="487" spans="1:65" ht="15.75" customHeight="1" x14ac:dyDescent="0.2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</row>
    <row r="488" spans="1:65" ht="15.75" customHeight="1" x14ac:dyDescent="0.2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</row>
    <row r="489" spans="1:65" ht="15.75" customHeight="1" x14ac:dyDescent="0.2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</row>
    <row r="490" spans="1:65" ht="15.75" customHeight="1" x14ac:dyDescent="0.2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</row>
    <row r="491" spans="1:65" ht="15.75" customHeight="1" x14ac:dyDescent="0.2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</row>
    <row r="492" spans="1:65" ht="15.75" customHeight="1" x14ac:dyDescent="0.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</row>
    <row r="493" spans="1:65" ht="15.75" customHeight="1" x14ac:dyDescent="0.2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</row>
    <row r="494" spans="1:65" ht="15.75" customHeight="1" x14ac:dyDescent="0.2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</row>
    <row r="495" spans="1:65" ht="15.75" customHeight="1" x14ac:dyDescent="0.2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</row>
    <row r="496" spans="1:65" ht="15.75" customHeight="1" x14ac:dyDescent="0.2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</row>
    <row r="497" spans="1:65" ht="15.75" customHeight="1" x14ac:dyDescent="0.2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</row>
    <row r="498" spans="1:65" ht="15.75" customHeight="1" x14ac:dyDescent="0.2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</row>
    <row r="499" spans="1:65" ht="15.75" customHeight="1" x14ac:dyDescent="0.2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</row>
    <row r="500" spans="1:65" ht="15.75" customHeight="1" x14ac:dyDescent="0.2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</row>
    <row r="501" spans="1:65" ht="15.75" customHeight="1" x14ac:dyDescent="0.2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</row>
    <row r="502" spans="1:65" ht="15.75" customHeight="1" x14ac:dyDescent="0.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</row>
    <row r="503" spans="1:65" ht="15.75" customHeight="1" x14ac:dyDescent="0.2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</row>
    <row r="504" spans="1:65" ht="15.75" customHeight="1" x14ac:dyDescent="0.2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</row>
    <row r="505" spans="1:65" ht="15.75" customHeight="1" x14ac:dyDescent="0.2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</row>
    <row r="506" spans="1:65" ht="15.75" customHeight="1" x14ac:dyDescent="0.2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</row>
    <row r="507" spans="1:65" ht="15.75" customHeight="1" x14ac:dyDescent="0.2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</row>
    <row r="508" spans="1:65" ht="15.75" customHeight="1" x14ac:dyDescent="0.2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</row>
    <row r="509" spans="1:65" ht="15.75" customHeight="1" x14ac:dyDescent="0.2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</row>
    <row r="510" spans="1:65" ht="15.75" customHeight="1" x14ac:dyDescent="0.2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</row>
    <row r="511" spans="1:65" ht="15.75" customHeight="1" x14ac:dyDescent="0.2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</row>
    <row r="512" spans="1:65" ht="15.75" customHeight="1" x14ac:dyDescent="0.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</row>
    <row r="513" spans="1:65" ht="15.75" customHeight="1" x14ac:dyDescent="0.2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</row>
    <row r="514" spans="1:65" ht="15.75" customHeight="1" x14ac:dyDescent="0.2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</row>
    <row r="515" spans="1:65" ht="15.75" customHeight="1" x14ac:dyDescent="0.2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</row>
    <row r="516" spans="1:65" ht="15.75" customHeight="1" x14ac:dyDescent="0.2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</row>
    <row r="517" spans="1:65" ht="15.75" customHeight="1" x14ac:dyDescent="0.2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</row>
    <row r="518" spans="1:65" ht="15.75" customHeight="1" x14ac:dyDescent="0.2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</row>
    <row r="519" spans="1:65" ht="15.75" customHeight="1" x14ac:dyDescent="0.2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</row>
    <row r="520" spans="1:65" ht="15.75" customHeight="1" x14ac:dyDescent="0.2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</row>
    <row r="521" spans="1:65" ht="15.75" customHeight="1" x14ac:dyDescent="0.2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</row>
    <row r="522" spans="1:65" ht="15.75" customHeight="1" x14ac:dyDescent="0.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</row>
    <row r="523" spans="1:65" ht="15.75" customHeight="1" x14ac:dyDescent="0.2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</row>
    <row r="524" spans="1:65" ht="15.75" customHeight="1" x14ac:dyDescent="0.2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</row>
    <row r="525" spans="1:65" ht="15.75" customHeight="1" x14ac:dyDescent="0.2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</row>
    <row r="526" spans="1:65" ht="15.75" customHeight="1" x14ac:dyDescent="0.2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</row>
    <row r="527" spans="1:65" ht="15.75" customHeight="1" x14ac:dyDescent="0.2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</row>
    <row r="528" spans="1:65" ht="15.75" customHeight="1" x14ac:dyDescent="0.2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</row>
    <row r="529" spans="1:65" ht="15.75" customHeight="1" x14ac:dyDescent="0.2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</row>
    <row r="530" spans="1:65" ht="15.75" customHeight="1" x14ac:dyDescent="0.2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</row>
    <row r="531" spans="1:65" ht="15.75" customHeight="1" x14ac:dyDescent="0.2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</row>
    <row r="532" spans="1:65" ht="15.75" customHeight="1" x14ac:dyDescent="0.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</row>
    <row r="533" spans="1:65" ht="15.75" customHeight="1" x14ac:dyDescent="0.2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</row>
    <row r="534" spans="1:65" ht="15.75" customHeight="1" x14ac:dyDescent="0.2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</row>
    <row r="535" spans="1:65" ht="15.75" customHeight="1" x14ac:dyDescent="0.2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</row>
    <row r="536" spans="1:65" ht="15.75" customHeight="1" x14ac:dyDescent="0.2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</row>
    <row r="537" spans="1:65" ht="15.75" customHeight="1" x14ac:dyDescent="0.2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</row>
    <row r="538" spans="1:65" ht="15.75" customHeight="1" x14ac:dyDescent="0.2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</row>
    <row r="539" spans="1:65" ht="15.75" customHeight="1" x14ac:dyDescent="0.2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</row>
    <row r="540" spans="1:65" ht="15.75" customHeight="1" x14ac:dyDescent="0.2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</row>
    <row r="541" spans="1:65" ht="15.75" customHeight="1" x14ac:dyDescent="0.2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</row>
    <row r="542" spans="1:65" ht="15.75" customHeight="1" x14ac:dyDescent="0.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</row>
    <row r="543" spans="1:65" ht="15.75" customHeight="1" x14ac:dyDescent="0.2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</row>
    <row r="544" spans="1:65" ht="15.75" customHeight="1" x14ac:dyDescent="0.2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</row>
    <row r="545" spans="1:65" ht="15.75" customHeight="1" x14ac:dyDescent="0.2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</row>
    <row r="546" spans="1:65" ht="15.75" customHeight="1" x14ac:dyDescent="0.2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</row>
    <row r="547" spans="1:65" ht="15.75" customHeight="1" x14ac:dyDescent="0.2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</row>
    <row r="548" spans="1:65" ht="15.75" customHeight="1" x14ac:dyDescent="0.2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</row>
    <row r="549" spans="1:65" ht="15.75" customHeight="1" x14ac:dyDescent="0.2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</row>
    <row r="550" spans="1:65" ht="15.75" customHeight="1" x14ac:dyDescent="0.2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</row>
    <row r="551" spans="1:65" ht="15.75" customHeight="1" x14ac:dyDescent="0.2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</row>
    <row r="552" spans="1:65" ht="15.75" customHeight="1" x14ac:dyDescent="0.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</row>
    <row r="553" spans="1:65" ht="15.75" customHeight="1" x14ac:dyDescent="0.2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</row>
    <row r="554" spans="1:65" ht="15.75" customHeight="1" x14ac:dyDescent="0.2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</row>
    <row r="555" spans="1:65" ht="15.75" customHeight="1" x14ac:dyDescent="0.2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</row>
    <row r="556" spans="1:65" ht="15.75" customHeight="1" x14ac:dyDescent="0.2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</row>
    <row r="557" spans="1:65" ht="15.75" customHeight="1" x14ac:dyDescent="0.2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</row>
    <row r="558" spans="1:65" ht="15.75" customHeight="1" x14ac:dyDescent="0.2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</row>
    <row r="559" spans="1:65" ht="15.75" customHeight="1" x14ac:dyDescent="0.2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</row>
    <row r="560" spans="1:65" ht="15.75" customHeight="1" x14ac:dyDescent="0.2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</row>
    <row r="561" spans="1:65" ht="15.75" customHeight="1" x14ac:dyDescent="0.2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</row>
    <row r="562" spans="1:65" ht="15.75" customHeight="1" x14ac:dyDescent="0.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</row>
    <row r="563" spans="1:65" ht="15.75" customHeight="1" x14ac:dyDescent="0.2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</row>
    <row r="564" spans="1:65" ht="15.75" customHeight="1" x14ac:dyDescent="0.2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</row>
    <row r="565" spans="1:65" ht="15.75" customHeight="1" x14ac:dyDescent="0.2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</row>
    <row r="566" spans="1:65" ht="15.75" customHeight="1" x14ac:dyDescent="0.2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</row>
    <row r="567" spans="1:65" ht="15.75" customHeight="1" x14ac:dyDescent="0.2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</row>
    <row r="568" spans="1:65" ht="15.75" customHeight="1" x14ac:dyDescent="0.2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</row>
    <row r="569" spans="1:65" ht="15.75" customHeight="1" x14ac:dyDescent="0.2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</row>
    <row r="570" spans="1:65" ht="15.75" customHeight="1" x14ac:dyDescent="0.2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</row>
    <row r="571" spans="1:65" ht="15.75" customHeight="1" x14ac:dyDescent="0.2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</row>
    <row r="572" spans="1:65" ht="15.75" customHeight="1" x14ac:dyDescent="0.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</row>
    <row r="573" spans="1:65" ht="15.75" customHeight="1" x14ac:dyDescent="0.2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</row>
    <row r="574" spans="1:65" ht="15.75" customHeight="1" x14ac:dyDescent="0.2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</row>
    <row r="575" spans="1:65" ht="15.75" customHeight="1" x14ac:dyDescent="0.2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</row>
    <row r="576" spans="1:65" ht="15.75" customHeight="1" x14ac:dyDescent="0.2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</row>
    <row r="577" spans="1:65" ht="15.75" customHeight="1" x14ac:dyDescent="0.2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</row>
    <row r="578" spans="1:65" ht="15.75" customHeight="1" x14ac:dyDescent="0.2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</row>
    <row r="579" spans="1:65" ht="15.75" customHeight="1" x14ac:dyDescent="0.2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</row>
    <row r="580" spans="1:65" ht="15.75" customHeight="1" x14ac:dyDescent="0.2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</row>
    <row r="581" spans="1:65" ht="15.75" customHeight="1" x14ac:dyDescent="0.2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</row>
    <row r="582" spans="1:65" ht="15.75" customHeight="1" x14ac:dyDescent="0.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</row>
    <row r="583" spans="1:65" ht="15.75" customHeight="1" x14ac:dyDescent="0.2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</row>
    <row r="584" spans="1:65" ht="15.75" customHeight="1" x14ac:dyDescent="0.2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</row>
    <row r="585" spans="1:65" ht="15.75" customHeight="1" x14ac:dyDescent="0.2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</row>
    <row r="586" spans="1:65" ht="15.75" customHeight="1" x14ac:dyDescent="0.2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</row>
    <row r="587" spans="1:65" ht="15.75" customHeight="1" x14ac:dyDescent="0.2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</row>
    <row r="588" spans="1:65" ht="15.75" customHeight="1" x14ac:dyDescent="0.2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</row>
    <row r="589" spans="1:65" ht="15.75" customHeight="1" x14ac:dyDescent="0.2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</row>
    <row r="590" spans="1:65" ht="15.75" customHeight="1" x14ac:dyDescent="0.2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</row>
    <row r="591" spans="1:65" ht="15.75" customHeight="1" x14ac:dyDescent="0.2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</row>
    <row r="592" spans="1:65" ht="15.75" customHeight="1" x14ac:dyDescent="0.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</row>
    <row r="593" spans="1:65" ht="15.75" customHeight="1" x14ac:dyDescent="0.2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</row>
    <row r="594" spans="1:65" ht="15.75" customHeight="1" x14ac:dyDescent="0.2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</row>
    <row r="595" spans="1:65" ht="15.75" customHeight="1" x14ac:dyDescent="0.2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</row>
    <row r="596" spans="1:65" ht="15.75" customHeight="1" x14ac:dyDescent="0.2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</row>
    <row r="597" spans="1:65" ht="15.75" customHeight="1" x14ac:dyDescent="0.2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</row>
    <row r="598" spans="1:65" ht="15.75" customHeight="1" x14ac:dyDescent="0.2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</row>
    <row r="599" spans="1:65" ht="15.75" customHeight="1" x14ac:dyDescent="0.2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</row>
    <row r="600" spans="1:65" ht="15.75" customHeight="1" x14ac:dyDescent="0.2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</row>
    <row r="601" spans="1:65" ht="15.75" customHeight="1" x14ac:dyDescent="0.2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</row>
    <row r="602" spans="1:65" ht="15.75" customHeight="1" x14ac:dyDescent="0.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</row>
    <row r="603" spans="1:65" ht="15.75" customHeight="1" x14ac:dyDescent="0.2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</row>
    <row r="604" spans="1:65" ht="15.75" customHeight="1" x14ac:dyDescent="0.2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</row>
    <row r="605" spans="1:65" ht="15.75" customHeight="1" x14ac:dyDescent="0.2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</row>
    <row r="606" spans="1:65" ht="15.75" customHeight="1" x14ac:dyDescent="0.2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</row>
    <row r="607" spans="1:65" ht="15.75" customHeight="1" x14ac:dyDescent="0.2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</row>
    <row r="608" spans="1:65" ht="15.75" customHeight="1" x14ac:dyDescent="0.2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</row>
    <row r="609" spans="1:65" ht="15.75" customHeight="1" x14ac:dyDescent="0.2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</row>
    <row r="610" spans="1:65" ht="15.75" customHeight="1" x14ac:dyDescent="0.2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</row>
    <row r="611" spans="1:65" ht="15.75" customHeight="1" x14ac:dyDescent="0.2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</row>
    <row r="612" spans="1:65" ht="15.75" customHeight="1" x14ac:dyDescent="0.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</row>
    <row r="613" spans="1:65" ht="15.75" customHeight="1" x14ac:dyDescent="0.2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</row>
    <row r="614" spans="1:65" ht="15.75" customHeight="1" x14ac:dyDescent="0.2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</row>
    <row r="615" spans="1:65" ht="15.75" customHeight="1" x14ac:dyDescent="0.2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</row>
    <row r="616" spans="1:65" ht="15.75" customHeight="1" x14ac:dyDescent="0.2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</row>
    <row r="617" spans="1:65" ht="15.75" customHeight="1" x14ac:dyDescent="0.2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</row>
    <row r="618" spans="1:65" ht="15.75" customHeight="1" x14ac:dyDescent="0.2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</row>
    <row r="619" spans="1:65" ht="15.75" customHeight="1" x14ac:dyDescent="0.2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</row>
    <row r="620" spans="1:65" ht="15.75" customHeight="1" x14ac:dyDescent="0.2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</row>
    <row r="621" spans="1:65" ht="15.75" customHeight="1" x14ac:dyDescent="0.2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</row>
    <row r="622" spans="1:65" ht="15.75" customHeight="1" x14ac:dyDescent="0.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</row>
    <row r="623" spans="1:65" ht="15.75" customHeight="1" x14ac:dyDescent="0.2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</row>
    <row r="624" spans="1:65" ht="15.75" customHeight="1" x14ac:dyDescent="0.2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</row>
    <row r="625" spans="1:65" ht="15.75" customHeight="1" x14ac:dyDescent="0.2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</row>
    <row r="626" spans="1:65" ht="15.75" customHeight="1" x14ac:dyDescent="0.2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</row>
    <row r="627" spans="1:65" ht="15.75" customHeight="1" x14ac:dyDescent="0.2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</row>
    <row r="628" spans="1:65" ht="15.75" customHeight="1" x14ac:dyDescent="0.2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</row>
    <row r="629" spans="1:65" ht="15.75" customHeight="1" x14ac:dyDescent="0.2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</row>
    <row r="630" spans="1:65" ht="15.75" customHeight="1" x14ac:dyDescent="0.2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</row>
    <row r="631" spans="1:65" ht="15.75" customHeight="1" x14ac:dyDescent="0.2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</row>
    <row r="632" spans="1:65" ht="15.75" customHeight="1" x14ac:dyDescent="0.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</row>
    <row r="633" spans="1:65" ht="15.75" customHeight="1" x14ac:dyDescent="0.2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</row>
    <row r="634" spans="1:65" ht="15.75" customHeight="1" x14ac:dyDescent="0.2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</row>
    <row r="635" spans="1:65" ht="15.75" customHeight="1" x14ac:dyDescent="0.2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</row>
    <row r="636" spans="1:65" ht="15.75" customHeight="1" x14ac:dyDescent="0.2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</row>
    <row r="637" spans="1:65" ht="15.75" customHeight="1" x14ac:dyDescent="0.2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</row>
    <row r="638" spans="1:65" ht="15.75" customHeight="1" x14ac:dyDescent="0.2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</row>
    <row r="639" spans="1:65" ht="15.75" customHeight="1" x14ac:dyDescent="0.2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</row>
    <row r="640" spans="1:65" ht="15.75" customHeight="1" x14ac:dyDescent="0.2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</row>
    <row r="641" spans="1:65" ht="15.75" customHeight="1" x14ac:dyDescent="0.2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</row>
    <row r="642" spans="1:65" ht="15.75" customHeight="1" x14ac:dyDescent="0.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</row>
    <row r="643" spans="1:65" ht="15.75" customHeight="1" x14ac:dyDescent="0.2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</row>
    <row r="644" spans="1:65" ht="15.75" customHeight="1" x14ac:dyDescent="0.2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</row>
    <row r="645" spans="1:65" ht="15.75" customHeight="1" x14ac:dyDescent="0.2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</row>
    <row r="646" spans="1:65" ht="15.75" customHeight="1" x14ac:dyDescent="0.2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</row>
    <row r="647" spans="1:65" ht="15.75" customHeight="1" x14ac:dyDescent="0.2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</row>
    <row r="648" spans="1:65" ht="15.75" customHeight="1" x14ac:dyDescent="0.2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</row>
    <row r="649" spans="1:65" ht="15.75" customHeight="1" x14ac:dyDescent="0.2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</row>
    <row r="650" spans="1:65" ht="15.75" customHeight="1" x14ac:dyDescent="0.2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</row>
    <row r="651" spans="1:65" ht="15.75" customHeight="1" x14ac:dyDescent="0.2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</row>
    <row r="652" spans="1:65" ht="15.75" customHeight="1" x14ac:dyDescent="0.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</row>
    <row r="653" spans="1:65" ht="15.75" customHeight="1" x14ac:dyDescent="0.2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</row>
    <row r="654" spans="1:65" ht="15.75" customHeight="1" x14ac:dyDescent="0.2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</row>
    <row r="655" spans="1:65" ht="15.75" customHeight="1" x14ac:dyDescent="0.2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</row>
    <row r="656" spans="1:65" ht="15.75" customHeight="1" x14ac:dyDescent="0.2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</row>
    <row r="657" spans="1:65" ht="15.75" customHeight="1" x14ac:dyDescent="0.2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</row>
    <row r="658" spans="1:65" ht="15.75" customHeight="1" x14ac:dyDescent="0.2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</row>
    <row r="659" spans="1:65" ht="15.75" customHeight="1" x14ac:dyDescent="0.2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</row>
    <row r="660" spans="1:65" ht="15.75" customHeight="1" x14ac:dyDescent="0.2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</row>
    <row r="661" spans="1:65" ht="15.75" customHeight="1" x14ac:dyDescent="0.2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</row>
    <row r="662" spans="1:65" ht="15.75" customHeight="1" x14ac:dyDescent="0.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</row>
    <row r="663" spans="1:65" ht="15.75" customHeight="1" x14ac:dyDescent="0.2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</row>
    <row r="664" spans="1:65" ht="15.75" customHeight="1" x14ac:dyDescent="0.2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</row>
    <row r="665" spans="1:65" ht="15.75" customHeight="1" x14ac:dyDescent="0.2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</row>
    <row r="666" spans="1:65" ht="15.75" customHeight="1" x14ac:dyDescent="0.2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</row>
    <row r="667" spans="1:65" ht="15.75" customHeight="1" x14ac:dyDescent="0.2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</row>
    <row r="668" spans="1:65" ht="15.75" customHeight="1" x14ac:dyDescent="0.2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</row>
    <row r="669" spans="1:65" ht="15.75" customHeight="1" x14ac:dyDescent="0.2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</row>
    <row r="670" spans="1:65" ht="15.75" customHeight="1" x14ac:dyDescent="0.2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</row>
    <row r="671" spans="1:65" ht="15.75" customHeight="1" x14ac:dyDescent="0.2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</row>
    <row r="672" spans="1:65" ht="15.75" customHeight="1" x14ac:dyDescent="0.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</row>
    <row r="673" spans="1:65" ht="15.75" customHeight="1" x14ac:dyDescent="0.2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</row>
    <row r="674" spans="1:65" ht="15.75" customHeight="1" x14ac:dyDescent="0.2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</row>
    <row r="675" spans="1:65" ht="15.75" customHeight="1" x14ac:dyDescent="0.2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</row>
    <row r="676" spans="1:65" ht="15.75" customHeight="1" x14ac:dyDescent="0.2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</row>
    <row r="677" spans="1:65" ht="15.75" customHeight="1" x14ac:dyDescent="0.2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</row>
    <row r="678" spans="1:65" ht="15.75" customHeight="1" x14ac:dyDescent="0.2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</row>
    <row r="679" spans="1:65" ht="15.75" customHeight="1" x14ac:dyDescent="0.2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</row>
    <row r="680" spans="1:65" ht="15.75" customHeight="1" x14ac:dyDescent="0.2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</row>
    <row r="681" spans="1:65" ht="15.75" customHeight="1" x14ac:dyDescent="0.2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</row>
    <row r="682" spans="1:65" ht="15.75" customHeight="1" x14ac:dyDescent="0.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</row>
    <row r="683" spans="1:65" ht="15.75" customHeight="1" x14ac:dyDescent="0.2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</row>
    <row r="684" spans="1:65" ht="15.75" customHeight="1" x14ac:dyDescent="0.2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</row>
    <row r="685" spans="1:65" ht="15.75" customHeight="1" x14ac:dyDescent="0.2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</row>
    <row r="686" spans="1:65" ht="15.75" customHeight="1" x14ac:dyDescent="0.2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</row>
    <row r="687" spans="1:65" ht="15.75" customHeight="1" x14ac:dyDescent="0.2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</row>
    <row r="688" spans="1:65" ht="15.75" customHeight="1" x14ac:dyDescent="0.2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</row>
    <row r="689" spans="1:65" ht="15.75" customHeight="1" x14ac:dyDescent="0.2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</row>
    <row r="690" spans="1:65" ht="15.75" customHeight="1" x14ac:dyDescent="0.2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</row>
    <row r="691" spans="1:65" ht="15.75" customHeight="1" x14ac:dyDescent="0.2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</row>
    <row r="692" spans="1:65" ht="15.75" customHeight="1" x14ac:dyDescent="0.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</row>
    <row r="693" spans="1:65" ht="15.75" customHeight="1" x14ac:dyDescent="0.2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</row>
    <row r="694" spans="1:65" ht="15.75" customHeight="1" x14ac:dyDescent="0.2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</row>
    <row r="695" spans="1:65" ht="15.75" customHeight="1" x14ac:dyDescent="0.2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</row>
    <row r="696" spans="1:65" ht="15.75" customHeight="1" x14ac:dyDescent="0.2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</row>
    <row r="697" spans="1:65" ht="15.75" customHeight="1" x14ac:dyDescent="0.2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</row>
    <row r="698" spans="1:65" ht="15.75" customHeight="1" x14ac:dyDescent="0.2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</row>
    <row r="699" spans="1:65" ht="15.75" customHeight="1" x14ac:dyDescent="0.2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</row>
    <row r="700" spans="1:65" ht="15.75" customHeight="1" x14ac:dyDescent="0.2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</row>
    <row r="701" spans="1:65" ht="15.75" customHeight="1" x14ac:dyDescent="0.2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</row>
    <row r="702" spans="1:65" ht="15.75" customHeight="1" x14ac:dyDescent="0.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</row>
    <row r="703" spans="1:65" ht="15.75" customHeight="1" x14ac:dyDescent="0.2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</row>
    <row r="704" spans="1:65" ht="15.75" customHeight="1" x14ac:dyDescent="0.2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</row>
    <row r="705" spans="1:65" ht="15.75" customHeight="1" x14ac:dyDescent="0.2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</row>
    <row r="706" spans="1:65" ht="15.75" customHeight="1" x14ac:dyDescent="0.2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</row>
    <row r="707" spans="1:65" ht="15.75" customHeight="1" x14ac:dyDescent="0.2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</row>
    <row r="708" spans="1:65" ht="15.75" customHeight="1" x14ac:dyDescent="0.2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</row>
    <row r="709" spans="1:65" ht="15.75" customHeight="1" x14ac:dyDescent="0.2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</row>
    <row r="710" spans="1:65" ht="15.75" customHeight="1" x14ac:dyDescent="0.2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</row>
    <row r="711" spans="1:65" ht="15.75" customHeight="1" x14ac:dyDescent="0.2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</row>
    <row r="712" spans="1:65" ht="15.75" customHeight="1" x14ac:dyDescent="0.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</row>
    <row r="713" spans="1:65" ht="15.75" customHeight="1" x14ac:dyDescent="0.2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</row>
    <row r="714" spans="1:65" ht="15.75" customHeight="1" x14ac:dyDescent="0.2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</row>
    <row r="715" spans="1:65" ht="15.75" customHeight="1" x14ac:dyDescent="0.2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</row>
    <row r="716" spans="1:65" ht="15.75" customHeight="1" x14ac:dyDescent="0.2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</row>
    <row r="717" spans="1:65" ht="15.75" customHeight="1" x14ac:dyDescent="0.2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</row>
    <row r="718" spans="1:65" ht="15.75" customHeight="1" x14ac:dyDescent="0.2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</row>
    <row r="719" spans="1:65" ht="15.75" customHeight="1" x14ac:dyDescent="0.2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</row>
    <row r="720" spans="1:65" ht="15.75" customHeight="1" x14ac:dyDescent="0.2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</row>
    <row r="721" spans="1:65" ht="15.75" customHeight="1" x14ac:dyDescent="0.2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</row>
    <row r="722" spans="1:65" ht="15.75" customHeight="1" x14ac:dyDescent="0.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</row>
    <row r="723" spans="1:65" ht="15.75" customHeight="1" x14ac:dyDescent="0.2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</row>
    <row r="724" spans="1:65" ht="15.75" customHeight="1" x14ac:dyDescent="0.2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</row>
    <row r="725" spans="1:65" ht="15.75" customHeight="1" x14ac:dyDescent="0.2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</row>
    <row r="726" spans="1:65" ht="15.75" customHeight="1" x14ac:dyDescent="0.2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</row>
    <row r="727" spans="1:65" ht="15.75" customHeight="1" x14ac:dyDescent="0.2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</row>
    <row r="728" spans="1:65" ht="15.75" customHeight="1" x14ac:dyDescent="0.2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</row>
    <row r="729" spans="1:65" ht="15.75" customHeight="1" x14ac:dyDescent="0.2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</row>
    <row r="730" spans="1:65" ht="15.75" customHeight="1" x14ac:dyDescent="0.2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</row>
    <row r="731" spans="1:65" ht="15.75" customHeight="1" x14ac:dyDescent="0.2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</row>
    <row r="732" spans="1:65" ht="15.75" customHeight="1" x14ac:dyDescent="0.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</row>
    <row r="733" spans="1:65" ht="15.75" customHeight="1" x14ac:dyDescent="0.2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</row>
    <row r="734" spans="1:65" ht="15.75" customHeight="1" x14ac:dyDescent="0.2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</row>
    <row r="735" spans="1:65" ht="15.75" customHeight="1" x14ac:dyDescent="0.2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</row>
    <row r="736" spans="1:65" ht="15.75" customHeight="1" x14ac:dyDescent="0.2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</row>
    <row r="737" spans="1:65" ht="15.75" customHeight="1" x14ac:dyDescent="0.2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</row>
    <row r="738" spans="1:65" ht="15.75" customHeight="1" x14ac:dyDescent="0.2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</row>
    <row r="739" spans="1:65" ht="15.75" customHeight="1" x14ac:dyDescent="0.2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</row>
    <row r="740" spans="1:65" ht="15.75" customHeight="1" x14ac:dyDescent="0.2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</row>
    <row r="741" spans="1:65" ht="15.75" customHeight="1" x14ac:dyDescent="0.2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</row>
    <row r="742" spans="1:65" ht="15.75" customHeight="1" x14ac:dyDescent="0.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</row>
    <row r="743" spans="1:65" ht="15.75" customHeight="1" x14ac:dyDescent="0.2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</row>
    <row r="744" spans="1:65" ht="15.75" customHeight="1" x14ac:dyDescent="0.2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</row>
    <row r="745" spans="1:65" ht="15.75" customHeight="1" x14ac:dyDescent="0.2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</row>
    <row r="746" spans="1:65" ht="15.75" customHeight="1" x14ac:dyDescent="0.2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</row>
    <row r="747" spans="1:65" ht="15.75" customHeight="1" x14ac:dyDescent="0.2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</row>
    <row r="748" spans="1:65" ht="15.75" customHeight="1" x14ac:dyDescent="0.2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</row>
    <row r="749" spans="1:65" ht="15.75" customHeight="1" x14ac:dyDescent="0.2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</row>
    <row r="750" spans="1:65" ht="15.75" customHeight="1" x14ac:dyDescent="0.2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</row>
    <row r="751" spans="1:65" ht="15.75" customHeight="1" x14ac:dyDescent="0.2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</row>
    <row r="752" spans="1:65" ht="15.75" customHeight="1" x14ac:dyDescent="0.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</row>
    <row r="753" spans="1:65" ht="15.75" customHeight="1" x14ac:dyDescent="0.2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</row>
    <row r="754" spans="1:65" ht="15.75" customHeight="1" x14ac:dyDescent="0.2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</row>
    <row r="755" spans="1:65" ht="15.75" customHeight="1" x14ac:dyDescent="0.2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</row>
    <row r="756" spans="1:65" ht="15.75" customHeight="1" x14ac:dyDescent="0.2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</row>
    <row r="757" spans="1:65" ht="15.75" customHeight="1" x14ac:dyDescent="0.2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</row>
    <row r="758" spans="1:65" ht="15.75" customHeight="1" x14ac:dyDescent="0.2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</row>
    <row r="759" spans="1:65" ht="15.75" customHeight="1" x14ac:dyDescent="0.2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</row>
    <row r="760" spans="1:65" ht="15.75" customHeight="1" x14ac:dyDescent="0.2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</row>
    <row r="761" spans="1:65" ht="15.75" customHeight="1" x14ac:dyDescent="0.2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</row>
    <row r="762" spans="1:65" ht="15.75" customHeight="1" x14ac:dyDescent="0.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</row>
    <row r="763" spans="1:65" ht="15.75" customHeight="1" x14ac:dyDescent="0.2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</row>
    <row r="764" spans="1:65" ht="15.75" customHeight="1" x14ac:dyDescent="0.2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</row>
    <row r="765" spans="1:65" ht="15.75" customHeight="1" x14ac:dyDescent="0.2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</row>
    <row r="766" spans="1:65" ht="15.75" customHeight="1" x14ac:dyDescent="0.2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</row>
    <row r="767" spans="1:65" ht="15.75" customHeight="1" x14ac:dyDescent="0.2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</row>
    <row r="768" spans="1:65" ht="15.75" customHeight="1" x14ac:dyDescent="0.2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</row>
    <row r="769" spans="1:65" ht="15.75" customHeight="1" x14ac:dyDescent="0.2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</row>
    <row r="770" spans="1:65" ht="15.75" customHeight="1" x14ac:dyDescent="0.2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</row>
    <row r="771" spans="1:65" ht="15.75" customHeight="1" x14ac:dyDescent="0.2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</row>
    <row r="772" spans="1:65" ht="15.75" customHeight="1" x14ac:dyDescent="0.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</row>
    <row r="773" spans="1:65" ht="15.75" customHeight="1" x14ac:dyDescent="0.2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</row>
    <row r="774" spans="1:65" ht="15.75" customHeight="1" x14ac:dyDescent="0.2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</row>
    <row r="775" spans="1:65" ht="15.75" customHeight="1" x14ac:dyDescent="0.2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</row>
    <row r="776" spans="1:65" ht="15.75" customHeight="1" x14ac:dyDescent="0.2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</row>
    <row r="777" spans="1:65" ht="15.75" customHeight="1" x14ac:dyDescent="0.2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</row>
    <row r="778" spans="1:65" ht="15.75" customHeight="1" x14ac:dyDescent="0.2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</row>
    <row r="779" spans="1:65" ht="15.75" customHeight="1" x14ac:dyDescent="0.2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</row>
    <row r="780" spans="1:65" ht="15.75" customHeight="1" x14ac:dyDescent="0.2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</row>
    <row r="781" spans="1:65" ht="15.75" customHeight="1" x14ac:dyDescent="0.2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</row>
    <row r="782" spans="1:65" ht="15.75" customHeight="1" x14ac:dyDescent="0.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</row>
    <row r="783" spans="1:65" ht="15.75" customHeight="1" x14ac:dyDescent="0.2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</row>
    <row r="784" spans="1:65" ht="15.75" customHeight="1" x14ac:dyDescent="0.2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</row>
    <row r="785" spans="1:65" ht="15.75" customHeight="1" x14ac:dyDescent="0.2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</row>
    <row r="786" spans="1:65" ht="15.75" customHeight="1" x14ac:dyDescent="0.2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</row>
    <row r="787" spans="1:65" ht="15.75" customHeight="1" x14ac:dyDescent="0.2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</row>
    <row r="788" spans="1:65" ht="15.75" customHeight="1" x14ac:dyDescent="0.2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</row>
    <row r="789" spans="1:65" ht="15.75" customHeight="1" x14ac:dyDescent="0.2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</row>
    <row r="790" spans="1:65" ht="15.75" customHeight="1" x14ac:dyDescent="0.2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</row>
    <row r="791" spans="1:65" ht="15.75" customHeight="1" x14ac:dyDescent="0.2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</row>
    <row r="792" spans="1:65" ht="15.75" customHeight="1" x14ac:dyDescent="0.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</row>
    <row r="793" spans="1:65" ht="15.75" customHeight="1" x14ac:dyDescent="0.2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</row>
    <row r="794" spans="1:65" ht="15.75" customHeight="1" x14ac:dyDescent="0.2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</row>
    <row r="795" spans="1:65" ht="15.75" customHeight="1" x14ac:dyDescent="0.2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</row>
    <row r="796" spans="1:65" ht="15.75" customHeight="1" x14ac:dyDescent="0.2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</row>
    <row r="797" spans="1:65" ht="15.75" customHeight="1" x14ac:dyDescent="0.2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</row>
    <row r="798" spans="1:65" ht="15.75" customHeight="1" x14ac:dyDescent="0.2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</row>
    <row r="799" spans="1:65" ht="15.75" customHeight="1" x14ac:dyDescent="0.2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</row>
    <row r="800" spans="1:65" ht="15.75" customHeight="1" x14ac:dyDescent="0.2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</row>
    <row r="801" spans="1:65" ht="15.75" customHeight="1" x14ac:dyDescent="0.2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</row>
    <row r="802" spans="1:65" ht="15.75" customHeight="1" x14ac:dyDescent="0.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</row>
    <row r="803" spans="1:65" ht="15.75" customHeight="1" x14ac:dyDescent="0.2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</row>
    <row r="804" spans="1:65" ht="15.75" customHeight="1" x14ac:dyDescent="0.2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</row>
    <row r="805" spans="1:65" ht="15.75" customHeight="1" x14ac:dyDescent="0.2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</row>
    <row r="806" spans="1:65" ht="15.75" customHeight="1" x14ac:dyDescent="0.2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</row>
    <row r="807" spans="1:65" ht="15.75" customHeight="1" x14ac:dyDescent="0.2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</row>
    <row r="808" spans="1:65" ht="15.75" customHeight="1" x14ac:dyDescent="0.2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</row>
    <row r="809" spans="1:65" ht="15.75" customHeight="1" x14ac:dyDescent="0.2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</row>
    <row r="810" spans="1:65" ht="15.75" customHeight="1" x14ac:dyDescent="0.2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</row>
    <row r="811" spans="1:65" ht="15.75" customHeight="1" x14ac:dyDescent="0.2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</row>
    <row r="812" spans="1:65" ht="15.75" customHeight="1" x14ac:dyDescent="0.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</row>
    <row r="813" spans="1:65" ht="15.75" customHeight="1" x14ac:dyDescent="0.2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</row>
    <row r="814" spans="1:65" ht="15.75" customHeight="1" x14ac:dyDescent="0.2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</row>
    <row r="815" spans="1:65" ht="15.75" customHeight="1" x14ac:dyDescent="0.2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</row>
    <row r="816" spans="1:65" ht="15.75" customHeight="1" x14ac:dyDescent="0.2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</row>
    <row r="817" spans="1:65" ht="15.75" customHeight="1" x14ac:dyDescent="0.2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</row>
    <row r="818" spans="1:65" ht="15.75" customHeight="1" x14ac:dyDescent="0.2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</row>
    <row r="819" spans="1:65" ht="15.75" customHeight="1" x14ac:dyDescent="0.2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</row>
    <row r="820" spans="1:65" ht="15.75" customHeight="1" x14ac:dyDescent="0.2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</row>
    <row r="821" spans="1:65" ht="15.75" customHeight="1" x14ac:dyDescent="0.2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</row>
    <row r="822" spans="1:65" ht="15.75" customHeight="1" x14ac:dyDescent="0.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</row>
    <row r="823" spans="1:65" ht="15.75" customHeight="1" x14ac:dyDescent="0.2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</row>
    <row r="824" spans="1:65" ht="15.75" customHeight="1" x14ac:dyDescent="0.2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</row>
    <row r="825" spans="1:65" ht="15.75" customHeight="1" x14ac:dyDescent="0.2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</row>
    <row r="826" spans="1:65" ht="15.75" customHeight="1" x14ac:dyDescent="0.2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</row>
    <row r="827" spans="1:65" ht="15.75" customHeight="1" x14ac:dyDescent="0.2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</row>
    <row r="828" spans="1:65" ht="15.75" customHeight="1" x14ac:dyDescent="0.2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</row>
    <row r="829" spans="1:65" ht="15.75" customHeight="1" x14ac:dyDescent="0.2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</row>
    <row r="830" spans="1:65" ht="15.75" customHeight="1" x14ac:dyDescent="0.2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</row>
    <row r="831" spans="1:65" ht="15.75" customHeight="1" x14ac:dyDescent="0.2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</row>
    <row r="832" spans="1:65" ht="15.75" customHeight="1" x14ac:dyDescent="0.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</row>
    <row r="833" spans="1:65" ht="15.75" customHeight="1" x14ac:dyDescent="0.2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</row>
    <row r="834" spans="1:65" ht="15.75" customHeight="1" x14ac:dyDescent="0.2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</row>
    <row r="835" spans="1:65" ht="15.75" customHeight="1" x14ac:dyDescent="0.2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</row>
    <row r="836" spans="1:65" ht="15.75" customHeight="1" x14ac:dyDescent="0.2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</row>
    <row r="837" spans="1:65" ht="15.75" customHeight="1" x14ac:dyDescent="0.2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</row>
    <row r="838" spans="1:65" ht="15.75" customHeight="1" x14ac:dyDescent="0.2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</row>
    <row r="839" spans="1:65" ht="15.75" customHeight="1" x14ac:dyDescent="0.2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</row>
    <row r="840" spans="1:65" ht="15.75" customHeight="1" x14ac:dyDescent="0.2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</row>
    <row r="841" spans="1:65" ht="15.75" customHeight="1" x14ac:dyDescent="0.2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</row>
    <row r="842" spans="1:65" ht="15.75" customHeight="1" x14ac:dyDescent="0.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</row>
    <row r="843" spans="1:65" ht="15.75" customHeight="1" x14ac:dyDescent="0.2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</row>
    <row r="844" spans="1:65" ht="15.75" customHeight="1" x14ac:dyDescent="0.2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</row>
    <row r="845" spans="1:65" ht="15.75" customHeight="1" x14ac:dyDescent="0.2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</row>
    <row r="846" spans="1:65" ht="15.75" customHeight="1" x14ac:dyDescent="0.2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</row>
    <row r="847" spans="1:65" ht="15.75" customHeight="1" x14ac:dyDescent="0.2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</row>
    <row r="848" spans="1:65" ht="15.75" customHeight="1" x14ac:dyDescent="0.2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</row>
    <row r="849" spans="1:65" ht="15.75" customHeight="1" x14ac:dyDescent="0.2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</row>
    <row r="850" spans="1:65" ht="15.75" customHeight="1" x14ac:dyDescent="0.2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</row>
    <row r="851" spans="1:65" ht="15.75" customHeight="1" x14ac:dyDescent="0.2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</row>
    <row r="852" spans="1:65" ht="15.75" customHeight="1" x14ac:dyDescent="0.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</row>
    <row r="853" spans="1:65" ht="15.75" customHeight="1" x14ac:dyDescent="0.2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</row>
    <row r="854" spans="1:65" ht="15.75" customHeight="1" x14ac:dyDescent="0.2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</row>
    <row r="855" spans="1:65" ht="15.75" customHeight="1" x14ac:dyDescent="0.2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</row>
    <row r="856" spans="1:65" ht="15.75" customHeight="1" x14ac:dyDescent="0.2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</row>
    <row r="857" spans="1:65" ht="15.75" customHeight="1" x14ac:dyDescent="0.2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</row>
    <row r="858" spans="1:65" ht="15.75" customHeight="1" x14ac:dyDescent="0.2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</row>
    <row r="859" spans="1:65" ht="15.75" customHeight="1" x14ac:dyDescent="0.2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</row>
    <row r="860" spans="1:65" ht="15.75" customHeight="1" x14ac:dyDescent="0.2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</row>
    <row r="861" spans="1:65" ht="15.75" customHeight="1" x14ac:dyDescent="0.2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</row>
    <row r="862" spans="1:65" ht="15.75" customHeight="1" x14ac:dyDescent="0.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</row>
    <row r="863" spans="1:65" ht="15.75" customHeight="1" x14ac:dyDescent="0.2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</row>
    <row r="864" spans="1:65" ht="15.75" customHeight="1" x14ac:dyDescent="0.2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</row>
    <row r="865" spans="1:65" ht="15.75" customHeight="1" x14ac:dyDescent="0.2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</row>
    <row r="866" spans="1:65" ht="15.75" customHeight="1" x14ac:dyDescent="0.2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</row>
    <row r="867" spans="1:65" ht="15.75" customHeight="1" x14ac:dyDescent="0.2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</row>
    <row r="868" spans="1:65" ht="15.75" customHeight="1" x14ac:dyDescent="0.2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</row>
    <row r="869" spans="1:65" ht="15.75" customHeight="1" x14ac:dyDescent="0.2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</row>
    <row r="870" spans="1:65" ht="15.75" customHeight="1" x14ac:dyDescent="0.2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</row>
    <row r="871" spans="1:65" ht="15.75" customHeight="1" x14ac:dyDescent="0.2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</row>
    <row r="872" spans="1:65" ht="15.75" customHeight="1" x14ac:dyDescent="0.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</row>
    <row r="873" spans="1:65" ht="15.75" customHeight="1" x14ac:dyDescent="0.2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</row>
    <row r="874" spans="1:65" ht="15.75" customHeight="1" x14ac:dyDescent="0.2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</row>
    <row r="875" spans="1:65" ht="15.75" customHeight="1" x14ac:dyDescent="0.2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</row>
    <row r="876" spans="1:65" ht="15.75" customHeight="1" x14ac:dyDescent="0.2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</row>
    <row r="877" spans="1:65" ht="15.75" customHeight="1" x14ac:dyDescent="0.2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</row>
    <row r="878" spans="1:65" ht="15.75" customHeight="1" x14ac:dyDescent="0.2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</row>
    <row r="879" spans="1:65" ht="15.75" customHeight="1" x14ac:dyDescent="0.2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</row>
    <row r="880" spans="1:65" ht="15.75" customHeight="1" x14ac:dyDescent="0.2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</row>
    <row r="881" spans="1:65" ht="15.75" customHeight="1" x14ac:dyDescent="0.2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</row>
    <row r="882" spans="1:65" ht="15.75" customHeight="1" x14ac:dyDescent="0.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</row>
    <row r="883" spans="1:65" ht="15.75" customHeight="1" x14ac:dyDescent="0.2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</row>
    <row r="884" spans="1:65" ht="15.75" customHeight="1" x14ac:dyDescent="0.2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</row>
    <row r="885" spans="1:65" ht="15.75" customHeight="1" x14ac:dyDescent="0.2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</row>
    <row r="886" spans="1:65" ht="15.75" customHeight="1" x14ac:dyDescent="0.2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</row>
    <row r="887" spans="1:65" ht="15.75" customHeight="1" x14ac:dyDescent="0.2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</row>
    <row r="888" spans="1:65" ht="15.75" customHeight="1" x14ac:dyDescent="0.2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</row>
    <row r="889" spans="1:65" ht="15.75" customHeight="1" x14ac:dyDescent="0.2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</row>
    <row r="890" spans="1:65" ht="15.75" customHeight="1" x14ac:dyDescent="0.2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</row>
    <row r="891" spans="1:65" ht="15.75" customHeight="1" x14ac:dyDescent="0.2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</row>
    <row r="892" spans="1:65" ht="15.75" customHeight="1" x14ac:dyDescent="0.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</row>
    <row r="893" spans="1:65" ht="15.75" customHeight="1" x14ac:dyDescent="0.2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</row>
    <row r="894" spans="1:65" ht="15.75" customHeight="1" x14ac:dyDescent="0.2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</row>
    <row r="895" spans="1:65" ht="15.75" customHeight="1" x14ac:dyDescent="0.2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</row>
    <row r="896" spans="1:65" ht="15.75" customHeight="1" x14ac:dyDescent="0.2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</row>
    <row r="897" spans="1:65" ht="15.75" customHeight="1" x14ac:dyDescent="0.2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</row>
    <row r="898" spans="1:65" ht="15.75" customHeight="1" x14ac:dyDescent="0.2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</row>
    <row r="899" spans="1:65" ht="15.75" customHeight="1" x14ac:dyDescent="0.2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</row>
    <row r="900" spans="1:65" ht="15.75" customHeight="1" x14ac:dyDescent="0.2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</row>
    <row r="901" spans="1:65" ht="15.75" customHeight="1" x14ac:dyDescent="0.2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</row>
    <row r="902" spans="1:65" ht="15.75" customHeight="1" x14ac:dyDescent="0.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</row>
    <row r="903" spans="1:65" ht="15.75" customHeight="1" x14ac:dyDescent="0.2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</row>
    <row r="904" spans="1:65" ht="15.75" customHeight="1" x14ac:dyDescent="0.2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</row>
    <row r="905" spans="1:65" ht="15.75" customHeight="1" x14ac:dyDescent="0.2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</row>
    <row r="906" spans="1:65" ht="15.75" customHeight="1" x14ac:dyDescent="0.2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</row>
    <row r="907" spans="1:65" ht="15.75" customHeight="1" x14ac:dyDescent="0.2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</row>
    <row r="908" spans="1:65" ht="15.75" customHeight="1" x14ac:dyDescent="0.2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</row>
    <row r="909" spans="1:65" ht="15.75" customHeight="1" x14ac:dyDescent="0.2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</row>
    <row r="910" spans="1:65" ht="15.75" customHeight="1" x14ac:dyDescent="0.2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</row>
    <row r="911" spans="1:65" ht="15.75" customHeight="1" x14ac:dyDescent="0.2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</row>
    <row r="912" spans="1:65" ht="15.75" customHeight="1" x14ac:dyDescent="0.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</row>
    <row r="913" spans="1:65" ht="15.75" customHeight="1" x14ac:dyDescent="0.2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</row>
    <row r="914" spans="1:65" ht="15.75" customHeight="1" x14ac:dyDescent="0.2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</row>
    <row r="915" spans="1:65" ht="15.75" customHeight="1" x14ac:dyDescent="0.2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</row>
    <row r="916" spans="1:65" ht="15.75" customHeight="1" x14ac:dyDescent="0.2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</row>
    <row r="917" spans="1:65" ht="15.75" customHeight="1" x14ac:dyDescent="0.2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</row>
    <row r="918" spans="1:65" ht="15.75" customHeight="1" x14ac:dyDescent="0.2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</row>
    <row r="919" spans="1:65" ht="15.75" customHeight="1" x14ac:dyDescent="0.2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</row>
    <row r="920" spans="1:65" ht="15.75" customHeight="1" x14ac:dyDescent="0.2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</row>
    <row r="921" spans="1:65" ht="15.75" customHeight="1" x14ac:dyDescent="0.2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</row>
    <row r="922" spans="1:65" ht="15.75" customHeight="1" x14ac:dyDescent="0.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</row>
    <row r="923" spans="1:65" ht="15.75" customHeight="1" x14ac:dyDescent="0.2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</row>
    <row r="924" spans="1:65" ht="15.75" customHeight="1" x14ac:dyDescent="0.2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</row>
    <row r="925" spans="1:65" ht="15.75" customHeight="1" x14ac:dyDescent="0.2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</row>
    <row r="926" spans="1:65" ht="15.75" customHeight="1" x14ac:dyDescent="0.2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</row>
    <row r="927" spans="1:65" ht="15.75" customHeight="1" x14ac:dyDescent="0.2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</row>
    <row r="928" spans="1:65" ht="15.75" customHeight="1" x14ac:dyDescent="0.2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</row>
    <row r="929" spans="1:65" ht="15.75" customHeight="1" x14ac:dyDescent="0.2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</row>
    <row r="930" spans="1:65" ht="15.75" customHeight="1" x14ac:dyDescent="0.2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</row>
    <row r="931" spans="1:65" ht="15.75" customHeight="1" x14ac:dyDescent="0.2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</row>
    <row r="932" spans="1:65" ht="15.75" customHeight="1" x14ac:dyDescent="0.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</row>
    <row r="933" spans="1:65" ht="15.75" customHeight="1" x14ac:dyDescent="0.2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</row>
    <row r="934" spans="1:65" ht="15.75" customHeight="1" x14ac:dyDescent="0.2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</row>
  </sheetData>
  <mergeCells count="3">
    <mergeCell ref="S49:T49"/>
    <mergeCell ref="Z49:AA49"/>
    <mergeCell ref="AB49:AC4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2"/>
  <sheetViews>
    <sheetView showGridLines="0" tabSelected="1" workbookViewId="0">
      <selection activeCell="B9" sqref="B9"/>
    </sheetView>
  </sheetViews>
  <sheetFormatPr baseColWidth="10" defaultColWidth="14.5" defaultRowHeight="15" customHeight="1" x14ac:dyDescent="0.2"/>
  <cols>
    <col min="1" max="1" width="30.6640625" customWidth="1"/>
    <col min="2" max="2" width="167.5" customWidth="1"/>
    <col min="3" max="26" width="10.6640625" customWidth="1"/>
  </cols>
  <sheetData>
    <row r="1" spans="1:3" x14ac:dyDescent="0.2">
      <c r="A1" s="21"/>
    </row>
    <row r="2" spans="1:3" x14ac:dyDescent="0.2">
      <c r="A2" s="21"/>
    </row>
    <row r="3" spans="1:3" x14ac:dyDescent="0.2">
      <c r="A3" s="21"/>
    </row>
    <row r="4" spans="1:3" x14ac:dyDescent="0.2">
      <c r="A4" s="21"/>
    </row>
    <row r="5" spans="1:3" x14ac:dyDescent="0.2">
      <c r="A5" s="21"/>
    </row>
    <row r="6" spans="1:3" x14ac:dyDescent="0.2">
      <c r="A6" s="21"/>
    </row>
    <row r="7" spans="1:3" x14ac:dyDescent="0.2">
      <c r="A7" s="21"/>
    </row>
    <row r="8" spans="1:3" x14ac:dyDescent="0.2">
      <c r="A8" s="21"/>
    </row>
    <row r="9" spans="1:3" x14ac:dyDescent="0.2">
      <c r="A9" s="21"/>
    </row>
    <row r="10" spans="1:3" x14ac:dyDescent="0.2">
      <c r="A10" s="21"/>
    </row>
    <row r="11" spans="1:3" x14ac:dyDescent="0.2">
      <c r="A11" s="21"/>
    </row>
    <row r="12" spans="1:3" x14ac:dyDescent="0.2">
      <c r="A12" s="21"/>
    </row>
    <row r="13" spans="1:3" ht="18" customHeight="1" x14ac:dyDescent="0.2">
      <c r="A13" s="22" t="s">
        <v>163</v>
      </c>
      <c r="B13" s="22" t="s">
        <v>164</v>
      </c>
      <c r="C13" s="23" t="s">
        <v>165</v>
      </c>
    </row>
    <row r="14" spans="1:3" ht="18" customHeight="1" x14ac:dyDescent="0.2">
      <c r="A14" s="24" t="s">
        <v>166</v>
      </c>
      <c r="B14" s="24" t="s">
        <v>167</v>
      </c>
      <c r="C14" s="24" t="s">
        <v>168</v>
      </c>
    </row>
    <row r="15" spans="1:3" ht="18" customHeight="1" x14ac:dyDescent="0.2">
      <c r="A15" s="24" t="s">
        <v>169</v>
      </c>
      <c r="B15" s="24" t="s">
        <v>169</v>
      </c>
      <c r="C15" s="24" t="s">
        <v>168</v>
      </c>
    </row>
    <row r="16" spans="1:3" ht="18" customHeight="1" x14ac:dyDescent="0.2">
      <c r="A16" s="24" t="s">
        <v>170</v>
      </c>
      <c r="B16" s="24" t="s">
        <v>171</v>
      </c>
      <c r="C16" s="24" t="s">
        <v>172</v>
      </c>
    </row>
    <row r="17" spans="1:3" ht="18" customHeight="1" x14ac:dyDescent="0.2">
      <c r="A17" s="25" t="s">
        <v>173</v>
      </c>
      <c r="B17" s="25" t="s">
        <v>174</v>
      </c>
      <c r="C17" s="25" t="s">
        <v>172</v>
      </c>
    </row>
    <row r="18" spans="1:3" ht="18" customHeight="1" x14ac:dyDescent="0.2">
      <c r="A18" s="26" t="s">
        <v>175</v>
      </c>
      <c r="B18" s="26" t="s">
        <v>176</v>
      </c>
      <c r="C18" s="26" t="s">
        <v>172</v>
      </c>
    </row>
    <row r="19" spans="1:3" ht="18" customHeight="1" x14ac:dyDescent="0.2">
      <c r="A19" s="26" t="s">
        <v>177</v>
      </c>
      <c r="B19" s="26" t="s">
        <v>178</v>
      </c>
      <c r="C19" s="26" t="s">
        <v>172</v>
      </c>
    </row>
    <row r="20" spans="1:3" ht="18" customHeight="1" x14ac:dyDescent="0.2">
      <c r="A20" s="26" t="s">
        <v>179</v>
      </c>
      <c r="B20" s="26" t="s">
        <v>180</v>
      </c>
      <c r="C20" s="26" t="s">
        <v>172</v>
      </c>
    </row>
    <row r="21" spans="1:3" ht="18" customHeight="1" x14ac:dyDescent="0.2">
      <c r="A21" s="26" t="s">
        <v>181</v>
      </c>
      <c r="B21" s="26" t="s">
        <v>182</v>
      </c>
      <c r="C21" s="26" t="s">
        <v>172</v>
      </c>
    </row>
    <row r="22" spans="1:3" ht="18" customHeight="1" x14ac:dyDescent="0.2">
      <c r="A22" s="27" t="s">
        <v>183</v>
      </c>
      <c r="B22" s="27" t="s">
        <v>184</v>
      </c>
      <c r="C22" s="27" t="s">
        <v>172</v>
      </c>
    </row>
    <row r="23" spans="1:3" ht="18" customHeight="1" x14ac:dyDescent="0.2">
      <c r="A23" s="27" t="s">
        <v>185</v>
      </c>
      <c r="B23" s="27" t="s">
        <v>186</v>
      </c>
      <c r="C23" s="27" t="s">
        <v>172</v>
      </c>
    </row>
    <row r="24" spans="1:3" ht="18" customHeight="1" x14ac:dyDescent="0.2">
      <c r="A24" s="27" t="s">
        <v>187</v>
      </c>
      <c r="B24" s="27" t="s">
        <v>188</v>
      </c>
      <c r="C24" s="27" t="s">
        <v>172</v>
      </c>
    </row>
    <row r="25" spans="1:3" ht="18" customHeight="1" x14ac:dyDescent="0.2">
      <c r="A25" s="28" t="s">
        <v>189</v>
      </c>
      <c r="B25" s="27" t="s">
        <v>190</v>
      </c>
      <c r="C25" s="28" t="s">
        <v>172</v>
      </c>
    </row>
    <row r="26" spans="1:3" ht="18" customHeight="1" x14ac:dyDescent="0.2">
      <c r="A26" s="29" t="s">
        <v>82</v>
      </c>
      <c r="B26" s="30" t="s">
        <v>191</v>
      </c>
      <c r="C26" s="29" t="s">
        <v>172</v>
      </c>
    </row>
    <row r="27" spans="1:3" ht="18" customHeight="1" x14ac:dyDescent="0.2">
      <c r="A27" s="29" t="s">
        <v>101</v>
      </c>
      <c r="B27" s="30" t="s">
        <v>192</v>
      </c>
      <c r="C27" s="29" t="s">
        <v>172</v>
      </c>
    </row>
    <row r="28" spans="1:3" ht="18" customHeight="1" x14ac:dyDescent="0.2">
      <c r="A28" s="29" t="s">
        <v>92</v>
      </c>
      <c r="B28" s="30" t="s">
        <v>193</v>
      </c>
      <c r="C28" s="29" t="s">
        <v>172</v>
      </c>
    </row>
    <row r="29" spans="1:3" ht="18" customHeight="1" x14ac:dyDescent="0.2">
      <c r="A29" s="29" t="s">
        <v>194</v>
      </c>
      <c r="B29" s="29" t="s">
        <v>195</v>
      </c>
      <c r="C29" s="29" t="s">
        <v>172</v>
      </c>
    </row>
    <row r="30" spans="1:3" ht="18" customHeight="1" x14ac:dyDescent="0.2">
      <c r="A30" s="31" t="s">
        <v>196</v>
      </c>
      <c r="B30" s="31" t="s">
        <v>197</v>
      </c>
      <c r="C30" s="31" t="s">
        <v>198</v>
      </c>
    </row>
    <row r="31" spans="1:3" ht="18" customHeight="1" x14ac:dyDescent="0.2">
      <c r="A31" s="31" t="s">
        <v>199</v>
      </c>
      <c r="B31" s="31" t="s">
        <v>339</v>
      </c>
      <c r="C31" s="31" t="s">
        <v>198</v>
      </c>
    </row>
    <row r="32" spans="1:3" ht="18" customHeight="1" x14ac:dyDescent="0.2">
      <c r="A32" s="31" t="s">
        <v>200</v>
      </c>
      <c r="B32" s="31" t="s">
        <v>201</v>
      </c>
      <c r="C32" s="31" t="s">
        <v>198</v>
      </c>
    </row>
    <row r="33" spans="1:3" ht="18" customHeight="1" x14ac:dyDescent="0.2">
      <c r="A33" s="32" t="s">
        <v>202</v>
      </c>
      <c r="B33" s="32" t="s">
        <v>203</v>
      </c>
      <c r="C33" s="32" t="s">
        <v>172</v>
      </c>
    </row>
    <row r="34" spans="1:3" ht="18" customHeight="1" x14ac:dyDescent="0.2">
      <c r="A34" s="32" t="s">
        <v>204</v>
      </c>
      <c r="B34" s="32" t="s">
        <v>205</v>
      </c>
      <c r="C34" s="32" t="s">
        <v>172</v>
      </c>
    </row>
    <row r="35" spans="1:3" ht="18" customHeight="1" x14ac:dyDescent="0.2">
      <c r="A35" s="33" t="s">
        <v>206</v>
      </c>
      <c r="B35" s="33" t="s">
        <v>207</v>
      </c>
      <c r="C35" s="33" t="s">
        <v>208</v>
      </c>
    </row>
    <row r="36" spans="1:3" ht="18" customHeight="1" x14ac:dyDescent="0.2">
      <c r="A36" s="34" t="s">
        <v>209</v>
      </c>
      <c r="B36" s="34" t="s">
        <v>210</v>
      </c>
      <c r="C36" s="34" t="s">
        <v>172</v>
      </c>
    </row>
    <row r="37" spans="1:3" ht="18" customHeight="1" x14ac:dyDescent="0.2">
      <c r="A37" s="34" t="s">
        <v>211</v>
      </c>
      <c r="B37" s="34" t="s">
        <v>212</v>
      </c>
      <c r="C37" s="34" t="s">
        <v>172</v>
      </c>
    </row>
    <row r="38" spans="1:3" ht="18" customHeight="1" x14ac:dyDescent="0.2">
      <c r="A38" s="35" t="s">
        <v>213</v>
      </c>
      <c r="B38" s="35" t="s">
        <v>214</v>
      </c>
      <c r="C38" s="35" t="s">
        <v>172</v>
      </c>
    </row>
    <row r="39" spans="1:3" ht="18" customHeight="1" x14ac:dyDescent="0.2">
      <c r="A39" s="35" t="s">
        <v>215</v>
      </c>
      <c r="B39" s="35" t="s">
        <v>216</v>
      </c>
      <c r="C39" s="35" t="s">
        <v>172</v>
      </c>
    </row>
    <row r="40" spans="1:3" ht="18" customHeight="1" x14ac:dyDescent="0.2">
      <c r="A40" s="35" t="s">
        <v>217</v>
      </c>
      <c r="B40" s="35" t="s">
        <v>218</v>
      </c>
      <c r="C40" s="35" t="s">
        <v>172</v>
      </c>
    </row>
    <row r="41" spans="1:3" ht="18" customHeight="1" x14ac:dyDescent="0.2">
      <c r="A41" s="35" t="s">
        <v>219</v>
      </c>
      <c r="B41" s="35" t="s">
        <v>220</v>
      </c>
      <c r="C41" s="35" t="s">
        <v>172</v>
      </c>
    </row>
    <row r="42" spans="1:3" ht="18" customHeight="1" x14ac:dyDescent="0.2">
      <c r="A42" s="35" t="s">
        <v>221</v>
      </c>
      <c r="B42" s="35" t="s">
        <v>222</v>
      </c>
      <c r="C42" s="35" t="s">
        <v>172</v>
      </c>
    </row>
    <row r="43" spans="1:3" ht="18" customHeight="1" x14ac:dyDescent="0.2">
      <c r="A43" s="35" t="s">
        <v>223</v>
      </c>
      <c r="B43" s="35" t="s">
        <v>224</v>
      </c>
      <c r="C43" s="35" t="s">
        <v>172</v>
      </c>
    </row>
    <row r="44" spans="1:3" ht="18" customHeight="1" x14ac:dyDescent="0.2">
      <c r="A44" s="35" t="s">
        <v>225</v>
      </c>
      <c r="B44" s="35" t="s">
        <v>226</v>
      </c>
      <c r="C44" s="35" t="s">
        <v>172</v>
      </c>
    </row>
    <row r="45" spans="1:3" ht="18" customHeight="1" x14ac:dyDescent="0.2">
      <c r="A45" s="35" t="s">
        <v>227</v>
      </c>
      <c r="B45" s="35" t="s">
        <v>228</v>
      </c>
      <c r="C45" s="35" t="s">
        <v>172</v>
      </c>
    </row>
    <row r="46" spans="1:3" ht="18" customHeight="1" x14ac:dyDescent="0.2">
      <c r="A46" s="35" t="s">
        <v>229</v>
      </c>
      <c r="B46" s="35" t="s">
        <v>230</v>
      </c>
      <c r="C46" s="35" t="s">
        <v>172</v>
      </c>
    </row>
    <row r="47" spans="1:3" ht="18" customHeight="1" x14ac:dyDescent="0.2">
      <c r="A47" s="35" t="s">
        <v>231</v>
      </c>
      <c r="B47" s="35" t="s">
        <v>232</v>
      </c>
      <c r="C47" s="35" t="s">
        <v>172</v>
      </c>
    </row>
    <row r="48" spans="1:3" ht="18" customHeight="1" x14ac:dyDescent="0.2">
      <c r="A48" s="35" t="s">
        <v>233</v>
      </c>
      <c r="B48" s="35" t="s">
        <v>234</v>
      </c>
      <c r="C48" s="35" t="s">
        <v>172</v>
      </c>
    </row>
    <row r="49" spans="1:3" ht="18" customHeight="1" x14ac:dyDescent="0.2">
      <c r="A49" s="35" t="s">
        <v>235</v>
      </c>
      <c r="B49" s="35" t="s">
        <v>236</v>
      </c>
      <c r="C49" s="35" t="s">
        <v>172</v>
      </c>
    </row>
    <row r="50" spans="1:3" ht="18" customHeight="1" x14ac:dyDescent="0.2">
      <c r="A50" s="35" t="s">
        <v>312</v>
      </c>
      <c r="B50" s="35" t="s">
        <v>314</v>
      </c>
      <c r="C50" s="35" t="s">
        <v>172</v>
      </c>
    </row>
    <row r="51" spans="1:3" ht="18" customHeight="1" x14ac:dyDescent="0.2">
      <c r="A51" s="35" t="s">
        <v>313</v>
      </c>
      <c r="B51" s="35" t="s">
        <v>315</v>
      </c>
      <c r="C51" s="35" t="s">
        <v>172</v>
      </c>
    </row>
    <row r="52" spans="1:3" ht="18" customHeight="1" x14ac:dyDescent="0.2">
      <c r="A52" s="35" t="s">
        <v>237</v>
      </c>
      <c r="B52" s="35" t="s">
        <v>238</v>
      </c>
      <c r="C52" s="35" t="s">
        <v>172</v>
      </c>
    </row>
    <row r="53" spans="1:3" ht="18" customHeight="1" x14ac:dyDescent="0.2">
      <c r="A53" s="36" t="s">
        <v>239</v>
      </c>
      <c r="B53" s="36" t="s">
        <v>240</v>
      </c>
      <c r="C53" s="36" t="s">
        <v>172</v>
      </c>
    </row>
    <row r="54" spans="1:3" ht="18" customHeight="1" x14ac:dyDescent="0.2">
      <c r="A54" s="36" t="s">
        <v>241</v>
      </c>
      <c r="B54" s="36" t="s">
        <v>242</v>
      </c>
      <c r="C54" s="36" t="s">
        <v>172</v>
      </c>
    </row>
    <row r="55" spans="1:3" ht="18" customHeight="1" x14ac:dyDescent="0.2">
      <c r="A55" s="37" t="s">
        <v>243</v>
      </c>
      <c r="B55" s="37" t="s">
        <v>244</v>
      </c>
      <c r="C55" s="37" t="s">
        <v>198</v>
      </c>
    </row>
    <row r="56" spans="1:3" ht="18" customHeight="1" x14ac:dyDescent="0.2">
      <c r="A56" s="37" t="s">
        <v>245</v>
      </c>
      <c r="B56" s="37" t="s">
        <v>246</v>
      </c>
      <c r="C56" s="37" t="s">
        <v>198</v>
      </c>
    </row>
    <row r="57" spans="1:3" ht="18" customHeight="1" x14ac:dyDescent="0.2">
      <c r="A57" s="37" t="s">
        <v>247</v>
      </c>
      <c r="B57" s="37" t="s">
        <v>248</v>
      </c>
      <c r="C57" s="37" t="s">
        <v>198</v>
      </c>
    </row>
    <row r="58" spans="1:3" ht="18" customHeight="1" x14ac:dyDescent="0.2">
      <c r="A58" s="37" t="s">
        <v>249</v>
      </c>
      <c r="B58" s="37" t="s">
        <v>250</v>
      </c>
      <c r="C58" s="37" t="s">
        <v>198</v>
      </c>
    </row>
    <row r="59" spans="1:3" ht="18" customHeight="1" x14ac:dyDescent="0.2">
      <c r="A59" s="38" t="s">
        <v>251</v>
      </c>
      <c r="B59" s="38" t="s">
        <v>252</v>
      </c>
      <c r="C59" s="38" t="s">
        <v>198</v>
      </c>
    </row>
    <row r="60" spans="1:3" ht="18" customHeight="1" x14ac:dyDescent="0.2">
      <c r="A60" s="38" t="s">
        <v>253</v>
      </c>
      <c r="B60" s="38" t="s">
        <v>254</v>
      </c>
      <c r="C60" s="38" t="s">
        <v>198</v>
      </c>
    </row>
    <row r="61" spans="1:3" ht="18" customHeight="1" x14ac:dyDescent="0.2">
      <c r="A61" s="38" t="s">
        <v>255</v>
      </c>
      <c r="B61" s="38" t="s">
        <v>256</v>
      </c>
      <c r="C61" s="38" t="s">
        <v>198</v>
      </c>
    </row>
    <row r="62" spans="1:3" ht="18" customHeight="1" x14ac:dyDescent="0.2">
      <c r="A62" s="26" t="s">
        <v>257</v>
      </c>
      <c r="B62" s="26" t="s">
        <v>256</v>
      </c>
      <c r="C62" s="26" t="s">
        <v>198</v>
      </c>
    </row>
    <row r="63" spans="1:3" ht="18" customHeight="1" x14ac:dyDescent="0.2">
      <c r="A63" s="26" t="s">
        <v>258</v>
      </c>
      <c r="B63" s="26" t="s">
        <v>256</v>
      </c>
      <c r="C63" s="26" t="s">
        <v>198</v>
      </c>
    </row>
    <row r="64" spans="1:3" ht="18" customHeight="1" x14ac:dyDescent="0.2">
      <c r="A64" s="26" t="s">
        <v>259</v>
      </c>
      <c r="B64" s="26" t="s">
        <v>256</v>
      </c>
      <c r="C64" s="26" t="s">
        <v>198</v>
      </c>
    </row>
    <row r="65" spans="1:3" ht="18" customHeight="1" x14ac:dyDescent="0.2">
      <c r="A65" s="26" t="s">
        <v>260</v>
      </c>
      <c r="B65" s="26" t="s">
        <v>256</v>
      </c>
      <c r="C65" s="26" t="s">
        <v>198</v>
      </c>
    </row>
    <row r="66" spans="1:3" ht="18" customHeight="1" x14ac:dyDescent="0.2">
      <c r="A66" s="26" t="s">
        <v>261</v>
      </c>
      <c r="B66" s="26" t="s">
        <v>256</v>
      </c>
      <c r="C66" s="26" t="s">
        <v>198</v>
      </c>
    </row>
    <row r="67" spans="1:3" ht="18" customHeight="1" x14ac:dyDescent="0.2">
      <c r="A67" s="39" t="s">
        <v>262</v>
      </c>
      <c r="B67" s="39" t="s">
        <v>256</v>
      </c>
      <c r="C67" s="39" t="s">
        <v>198</v>
      </c>
    </row>
    <row r="68" spans="1:3" ht="18" customHeight="1" x14ac:dyDescent="0.2">
      <c r="A68" s="39" t="s">
        <v>263</v>
      </c>
      <c r="B68" s="39" t="s">
        <v>256</v>
      </c>
      <c r="C68" s="39" t="s">
        <v>198</v>
      </c>
    </row>
    <row r="69" spans="1:3" ht="18" customHeight="1" x14ac:dyDescent="0.2">
      <c r="A69" s="40" t="s">
        <v>264</v>
      </c>
      <c r="B69" s="40" t="s">
        <v>265</v>
      </c>
      <c r="C69" s="40" t="s">
        <v>208</v>
      </c>
    </row>
    <row r="70" spans="1:3" ht="18" customHeight="1" x14ac:dyDescent="0.2">
      <c r="A70" s="40" t="s">
        <v>266</v>
      </c>
      <c r="B70" s="40" t="s">
        <v>265</v>
      </c>
      <c r="C70" s="40" t="s">
        <v>208</v>
      </c>
    </row>
    <row r="71" spans="1:3" ht="18" customHeight="1" x14ac:dyDescent="0.2">
      <c r="A71" s="40" t="s">
        <v>267</v>
      </c>
      <c r="B71" s="40" t="s">
        <v>265</v>
      </c>
      <c r="C71" s="40" t="s">
        <v>208</v>
      </c>
    </row>
    <row r="72" spans="1:3" ht="18" customHeight="1" x14ac:dyDescent="0.2">
      <c r="A72" s="40" t="s">
        <v>268</v>
      </c>
      <c r="B72" s="40" t="s">
        <v>265</v>
      </c>
      <c r="C72" s="40" t="s">
        <v>208</v>
      </c>
    </row>
    <row r="73" spans="1:3" ht="18" customHeight="1" x14ac:dyDescent="0.2">
      <c r="A73" s="40" t="s">
        <v>269</v>
      </c>
      <c r="B73" s="40" t="s">
        <v>265</v>
      </c>
      <c r="C73" s="40" t="s">
        <v>208</v>
      </c>
    </row>
    <row r="74" spans="1:3" ht="18" customHeight="1" x14ac:dyDescent="0.2">
      <c r="A74" s="40" t="s">
        <v>270</v>
      </c>
      <c r="B74" s="40" t="s">
        <v>265</v>
      </c>
      <c r="C74" s="40" t="s">
        <v>208</v>
      </c>
    </row>
    <row r="75" spans="1:3" ht="18" customHeight="1" x14ac:dyDescent="0.2">
      <c r="A75" s="40" t="s">
        <v>271</v>
      </c>
      <c r="B75" s="40" t="s">
        <v>265</v>
      </c>
      <c r="C75" s="40" t="s">
        <v>208</v>
      </c>
    </row>
    <row r="76" spans="1:3" ht="18" customHeight="1" x14ac:dyDescent="0.2">
      <c r="A76" s="40" t="s">
        <v>272</v>
      </c>
      <c r="B76" s="40" t="s">
        <v>265</v>
      </c>
      <c r="C76" s="40" t="s">
        <v>208</v>
      </c>
    </row>
    <row r="77" spans="1:3" ht="18" customHeight="1" x14ac:dyDescent="0.2">
      <c r="A77" s="40" t="s">
        <v>273</v>
      </c>
      <c r="B77" s="40" t="s">
        <v>265</v>
      </c>
      <c r="C77" s="40" t="s">
        <v>208</v>
      </c>
    </row>
    <row r="78" spans="1:3" ht="18" customHeight="1" x14ac:dyDescent="0.2">
      <c r="A78" s="40" t="s">
        <v>274</v>
      </c>
      <c r="B78" s="40" t="s">
        <v>265</v>
      </c>
      <c r="C78" s="40" t="s">
        <v>208</v>
      </c>
    </row>
    <row r="79" spans="1:3" ht="18" customHeight="1" x14ac:dyDescent="0.2">
      <c r="A79" s="40" t="s">
        <v>275</v>
      </c>
      <c r="B79" s="40" t="s">
        <v>276</v>
      </c>
      <c r="C79" s="40" t="s">
        <v>172</v>
      </c>
    </row>
    <row r="80" spans="1:3" ht="15.75" customHeight="1" x14ac:dyDescent="0.2">
      <c r="A80" s="21"/>
    </row>
    <row r="81" spans="1:2" ht="15.75" customHeight="1" x14ac:dyDescent="0.2">
      <c r="A81" s="22" t="s">
        <v>277</v>
      </c>
    </row>
    <row r="82" spans="1:2" ht="15.75" customHeight="1" x14ac:dyDescent="0.2">
      <c r="A82" s="21" t="s">
        <v>59</v>
      </c>
      <c r="B82" s="23" t="s">
        <v>278</v>
      </c>
    </row>
    <row r="83" spans="1:2" ht="15.75" customHeight="1" x14ac:dyDescent="0.2">
      <c r="A83" s="21" t="s">
        <v>87</v>
      </c>
      <c r="B83" s="23" t="s">
        <v>279</v>
      </c>
    </row>
    <row r="84" spans="1:2" ht="15.75" customHeight="1" x14ac:dyDescent="0.2">
      <c r="A84" s="21" t="s">
        <v>280</v>
      </c>
      <c r="B84" s="23" t="s">
        <v>281</v>
      </c>
    </row>
    <row r="85" spans="1:2" ht="15.75" customHeight="1" x14ac:dyDescent="0.2">
      <c r="A85" s="21" t="s">
        <v>162</v>
      </c>
      <c r="B85" s="23" t="s">
        <v>282</v>
      </c>
    </row>
    <row r="86" spans="1:2" ht="15.75" customHeight="1" x14ac:dyDescent="0.2">
      <c r="A86" s="21" t="s">
        <v>283</v>
      </c>
      <c r="B86" s="23" t="s">
        <v>284</v>
      </c>
    </row>
    <row r="87" spans="1:2" ht="15.75" customHeight="1" x14ac:dyDescent="0.2">
      <c r="A87" s="21" t="s">
        <v>285</v>
      </c>
      <c r="B87" s="23" t="s">
        <v>286</v>
      </c>
    </row>
    <row r="88" spans="1:2" ht="15.75" customHeight="1" x14ac:dyDescent="0.2">
      <c r="A88" s="21" t="s">
        <v>151</v>
      </c>
      <c r="B88" s="23" t="s">
        <v>287</v>
      </c>
    </row>
    <row r="89" spans="1:2" ht="15.75" customHeight="1" x14ac:dyDescent="0.2">
      <c r="A89" s="21"/>
    </row>
    <row r="90" spans="1:2" ht="15.75" customHeight="1" x14ac:dyDescent="0.2">
      <c r="A90" s="21"/>
    </row>
    <row r="91" spans="1:2" ht="15.75" customHeight="1" x14ac:dyDescent="0.2">
      <c r="A91" s="21"/>
    </row>
    <row r="92" spans="1:2" ht="15.75" customHeight="1" x14ac:dyDescent="0.2">
      <c r="A92" s="21"/>
    </row>
    <row r="93" spans="1:2" ht="15.75" customHeight="1" x14ac:dyDescent="0.2">
      <c r="A93" s="21"/>
    </row>
    <row r="94" spans="1:2" ht="15.75" customHeight="1" x14ac:dyDescent="0.2">
      <c r="A94" s="21"/>
    </row>
    <row r="95" spans="1:2" ht="15.75" customHeight="1" x14ac:dyDescent="0.2">
      <c r="A95" s="21"/>
    </row>
    <row r="96" spans="1:2" ht="15.75" customHeight="1" x14ac:dyDescent="0.2">
      <c r="A96" s="21"/>
    </row>
    <row r="97" spans="1:1" ht="15.75" customHeight="1" x14ac:dyDescent="0.2">
      <c r="A97" s="21"/>
    </row>
    <row r="98" spans="1:1" ht="15.75" customHeight="1" x14ac:dyDescent="0.2">
      <c r="A98" s="21"/>
    </row>
    <row r="99" spans="1:1" ht="15.75" customHeight="1" x14ac:dyDescent="0.2">
      <c r="A99" s="21"/>
    </row>
    <row r="100" spans="1:1" ht="15.75" customHeight="1" x14ac:dyDescent="0.2">
      <c r="A100" s="21"/>
    </row>
    <row r="101" spans="1:1" ht="15.75" customHeight="1" x14ac:dyDescent="0.2">
      <c r="A101" s="21"/>
    </row>
    <row r="102" spans="1:1" ht="15.75" customHeight="1" x14ac:dyDescent="0.2">
      <c r="A102" s="21"/>
    </row>
    <row r="103" spans="1:1" ht="15.75" customHeight="1" x14ac:dyDescent="0.2">
      <c r="A103" s="21"/>
    </row>
    <row r="104" spans="1:1" ht="15.75" customHeight="1" x14ac:dyDescent="0.2">
      <c r="A104" s="21"/>
    </row>
    <row r="105" spans="1:1" ht="15.75" customHeight="1" x14ac:dyDescent="0.2">
      <c r="A105" s="21"/>
    </row>
    <row r="106" spans="1:1" ht="15.75" customHeight="1" x14ac:dyDescent="0.2">
      <c r="A106" s="21"/>
    </row>
    <row r="107" spans="1:1" ht="15.75" customHeight="1" x14ac:dyDescent="0.2">
      <c r="A107" s="21"/>
    </row>
    <row r="108" spans="1:1" ht="15.75" customHeight="1" x14ac:dyDescent="0.2">
      <c r="A108" s="21"/>
    </row>
    <row r="109" spans="1:1" ht="15.75" customHeight="1" x14ac:dyDescent="0.2">
      <c r="A109" s="21"/>
    </row>
    <row r="110" spans="1:1" ht="15.75" customHeight="1" x14ac:dyDescent="0.2">
      <c r="A110" s="21"/>
    </row>
    <row r="111" spans="1:1" ht="15.75" customHeight="1" x14ac:dyDescent="0.2">
      <c r="A111" s="21"/>
    </row>
    <row r="112" spans="1:1" ht="15.75" customHeight="1" x14ac:dyDescent="0.2">
      <c r="A112" s="21"/>
    </row>
    <row r="113" spans="1:1" ht="15.75" customHeight="1" x14ac:dyDescent="0.2">
      <c r="A113" s="21"/>
    </row>
    <row r="114" spans="1:1" ht="15.75" customHeight="1" x14ac:dyDescent="0.2">
      <c r="A114" s="21"/>
    </row>
    <row r="115" spans="1:1" ht="15.75" customHeight="1" x14ac:dyDescent="0.2">
      <c r="A115" s="21"/>
    </row>
    <row r="116" spans="1:1" ht="15.75" customHeight="1" x14ac:dyDescent="0.2">
      <c r="A116" s="21"/>
    </row>
    <row r="117" spans="1:1" ht="15.75" customHeight="1" x14ac:dyDescent="0.2">
      <c r="A117" s="21"/>
    </row>
    <row r="118" spans="1:1" ht="15.75" customHeight="1" x14ac:dyDescent="0.2">
      <c r="A118" s="21"/>
    </row>
    <row r="119" spans="1:1" ht="15.75" customHeight="1" x14ac:dyDescent="0.2">
      <c r="A119" s="21"/>
    </row>
    <row r="120" spans="1:1" ht="15.75" customHeight="1" x14ac:dyDescent="0.2">
      <c r="A120" s="21"/>
    </row>
    <row r="121" spans="1:1" ht="15.75" customHeight="1" x14ac:dyDescent="0.2">
      <c r="A121" s="21"/>
    </row>
    <row r="122" spans="1:1" ht="15.75" customHeight="1" x14ac:dyDescent="0.2">
      <c r="A122" s="21"/>
    </row>
    <row r="123" spans="1:1" ht="15.75" customHeight="1" x14ac:dyDescent="0.2">
      <c r="A123" s="21"/>
    </row>
    <row r="124" spans="1:1" ht="15.75" customHeight="1" x14ac:dyDescent="0.2">
      <c r="A124" s="21"/>
    </row>
    <row r="125" spans="1:1" ht="15.75" customHeight="1" x14ac:dyDescent="0.2">
      <c r="A125" s="21"/>
    </row>
    <row r="126" spans="1:1" ht="15.75" customHeight="1" x14ac:dyDescent="0.2">
      <c r="A126" s="21"/>
    </row>
    <row r="127" spans="1:1" ht="15.75" customHeight="1" x14ac:dyDescent="0.2">
      <c r="A127" s="21"/>
    </row>
    <row r="128" spans="1:1" ht="15.75" customHeight="1" x14ac:dyDescent="0.2">
      <c r="A128" s="21"/>
    </row>
    <row r="129" spans="1:1" ht="15.75" customHeight="1" x14ac:dyDescent="0.2">
      <c r="A129" s="21"/>
    </row>
    <row r="130" spans="1:1" ht="15.75" customHeight="1" x14ac:dyDescent="0.2">
      <c r="A130" s="21"/>
    </row>
    <row r="131" spans="1:1" ht="15.75" customHeight="1" x14ac:dyDescent="0.2">
      <c r="A131" s="21"/>
    </row>
    <row r="132" spans="1:1" ht="15.75" customHeight="1" x14ac:dyDescent="0.2">
      <c r="A132" s="21"/>
    </row>
    <row r="133" spans="1:1" ht="15.75" customHeight="1" x14ac:dyDescent="0.2">
      <c r="A133" s="21"/>
    </row>
    <row r="134" spans="1:1" ht="15.75" customHeight="1" x14ac:dyDescent="0.2">
      <c r="A134" s="21"/>
    </row>
    <row r="135" spans="1:1" ht="15.75" customHeight="1" x14ac:dyDescent="0.2">
      <c r="A135" s="21"/>
    </row>
    <row r="136" spans="1:1" ht="15.75" customHeight="1" x14ac:dyDescent="0.2">
      <c r="A136" s="21"/>
    </row>
    <row r="137" spans="1:1" ht="15.75" customHeight="1" x14ac:dyDescent="0.2">
      <c r="A137" s="21"/>
    </row>
    <row r="138" spans="1:1" ht="15.75" customHeight="1" x14ac:dyDescent="0.2">
      <c r="A138" s="21"/>
    </row>
    <row r="139" spans="1:1" ht="15.75" customHeight="1" x14ac:dyDescent="0.2">
      <c r="A139" s="21"/>
    </row>
    <row r="140" spans="1:1" ht="15.75" customHeight="1" x14ac:dyDescent="0.2">
      <c r="A140" s="21"/>
    </row>
    <row r="141" spans="1:1" ht="15.75" customHeight="1" x14ac:dyDescent="0.2">
      <c r="A141" s="21"/>
    </row>
    <row r="142" spans="1:1" ht="15.75" customHeight="1" x14ac:dyDescent="0.2">
      <c r="A142" s="21"/>
    </row>
    <row r="143" spans="1:1" ht="15.75" customHeight="1" x14ac:dyDescent="0.2">
      <c r="A143" s="21"/>
    </row>
    <row r="144" spans="1:1" ht="15.75" customHeight="1" x14ac:dyDescent="0.2">
      <c r="A144" s="21"/>
    </row>
    <row r="145" spans="1:1" ht="15.75" customHeight="1" x14ac:dyDescent="0.2">
      <c r="A145" s="21"/>
    </row>
    <row r="146" spans="1:1" ht="15.75" customHeight="1" x14ac:dyDescent="0.2">
      <c r="A146" s="21"/>
    </row>
    <row r="147" spans="1:1" ht="15.75" customHeight="1" x14ac:dyDescent="0.2">
      <c r="A147" s="21"/>
    </row>
    <row r="148" spans="1:1" ht="15.75" customHeight="1" x14ac:dyDescent="0.2">
      <c r="A148" s="21"/>
    </row>
    <row r="149" spans="1:1" ht="15.75" customHeight="1" x14ac:dyDescent="0.2">
      <c r="A149" s="21"/>
    </row>
    <row r="150" spans="1:1" ht="15.75" customHeight="1" x14ac:dyDescent="0.2">
      <c r="A150" s="21"/>
    </row>
    <row r="151" spans="1:1" ht="15.75" customHeight="1" x14ac:dyDescent="0.2">
      <c r="A151" s="21"/>
    </row>
    <row r="152" spans="1:1" ht="15.75" customHeight="1" x14ac:dyDescent="0.2">
      <c r="A152" s="21"/>
    </row>
    <row r="153" spans="1:1" ht="15.75" customHeight="1" x14ac:dyDescent="0.2">
      <c r="A153" s="21"/>
    </row>
    <row r="154" spans="1:1" ht="15.75" customHeight="1" x14ac:dyDescent="0.2">
      <c r="A154" s="21"/>
    </row>
    <row r="155" spans="1:1" ht="15.75" customHeight="1" x14ac:dyDescent="0.2">
      <c r="A155" s="21"/>
    </row>
    <row r="156" spans="1:1" ht="15.75" customHeight="1" x14ac:dyDescent="0.2">
      <c r="A156" s="21"/>
    </row>
    <row r="157" spans="1:1" ht="15.75" customHeight="1" x14ac:dyDescent="0.2">
      <c r="A157" s="21"/>
    </row>
    <row r="158" spans="1:1" ht="15.75" customHeight="1" x14ac:dyDescent="0.2">
      <c r="A158" s="21"/>
    </row>
    <row r="159" spans="1:1" ht="15.75" customHeight="1" x14ac:dyDescent="0.2">
      <c r="A159" s="21"/>
    </row>
    <row r="160" spans="1:1" ht="15.75" customHeight="1" x14ac:dyDescent="0.2">
      <c r="A160" s="21"/>
    </row>
    <row r="161" spans="1:1" ht="15.75" customHeight="1" x14ac:dyDescent="0.2">
      <c r="A161" s="21"/>
    </row>
    <row r="162" spans="1:1" ht="15.75" customHeight="1" x14ac:dyDescent="0.2">
      <c r="A162" s="21"/>
    </row>
    <row r="163" spans="1:1" ht="15.75" customHeight="1" x14ac:dyDescent="0.2">
      <c r="A163" s="21"/>
    </row>
    <row r="164" spans="1:1" ht="15.75" customHeight="1" x14ac:dyDescent="0.2">
      <c r="A164" s="21"/>
    </row>
    <row r="165" spans="1:1" ht="15.75" customHeight="1" x14ac:dyDescent="0.2">
      <c r="A165" s="21"/>
    </row>
    <row r="166" spans="1:1" ht="15.75" customHeight="1" x14ac:dyDescent="0.2">
      <c r="A166" s="21"/>
    </row>
    <row r="167" spans="1:1" ht="15.75" customHeight="1" x14ac:dyDescent="0.2">
      <c r="A167" s="21"/>
    </row>
    <row r="168" spans="1:1" ht="15.75" customHeight="1" x14ac:dyDescent="0.2">
      <c r="A168" s="21"/>
    </row>
    <row r="169" spans="1:1" ht="15.75" customHeight="1" x14ac:dyDescent="0.2">
      <c r="A169" s="21"/>
    </row>
    <row r="170" spans="1:1" ht="15.75" customHeight="1" x14ac:dyDescent="0.2">
      <c r="A170" s="21"/>
    </row>
    <row r="171" spans="1:1" ht="15.75" customHeight="1" x14ac:dyDescent="0.2">
      <c r="A171" s="21"/>
    </row>
    <row r="172" spans="1:1" ht="15.75" customHeight="1" x14ac:dyDescent="0.2">
      <c r="A172" s="21"/>
    </row>
    <row r="173" spans="1:1" ht="15.75" customHeight="1" x14ac:dyDescent="0.2">
      <c r="A173" s="21"/>
    </row>
    <row r="174" spans="1:1" ht="15.75" customHeight="1" x14ac:dyDescent="0.2">
      <c r="A174" s="21"/>
    </row>
    <row r="175" spans="1:1" ht="15.75" customHeight="1" x14ac:dyDescent="0.2">
      <c r="A175" s="21"/>
    </row>
    <row r="176" spans="1:1" ht="15.75" customHeight="1" x14ac:dyDescent="0.2">
      <c r="A176" s="21"/>
    </row>
    <row r="177" spans="1:1" ht="15.75" customHeight="1" x14ac:dyDescent="0.2">
      <c r="A177" s="21"/>
    </row>
    <row r="178" spans="1:1" ht="15.75" customHeight="1" x14ac:dyDescent="0.2">
      <c r="A178" s="21"/>
    </row>
    <row r="179" spans="1:1" ht="15.75" customHeight="1" x14ac:dyDescent="0.2">
      <c r="A179" s="21"/>
    </row>
    <row r="180" spans="1:1" ht="15.75" customHeight="1" x14ac:dyDescent="0.2">
      <c r="A180" s="21"/>
    </row>
    <row r="181" spans="1:1" ht="15.75" customHeight="1" x14ac:dyDescent="0.2">
      <c r="A181" s="21"/>
    </row>
    <row r="182" spans="1:1" ht="15.75" customHeight="1" x14ac:dyDescent="0.2">
      <c r="A182" s="21"/>
    </row>
    <row r="183" spans="1:1" ht="15.75" customHeight="1" x14ac:dyDescent="0.2">
      <c r="A183" s="21"/>
    </row>
    <row r="184" spans="1:1" ht="15.75" customHeight="1" x14ac:dyDescent="0.2">
      <c r="A184" s="21"/>
    </row>
    <row r="185" spans="1:1" ht="15.75" customHeight="1" x14ac:dyDescent="0.2">
      <c r="A185" s="21"/>
    </row>
    <row r="186" spans="1:1" ht="15.75" customHeight="1" x14ac:dyDescent="0.2">
      <c r="A186" s="21"/>
    </row>
    <row r="187" spans="1:1" ht="15.75" customHeight="1" x14ac:dyDescent="0.2">
      <c r="A187" s="21"/>
    </row>
    <row r="188" spans="1:1" ht="15.75" customHeight="1" x14ac:dyDescent="0.2">
      <c r="A188" s="21"/>
    </row>
    <row r="189" spans="1:1" ht="15.75" customHeight="1" x14ac:dyDescent="0.2">
      <c r="A189" s="21"/>
    </row>
    <row r="190" spans="1:1" ht="15.75" customHeight="1" x14ac:dyDescent="0.2">
      <c r="A190" s="21"/>
    </row>
    <row r="191" spans="1:1" ht="15.75" customHeight="1" x14ac:dyDescent="0.2">
      <c r="A191" s="21"/>
    </row>
    <row r="192" spans="1:1" ht="15.75" customHeight="1" x14ac:dyDescent="0.2">
      <c r="A192" s="21"/>
    </row>
    <row r="193" spans="1:1" ht="15.75" customHeight="1" x14ac:dyDescent="0.2">
      <c r="A193" s="21"/>
    </row>
    <row r="194" spans="1:1" ht="15.75" customHeight="1" x14ac:dyDescent="0.2">
      <c r="A194" s="21"/>
    </row>
    <row r="195" spans="1:1" ht="15.75" customHeight="1" x14ac:dyDescent="0.2">
      <c r="A195" s="21"/>
    </row>
    <row r="196" spans="1:1" ht="15.75" customHeight="1" x14ac:dyDescent="0.2">
      <c r="A196" s="21"/>
    </row>
    <row r="197" spans="1:1" ht="15.75" customHeight="1" x14ac:dyDescent="0.2">
      <c r="A197" s="21"/>
    </row>
    <row r="198" spans="1:1" ht="15.75" customHeight="1" x14ac:dyDescent="0.2">
      <c r="A198" s="21"/>
    </row>
    <row r="199" spans="1:1" ht="15.75" customHeight="1" x14ac:dyDescent="0.2">
      <c r="A199" s="21"/>
    </row>
    <row r="200" spans="1:1" ht="15.75" customHeight="1" x14ac:dyDescent="0.2">
      <c r="A200" s="21"/>
    </row>
    <row r="201" spans="1:1" ht="15.75" customHeight="1" x14ac:dyDescent="0.2">
      <c r="A201" s="21"/>
    </row>
    <row r="202" spans="1:1" ht="15.75" customHeight="1" x14ac:dyDescent="0.2">
      <c r="A202" s="21"/>
    </row>
    <row r="203" spans="1:1" ht="15.75" customHeight="1" x14ac:dyDescent="0.2">
      <c r="A203" s="21"/>
    </row>
    <row r="204" spans="1:1" ht="15.75" customHeight="1" x14ac:dyDescent="0.2">
      <c r="A204" s="21"/>
    </row>
    <row r="205" spans="1:1" ht="15.75" customHeight="1" x14ac:dyDescent="0.2">
      <c r="A205" s="21"/>
    </row>
    <row r="206" spans="1:1" ht="15.75" customHeight="1" x14ac:dyDescent="0.2">
      <c r="A206" s="21"/>
    </row>
    <row r="207" spans="1:1" ht="15.75" customHeight="1" x14ac:dyDescent="0.2">
      <c r="A207" s="21"/>
    </row>
    <row r="208" spans="1:1" ht="15.75" customHeight="1" x14ac:dyDescent="0.2">
      <c r="A208" s="21"/>
    </row>
    <row r="209" spans="1:1" ht="15.75" customHeight="1" x14ac:dyDescent="0.2">
      <c r="A209" s="21"/>
    </row>
    <row r="210" spans="1:1" ht="15.75" customHeight="1" x14ac:dyDescent="0.2">
      <c r="A210" s="21"/>
    </row>
    <row r="211" spans="1:1" ht="15.75" customHeight="1" x14ac:dyDescent="0.2">
      <c r="A211" s="21"/>
    </row>
    <row r="212" spans="1:1" ht="15.75" customHeight="1" x14ac:dyDescent="0.2">
      <c r="A212" s="21"/>
    </row>
    <row r="213" spans="1:1" ht="15.75" customHeight="1" x14ac:dyDescent="0.2">
      <c r="A213" s="21"/>
    </row>
    <row r="214" spans="1:1" ht="15.75" customHeight="1" x14ac:dyDescent="0.2">
      <c r="A214" s="21"/>
    </row>
    <row r="215" spans="1:1" ht="15.75" customHeight="1" x14ac:dyDescent="0.2">
      <c r="A215" s="21"/>
    </row>
    <row r="216" spans="1:1" ht="15.75" customHeight="1" x14ac:dyDescent="0.2">
      <c r="A216" s="21"/>
    </row>
    <row r="217" spans="1:1" ht="15.75" customHeight="1" x14ac:dyDescent="0.2">
      <c r="A217" s="21"/>
    </row>
    <row r="218" spans="1:1" ht="15.75" customHeight="1" x14ac:dyDescent="0.2">
      <c r="A218" s="21"/>
    </row>
    <row r="219" spans="1:1" ht="15.75" customHeight="1" x14ac:dyDescent="0.2">
      <c r="A219" s="21"/>
    </row>
    <row r="220" spans="1:1" ht="15.75" customHeight="1" x14ac:dyDescent="0.2">
      <c r="A220" s="21"/>
    </row>
    <row r="221" spans="1:1" ht="15.75" customHeight="1" x14ac:dyDescent="0.2">
      <c r="A221" s="21"/>
    </row>
    <row r="222" spans="1:1" ht="15.75" customHeight="1" x14ac:dyDescent="0.2">
      <c r="A222" s="21"/>
    </row>
    <row r="223" spans="1:1" ht="15.75" customHeight="1" x14ac:dyDescent="0.2">
      <c r="A223" s="21"/>
    </row>
    <row r="224" spans="1:1" ht="15.75" customHeight="1" x14ac:dyDescent="0.2">
      <c r="A224" s="21"/>
    </row>
    <row r="225" spans="1:1" ht="15.75" customHeight="1" x14ac:dyDescent="0.2">
      <c r="A225" s="21"/>
    </row>
    <row r="226" spans="1:1" ht="15.75" customHeight="1" x14ac:dyDescent="0.2">
      <c r="A226" s="21"/>
    </row>
    <row r="227" spans="1:1" ht="15.75" customHeight="1" x14ac:dyDescent="0.2">
      <c r="A227" s="21"/>
    </row>
    <row r="228" spans="1:1" ht="15.75" customHeight="1" x14ac:dyDescent="0.2">
      <c r="A228" s="21"/>
    </row>
    <row r="229" spans="1:1" ht="15.75" customHeight="1" x14ac:dyDescent="0.2">
      <c r="A229" s="21"/>
    </row>
    <row r="230" spans="1:1" ht="15.75" customHeight="1" x14ac:dyDescent="0.2">
      <c r="A230" s="21"/>
    </row>
    <row r="231" spans="1:1" ht="15.75" customHeight="1" x14ac:dyDescent="0.2">
      <c r="A231" s="21"/>
    </row>
    <row r="232" spans="1:1" ht="15.75" customHeight="1" x14ac:dyDescent="0.2">
      <c r="A232" s="21"/>
    </row>
    <row r="233" spans="1:1" ht="15.75" customHeight="1" x14ac:dyDescent="0.2">
      <c r="A233" s="21"/>
    </row>
    <row r="234" spans="1:1" ht="15.75" customHeight="1" x14ac:dyDescent="0.2">
      <c r="A234" s="21"/>
    </row>
    <row r="235" spans="1:1" ht="15.75" customHeight="1" x14ac:dyDescent="0.2">
      <c r="A235" s="21"/>
    </row>
    <row r="236" spans="1:1" ht="15.75" customHeight="1" x14ac:dyDescent="0.2">
      <c r="A236" s="21"/>
    </row>
    <row r="237" spans="1:1" ht="15.75" customHeight="1" x14ac:dyDescent="0.2">
      <c r="A237" s="21"/>
    </row>
    <row r="238" spans="1:1" ht="15.75" customHeight="1" x14ac:dyDescent="0.2">
      <c r="A238" s="21"/>
    </row>
    <row r="239" spans="1:1" ht="15.75" customHeight="1" x14ac:dyDescent="0.2">
      <c r="A239" s="21"/>
    </row>
    <row r="240" spans="1:1" ht="15.75" customHeight="1" x14ac:dyDescent="0.2">
      <c r="A240" s="21"/>
    </row>
    <row r="241" spans="1:1" ht="15.75" customHeight="1" x14ac:dyDescent="0.2">
      <c r="A241" s="21"/>
    </row>
    <row r="242" spans="1:1" ht="15.75" customHeight="1" x14ac:dyDescent="0.2">
      <c r="A242" s="21"/>
    </row>
    <row r="243" spans="1:1" ht="15.75" customHeight="1" x14ac:dyDescent="0.2">
      <c r="A243" s="21"/>
    </row>
    <row r="244" spans="1:1" ht="15.75" customHeight="1" x14ac:dyDescent="0.2">
      <c r="A244" s="21"/>
    </row>
    <row r="245" spans="1:1" ht="15.75" customHeight="1" x14ac:dyDescent="0.2">
      <c r="A245" s="21"/>
    </row>
    <row r="246" spans="1:1" ht="15.75" customHeight="1" x14ac:dyDescent="0.2">
      <c r="A246" s="21"/>
    </row>
    <row r="247" spans="1:1" ht="15.75" customHeight="1" x14ac:dyDescent="0.2">
      <c r="A247" s="21"/>
    </row>
    <row r="248" spans="1:1" ht="15.75" customHeight="1" x14ac:dyDescent="0.2">
      <c r="A248" s="21"/>
    </row>
    <row r="249" spans="1:1" ht="15.75" customHeight="1" x14ac:dyDescent="0.2">
      <c r="A249" s="21"/>
    </row>
    <row r="250" spans="1:1" ht="15.75" customHeight="1" x14ac:dyDescent="0.2">
      <c r="A250" s="21"/>
    </row>
    <row r="251" spans="1:1" ht="15.75" customHeight="1" x14ac:dyDescent="0.2">
      <c r="A251" s="21"/>
    </row>
    <row r="252" spans="1:1" ht="15.75" customHeight="1" x14ac:dyDescent="0.2">
      <c r="A252" s="21"/>
    </row>
    <row r="253" spans="1:1" ht="15.75" customHeight="1" x14ac:dyDescent="0.2">
      <c r="A253" s="21"/>
    </row>
    <row r="254" spans="1:1" ht="15.75" customHeight="1" x14ac:dyDescent="0.2">
      <c r="A254" s="21"/>
    </row>
    <row r="255" spans="1:1" ht="15.75" customHeight="1" x14ac:dyDescent="0.2">
      <c r="A255" s="21"/>
    </row>
    <row r="256" spans="1:1" ht="15.75" customHeight="1" x14ac:dyDescent="0.2">
      <c r="A256" s="21"/>
    </row>
    <row r="257" spans="1:1" ht="15.75" customHeight="1" x14ac:dyDescent="0.2">
      <c r="A257" s="21"/>
    </row>
    <row r="258" spans="1:1" ht="15.75" customHeight="1" x14ac:dyDescent="0.2">
      <c r="A258" s="21"/>
    </row>
    <row r="259" spans="1:1" ht="15.75" customHeight="1" x14ac:dyDescent="0.2">
      <c r="A259" s="21"/>
    </row>
    <row r="260" spans="1:1" ht="15.75" customHeight="1" x14ac:dyDescent="0.2">
      <c r="A260" s="21"/>
    </row>
    <row r="261" spans="1:1" ht="15.75" customHeight="1" x14ac:dyDescent="0.2">
      <c r="A261" s="21"/>
    </row>
    <row r="262" spans="1:1" ht="15.75" customHeight="1" x14ac:dyDescent="0.2">
      <c r="A262" s="21"/>
    </row>
    <row r="263" spans="1:1" ht="15.75" customHeight="1" x14ac:dyDescent="0.2">
      <c r="A263" s="21"/>
    </row>
    <row r="264" spans="1:1" ht="15.75" customHeight="1" x14ac:dyDescent="0.2">
      <c r="A264" s="21"/>
    </row>
    <row r="265" spans="1:1" ht="15.75" customHeight="1" x14ac:dyDescent="0.2">
      <c r="A265" s="21"/>
    </row>
    <row r="266" spans="1:1" ht="15.75" customHeight="1" x14ac:dyDescent="0.2">
      <c r="A266" s="21"/>
    </row>
    <row r="267" spans="1:1" ht="15.75" customHeight="1" x14ac:dyDescent="0.2">
      <c r="A267" s="21"/>
    </row>
    <row r="268" spans="1:1" ht="15.75" customHeight="1" x14ac:dyDescent="0.2">
      <c r="A268" s="21"/>
    </row>
    <row r="269" spans="1:1" ht="15.75" customHeight="1" x14ac:dyDescent="0.2">
      <c r="A269" s="21"/>
    </row>
    <row r="270" spans="1:1" ht="15.75" customHeight="1" x14ac:dyDescent="0.2">
      <c r="A270" s="21"/>
    </row>
    <row r="271" spans="1:1" ht="15.75" customHeight="1" x14ac:dyDescent="0.2">
      <c r="A271" s="21"/>
    </row>
    <row r="272" spans="1:1" ht="15.75" customHeight="1" x14ac:dyDescent="0.2">
      <c r="A272" s="21"/>
    </row>
    <row r="273" spans="1:1" ht="15.75" customHeight="1" x14ac:dyDescent="0.2">
      <c r="A273" s="21"/>
    </row>
    <row r="274" spans="1:1" ht="15.75" customHeight="1" x14ac:dyDescent="0.2">
      <c r="A274" s="21"/>
    </row>
    <row r="275" spans="1:1" ht="15.75" customHeight="1" x14ac:dyDescent="0.2">
      <c r="A275" s="21"/>
    </row>
    <row r="276" spans="1:1" ht="15.75" customHeight="1" x14ac:dyDescent="0.2">
      <c r="A276" s="21"/>
    </row>
    <row r="277" spans="1:1" ht="15.75" customHeight="1" x14ac:dyDescent="0.2">
      <c r="A277" s="21"/>
    </row>
    <row r="278" spans="1:1" ht="15.75" customHeight="1" x14ac:dyDescent="0.2">
      <c r="A278" s="21"/>
    </row>
    <row r="279" spans="1:1" ht="15.75" customHeight="1" x14ac:dyDescent="0.2">
      <c r="A279" s="21"/>
    </row>
    <row r="280" spans="1:1" ht="15.75" customHeight="1" x14ac:dyDescent="0.2">
      <c r="A280" s="21"/>
    </row>
    <row r="281" spans="1:1" ht="15.75" customHeight="1" x14ac:dyDescent="0.2">
      <c r="A281" s="21"/>
    </row>
    <row r="282" spans="1:1" ht="15.75" customHeight="1" x14ac:dyDescent="0.2">
      <c r="A282" s="21"/>
    </row>
    <row r="283" spans="1:1" ht="15.75" customHeight="1" x14ac:dyDescent="0.2">
      <c r="A283" s="21"/>
    </row>
    <row r="284" spans="1:1" ht="15.75" customHeight="1" x14ac:dyDescent="0.2">
      <c r="A284" s="21"/>
    </row>
    <row r="285" spans="1:1" ht="15.75" customHeight="1" x14ac:dyDescent="0.2">
      <c r="A285" s="21"/>
    </row>
    <row r="286" spans="1:1" ht="15.75" customHeight="1" x14ac:dyDescent="0.2">
      <c r="A286" s="21"/>
    </row>
    <row r="287" spans="1:1" ht="15.75" customHeight="1" x14ac:dyDescent="0.2">
      <c r="A287" s="21"/>
    </row>
    <row r="288" spans="1:1" ht="15.75" customHeight="1" x14ac:dyDescent="0.2">
      <c r="A288" s="21"/>
    </row>
    <row r="289" spans="1:1" ht="15.75" customHeight="1" x14ac:dyDescent="0.2">
      <c r="A289" s="21"/>
    </row>
    <row r="290" spans="1:1" ht="15.75" customHeight="1" x14ac:dyDescent="0.2">
      <c r="A290" s="21"/>
    </row>
    <row r="291" spans="1:1" ht="15.75" customHeight="1" x14ac:dyDescent="0.2">
      <c r="A291" s="21"/>
    </row>
    <row r="292" spans="1:1" ht="15.75" customHeight="1" x14ac:dyDescent="0.2">
      <c r="A292" s="21"/>
    </row>
    <row r="293" spans="1:1" ht="15.75" customHeight="1" x14ac:dyDescent="0.2">
      <c r="A293" s="21"/>
    </row>
    <row r="294" spans="1:1" ht="15.75" customHeight="1" x14ac:dyDescent="0.2">
      <c r="A294" s="21"/>
    </row>
    <row r="295" spans="1:1" ht="15.75" customHeight="1" x14ac:dyDescent="0.2">
      <c r="A295" s="21"/>
    </row>
    <row r="296" spans="1:1" ht="15.75" customHeight="1" x14ac:dyDescent="0.2">
      <c r="A296" s="21"/>
    </row>
    <row r="297" spans="1:1" ht="15.75" customHeight="1" x14ac:dyDescent="0.2">
      <c r="A297" s="21"/>
    </row>
    <row r="298" spans="1:1" ht="15.75" customHeight="1" x14ac:dyDescent="0.2">
      <c r="A298" s="21"/>
    </row>
    <row r="299" spans="1:1" ht="15.75" customHeight="1" x14ac:dyDescent="0.2">
      <c r="A299" s="21"/>
    </row>
    <row r="300" spans="1:1" ht="15.75" customHeight="1" x14ac:dyDescent="0.2">
      <c r="A300" s="21"/>
    </row>
    <row r="301" spans="1:1" ht="15.75" customHeight="1" x14ac:dyDescent="0.2">
      <c r="A301" s="21"/>
    </row>
    <row r="302" spans="1:1" ht="15.75" customHeight="1" x14ac:dyDescent="0.2">
      <c r="A302" s="21"/>
    </row>
    <row r="303" spans="1:1" ht="15.75" customHeight="1" x14ac:dyDescent="0.2">
      <c r="A303" s="21"/>
    </row>
    <row r="304" spans="1:1" ht="15.75" customHeight="1" x14ac:dyDescent="0.2">
      <c r="A304" s="21"/>
    </row>
    <row r="305" spans="1:1" ht="15.75" customHeight="1" x14ac:dyDescent="0.2">
      <c r="A305" s="21"/>
    </row>
    <row r="306" spans="1:1" ht="15.75" customHeight="1" x14ac:dyDescent="0.2">
      <c r="A306" s="21"/>
    </row>
    <row r="307" spans="1:1" ht="15.75" customHeight="1" x14ac:dyDescent="0.2">
      <c r="A307" s="21"/>
    </row>
    <row r="308" spans="1:1" ht="15.75" customHeight="1" x14ac:dyDescent="0.2">
      <c r="A308" s="21"/>
    </row>
    <row r="309" spans="1:1" ht="15.75" customHeight="1" x14ac:dyDescent="0.2">
      <c r="A309" s="21"/>
    </row>
    <row r="310" spans="1:1" ht="15.75" customHeight="1" x14ac:dyDescent="0.2">
      <c r="A310" s="21"/>
    </row>
    <row r="311" spans="1:1" ht="15.75" customHeight="1" x14ac:dyDescent="0.2">
      <c r="A311" s="21"/>
    </row>
    <row r="312" spans="1:1" ht="15.75" customHeight="1" x14ac:dyDescent="0.2">
      <c r="A312" s="21"/>
    </row>
    <row r="313" spans="1:1" ht="15.75" customHeight="1" x14ac:dyDescent="0.2">
      <c r="A313" s="21"/>
    </row>
    <row r="314" spans="1:1" ht="15.75" customHeight="1" x14ac:dyDescent="0.2">
      <c r="A314" s="21"/>
    </row>
    <row r="315" spans="1:1" ht="15.75" customHeight="1" x14ac:dyDescent="0.2">
      <c r="A315" s="21"/>
    </row>
    <row r="316" spans="1:1" ht="15.75" customHeight="1" x14ac:dyDescent="0.2">
      <c r="A316" s="21"/>
    </row>
    <row r="317" spans="1:1" ht="15.75" customHeight="1" x14ac:dyDescent="0.2">
      <c r="A317" s="21"/>
    </row>
    <row r="318" spans="1:1" ht="15.75" customHeight="1" x14ac:dyDescent="0.2">
      <c r="A318" s="21"/>
    </row>
    <row r="319" spans="1:1" ht="15.75" customHeight="1" x14ac:dyDescent="0.2">
      <c r="A319" s="21"/>
    </row>
    <row r="320" spans="1:1" ht="15.75" customHeight="1" x14ac:dyDescent="0.2">
      <c r="A320" s="21"/>
    </row>
    <row r="321" spans="1:1" ht="15.75" customHeight="1" x14ac:dyDescent="0.2">
      <c r="A321" s="21"/>
    </row>
    <row r="322" spans="1:1" ht="15.75" customHeight="1" x14ac:dyDescent="0.2">
      <c r="A322" s="21"/>
    </row>
    <row r="323" spans="1:1" ht="15.75" customHeight="1" x14ac:dyDescent="0.2">
      <c r="A323" s="21"/>
    </row>
    <row r="324" spans="1:1" ht="15.75" customHeight="1" x14ac:dyDescent="0.2">
      <c r="A324" s="21"/>
    </row>
    <row r="325" spans="1:1" ht="15.75" customHeight="1" x14ac:dyDescent="0.2">
      <c r="A325" s="21"/>
    </row>
    <row r="326" spans="1:1" ht="15.75" customHeight="1" x14ac:dyDescent="0.2">
      <c r="A326" s="21"/>
    </row>
    <row r="327" spans="1:1" ht="15.75" customHeight="1" x14ac:dyDescent="0.2">
      <c r="A327" s="21"/>
    </row>
    <row r="328" spans="1:1" ht="15.75" customHeight="1" x14ac:dyDescent="0.2">
      <c r="A328" s="21"/>
    </row>
    <row r="329" spans="1:1" ht="15.75" customHeight="1" x14ac:dyDescent="0.2">
      <c r="A329" s="21"/>
    </row>
    <row r="330" spans="1:1" ht="15.75" customHeight="1" x14ac:dyDescent="0.2">
      <c r="A330" s="21"/>
    </row>
    <row r="331" spans="1:1" ht="15.75" customHeight="1" x14ac:dyDescent="0.2">
      <c r="A331" s="21"/>
    </row>
    <row r="332" spans="1:1" ht="15.75" customHeight="1" x14ac:dyDescent="0.2">
      <c r="A332" s="21"/>
    </row>
    <row r="333" spans="1:1" ht="15.75" customHeight="1" x14ac:dyDescent="0.2">
      <c r="A333" s="21"/>
    </row>
    <row r="334" spans="1:1" ht="15.75" customHeight="1" x14ac:dyDescent="0.2">
      <c r="A334" s="21"/>
    </row>
    <row r="335" spans="1:1" ht="15.75" customHeight="1" x14ac:dyDescent="0.2">
      <c r="A335" s="21"/>
    </row>
    <row r="336" spans="1:1" ht="15.75" customHeight="1" x14ac:dyDescent="0.2">
      <c r="A336" s="21"/>
    </row>
    <row r="337" spans="1:1" ht="15.75" customHeight="1" x14ac:dyDescent="0.2">
      <c r="A337" s="21"/>
    </row>
    <row r="338" spans="1:1" ht="15.75" customHeight="1" x14ac:dyDescent="0.2">
      <c r="A338" s="21"/>
    </row>
    <row r="339" spans="1:1" ht="15.75" customHeight="1" x14ac:dyDescent="0.2">
      <c r="A339" s="21"/>
    </row>
    <row r="340" spans="1:1" ht="15.75" customHeight="1" x14ac:dyDescent="0.2">
      <c r="A340" s="21"/>
    </row>
    <row r="341" spans="1:1" ht="15.75" customHeight="1" x14ac:dyDescent="0.2">
      <c r="A341" s="21"/>
    </row>
    <row r="342" spans="1:1" ht="15.75" customHeight="1" x14ac:dyDescent="0.2">
      <c r="A342" s="21"/>
    </row>
    <row r="343" spans="1:1" ht="15.75" customHeight="1" x14ac:dyDescent="0.2">
      <c r="A343" s="21"/>
    </row>
    <row r="344" spans="1:1" ht="15.75" customHeight="1" x14ac:dyDescent="0.2">
      <c r="A344" s="21"/>
    </row>
    <row r="345" spans="1:1" ht="15.75" customHeight="1" x14ac:dyDescent="0.2">
      <c r="A345" s="21"/>
    </row>
    <row r="346" spans="1:1" ht="15.75" customHeight="1" x14ac:dyDescent="0.2">
      <c r="A346" s="21"/>
    </row>
    <row r="347" spans="1:1" ht="15.75" customHeight="1" x14ac:dyDescent="0.2">
      <c r="A347" s="21"/>
    </row>
    <row r="348" spans="1:1" ht="15.75" customHeight="1" x14ac:dyDescent="0.2">
      <c r="A348" s="21"/>
    </row>
    <row r="349" spans="1:1" ht="15.75" customHeight="1" x14ac:dyDescent="0.2">
      <c r="A349" s="21"/>
    </row>
    <row r="350" spans="1:1" ht="15.75" customHeight="1" x14ac:dyDescent="0.2">
      <c r="A350" s="21"/>
    </row>
    <row r="351" spans="1:1" ht="15.75" customHeight="1" x14ac:dyDescent="0.2">
      <c r="A351" s="21"/>
    </row>
    <row r="352" spans="1:1" ht="15.75" customHeight="1" x14ac:dyDescent="0.2">
      <c r="A352" s="21"/>
    </row>
    <row r="353" spans="1:1" ht="15.75" customHeight="1" x14ac:dyDescent="0.2">
      <c r="A353" s="21"/>
    </row>
    <row r="354" spans="1:1" ht="15.75" customHeight="1" x14ac:dyDescent="0.2">
      <c r="A354" s="21"/>
    </row>
    <row r="355" spans="1:1" ht="15.75" customHeight="1" x14ac:dyDescent="0.2">
      <c r="A355" s="21"/>
    </row>
    <row r="356" spans="1:1" ht="15.75" customHeight="1" x14ac:dyDescent="0.2">
      <c r="A356" s="21"/>
    </row>
    <row r="357" spans="1:1" ht="15.75" customHeight="1" x14ac:dyDescent="0.2">
      <c r="A357" s="21"/>
    </row>
    <row r="358" spans="1:1" ht="15.75" customHeight="1" x14ac:dyDescent="0.2">
      <c r="A358" s="21"/>
    </row>
    <row r="359" spans="1:1" ht="15.75" customHeight="1" x14ac:dyDescent="0.2">
      <c r="A359" s="21"/>
    </row>
    <row r="360" spans="1:1" ht="15.75" customHeight="1" x14ac:dyDescent="0.2">
      <c r="A360" s="21"/>
    </row>
    <row r="361" spans="1:1" ht="15.75" customHeight="1" x14ac:dyDescent="0.2">
      <c r="A361" s="21"/>
    </row>
    <row r="362" spans="1:1" ht="15.75" customHeight="1" x14ac:dyDescent="0.2">
      <c r="A362" s="21"/>
    </row>
    <row r="363" spans="1:1" ht="15.75" customHeight="1" x14ac:dyDescent="0.2">
      <c r="A363" s="21"/>
    </row>
    <row r="364" spans="1:1" ht="15.75" customHeight="1" x14ac:dyDescent="0.2">
      <c r="A364" s="21"/>
    </row>
    <row r="365" spans="1:1" ht="15.75" customHeight="1" x14ac:dyDescent="0.2">
      <c r="A365" s="21"/>
    </row>
    <row r="366" spans="1:1" ht="15.75" customHeight="1" x14ac:dyDescent="0.2">
      <c r="A366" s="21"/>
    </row>
    <row r="367" spans="1:1" ht="15.75" customHeight="1" x14ac:dyDescent="0.2">
      <c r="A367" s="21"/>
    </row>
    <row r="368" spans="1:1" ht="15.75" customHeight="1" x14ac:dyDescent="0.2">
      <c r="A368" s="21"/>
    </row>
    <row r="369" spans="1:1" ht="15.75" customHeight="1" x14ac:dyDescent="0.2">
      <c r="A369" s="21"/>
    </row>
    <row r="370" spans="1:1" ht="15.75" customHeight="1" x14ac:dyDescent="0.2">
      <c r="A370" s="21"/>
    </row>
    <row r="371" spans="1:1" ht="15.75" customHeight="1" x14ac:dyDescent="0.2">
      <c r="A371" s="21"/>
    </row>
    <row r="372" spans="1:1" ht="15.75" customHeight="1" x14ac:dyDescent="0.2">
      <c r="A372" s="21"/>
    </row>
    <row r="373" spans="1:1" ht="15.75" customHeight="1" x14ac:dyDescent="0.2">
      <c r="A373" s="21"/>
    </row>
    <row r="374" spans="1:1" ht="15.75" customHeight="1" x14ac:dyDescent="0.2">
      <c r="A374" s="21"/>
    </row>
    <row r="375" spans="1:1" ht="15.75" customHeight="1" x14ac:dyDescent="0.2">
      <c r="A375" s="21"/>
    </row>
    <row r="376" spans="1:1" ht="15.75" customHeight="1" x14ac:dyDescent="0.2">
      <c r="A376" s="21"/>
    </row>
    <row r="377" spans="1:1" ht="15.75" customHeight="1" x14ac:dyDescent="0.2">
      <c r="A377" s="21"/>
    </row>
    <row r="378" spans="1:1" ht="15.75" customHeight="1" x14ac:dyDescent="0.2">
      <c r="A378" s="21"/>
    </row>
    <row r="379" spans="1:1" ht="15.75" customHeight="1" x14ac:dyDescent="0.2">
      <c r="A379" s="21"/>
    </row>
    <row r="380" spans="1:1" ht="15.75" customHeight="1" x14ac:dyDescent="0.2">
      <c r="A380" s="21"/>
    </row>
    <row r="381" spans="1:1" ht="15.75" customHeight="1" x14ac:dyDescent="0.2">
      <c r="A381" s="21"/>
    </row>
    <row r="382" spans="1:1" ht="15.75" customHeight="1" x14ac:dyDescent="0.2">
      <c r="A382" s="21"/>
    </row>
    <row r="383" spans="1:1" ht="15.75" customHeight="1" x14ac:dyDescent="0.2">
      <c r="A383" s="21"/>
    </row>
    <row r="384" spans="1:1" ht="15.75" customHeight="1" x14ac:dyDescent="0.2">
      <c r="A384" s="21"/>
    </row>
    <row r="385" spans="1:1" ht="15.75" customHeight="1" x14ac:dyDescent="0.2">
      <c r="A385" s="21"/>
    </row>
    <row r="386" spans="1:1" ht="15.75" customHeight="1" x14ac:dyDescent="0.2">
      <c r="A386" s="21"/>
    </row>
    <row r="387" spans="1:1" ht="15.75" customHeight="1" x14ac:dyDescent="0.2">
      <c r="A387" s="21"/>
    </row>
    <row r="388" spans="1:1" ht="15.75" customHeight="1" x14ac:dyDescent="0.2">
      <c r="A388" s="21"/>
    </row>
    <row r="389" spans="1:1" ht="15.75" customHeight="1" x14ac:dyDescent="0.2">
      <c r="A389" s="21"/>
    </row>
    <row r="390" spans="1:1" ht="15.75" customHeight="1" x14ac:dyDescent="0.2">
      <c r="A390" s="21"/>
    </row>
    <row r="391" spans="1:1" ht="15.75" customHeight="1" x14ac:dyDescent="0.2">
      <c r="A391" s="21"/>
    </row>
    <row r="392" spans="1:1" ht="15.75" customHeight="1" x14ac:dyDescent="0.2">
      <c r="A392" s="21"/>
    </row>
    <row r="393" spans="1:1" ht="15.75" customHeight="1" x14ac:dyDescent="0.2">
      <c r="A393" s="21"/>
    </row>
    <row r="394" spans="1:1" ht="15.75" customHeight="1" x14ac:dyDescent="0.2">
      <c r="A394" s="21"/>
    </row>
    <row r="395" spans="1:1" ht="15.75" customHeight="1" x14ac:dyDescent="0.2">
      <c r="A395" s="21"/>
    </row>
    <row r="396" spans="1:1" ht="15.75" customHeight="1" x14ac:dyDescent="0.2">
      <c r="A396" s="21"/>
    </row>
    <row r="397" spans="1:1" ht="15.75" customHeight="1" x14ac:dyDescent="0.2">
      <c r="A397" s="21"/>
    </row>
    <row r="398" spans="1:1" ht="15.75" customHeight="1" x14ac:dyDescent="0.2">
      <c r="A398" s="21"/>
    </row>
    <row r="399" spans="1:1" ht="15.75" customHeight="1" x14ac:dyDescent="0.2">
      <c r="A399" s="21"/>
    </row>
    <row r="400" spans="1:1" ht="15.75" customHeight="1" x14ac:dyDescent="0.2">
      <c r="A400" s="21"/>
    </row>
    <row r="401" spans="1:1" ht="15.75" customHeight="1" x14ac:dyDescent="0.2">
      <c r="A401" s="21"/>
    </row>
    <row r="402" spans="1:1" ht="15.75" customHeight="1" x14ac:dyDescent="0.2">
      <c r="A402" s="21"/>
    </row>
    <row r="403" spans="1:1" ht="15.75" customHeight="1" x14ac:dyDescent="0.2">
      <c r="A403" s="21"/>
    </row>
    <row r="404" spans="1:1" ht="15.75" customHeight="1" x14ac:dyDescent="0.2">
      <c r="A404" s="21"/>
    </row>
    <row r="405" spans="1:1" ht="15.75" customHeight="1" x14ac:dyDescent="0.2">
      <c r="A405" s="21"/>
    </row>
    <row r="406" spans="1:1" ht="15.75" customHeight="1" x14ac:dyDescent="0.2">
      <c r="A406" s="21"/>
    </row>
    <row r="407" spans="1:1" ht="15.75" customHeight="1" x14ac:dyDescent="0.2">
      <c r="A407" s="21"/>
    </row>
    <row r="408" spans="1:1" ht="15.75" customHeight="1" x14ac:dyDescent="0.2">
      <c r="A408" s="21"/>
    </row>
    <row r="409" spans="1:1" ht="15.75" customHeight="1" x14ac:dyDescent="0.2">
      <c r="A409" s="21"/>
    </row>
    <row r="410" spans="1:1" ht="15.75" customHeight="1" x14ac:dyDescent="0.2">
      <c r="A410" s="21"/>
    </row>
    <row r="411" spans="1:1" ht="15.75" customHeight="1" x14ac:dyDescent="0.2">
      <c r="A411" s="21"/>
    </row>
    <row r="412" spans="1:1" ht="15.75" customHeight="1" x14ac:dyDescent="0.2">
      <c r="A412" s="21"/>
    </row>
    <row r="413" spans="1:1" ht="15.75" customHeight="1" x14ac:dyDescent="0.2">
      <c r="A413" s="21"/>
    </row>
    <row r="414" spans="1:1" ht="15.75" customHeight="1" x14ac:dyDescent="0.2">
      <c r="A414" s="21"/>
    </row>
    <row r="415" spans="1:1" ht="15.75" customHeight="1" x14ac:dyDescent="0.2">
      <c r="A415" s="21"/>
    </row>
    <row r="416" spans="1:1" ht="15.75" customHeight="1" x14ac:dyDescent="0.2">
      <c r="A416" s="21"/>
    </row>
    <row r="417" spans="1:1" ht="15.75" customHeight="1" x14ac:dyDescent="0.2">
      <c r="A417" s="21"/>
    </row>
    <row r="418" spans="1:1" ht="15.75" customHeight="1" x14ac:dyDescent="0.2">
      <c r="A418" s="21"/>
    </row>
    <row r="419" spans="1:1" ht="15.75" customHeight="1" x14ac:dyDescent="0.2">
      <c r="A419" s="21"/>
    </row>
    <row r="420" spans="1:1" ht="15.75" customHeight="1" x14ac:dyDescent="0.2">
      <c r="A420" s="21"/>
    </row>
    <row r="421" spans="1:1" ht="15.75" customHeight="1" x14ac:dyDescent="0.2">
      <c r="A421" s="21"/>
    </row>
    <row r="422" spans="1:1" ht="15.75" customHeight="1" x14ac:dyDescent="0.2">
      <c r="A422" s="21"/>
    </row>
    <row r="423" spans="1:1" ht="15.75" customHeight="1" x14ac:dyDescent="0.2">
      <c r="A423" s="21"/>
    </row>
    <row r="424" spans="1:1" ht="15.75" customHeight="1" x14ac:dyDescent="0.2">
      <c r="A424" s="21"/>
    </row>
    <row r="425" spans="1:1" ht="15.75" customHeight="1" x14ac:dyDescent="0.2">
      <c r="A425" s="21"/>
    </row>
    <row r="426" spans="1:1" ht="15.75" customHeight="1" x14ac:dyDescent="0.2">
      <c r="A426" s="21"/>
    </row>
    <row r="427" spans="1:1" ht="15.75" customHeight="1" x14ac:dyDescent="0.2">
      <c r="A427" s="21"/>
    </row>
    <row r="428" spans="1:1" ht="15.75" customHeight="1" x14ac:dyDescent="0.2">
      <c r="A428" s="21"/>
    </row>
    <row r="429" spans="1:1" ht="15.75" customHeight="1" x14ac:dyDescent="0.2">
      <c r="A429" s="21"/>
    </row>
    <row r="430" spans="1:1" ht="15.75" customHeight="1" x14ac:dyDescent="0.2">
      <c r="A430" s="21"/>
    </row>
    <row r="431" spans="1:1" ht="15.75" customHeight="1" x14ac:dyDescent="0.2">
      <c r="A431" s="21"/>
    </row>
    <row r="432" spans="1:1" ht="15.75" customHeight="1" x14ac:dyDescent="0.2">
      <c r="A432" s="21"/>
    </row>
    <row r="433" spans="1:1" ht="15.75" customHeight="1" x14ac:dyDescent="0.2">
      <c r="A433" s="21"/>
    </row>
    <row r="434" spans="1:1" ht="15.75" customHeight="1" x14ac:dyDescent="0.2">
      <c r="A434" s="21"/>
    </row>
    <row r="435" spans="1:1" ht="15.75" customHeight="1" x14ac:dyDescent="0.2">
      <c r="A435" s="21"/>
    </row>
    <row r="436" spans="1:1" ht="15.75" customHeight="1" x14ac:dyDescent="0.2">
      <c r="A436" s="21"/>
    </row>
    <row r="437" spans="1:1" ht="15.75" customHeight="1" x14ac:dyDescent="0.2">
      <c r="A437" s="21"/>
    </row>
    <row r="438" spans="1:1" ht="15.75" customHeight="1" x14ac:dyDescent="0.2">
      <c r="A438" s="21"/>
    </row>
    <row r="439" spans="1:1" ht="15.75" customHeight="1" x14ac:dyDescent="0.2">
      <c r="A439" s="21"/>
    </row>
    <row r="440" spans="1:1" ht="15.75" customHeight="1" x14ac:dyDescent="0.2">
      <c r="A440" s="21"/>
    </row>
    <row r="441" spans="1:1" ht="15.75" customHeight="1" x14ac:dyDescent="0.2">
      <c r="A441" s="21"/>
    </row>
    <row r="442" spans="1:1" ht="15.75" customHeight="1" x14ac:dyDescent="0.2">
      <c r="A442" s="21"/>
    </row>
    <row r="443" spans="1:1" ht="15.75" customHeight="1" x14ac:dyDescent="0.2">
      <c r="A443" s="21"/>
    </row>
    <row r="444" spans="1:1" ht="15.75" customHeight="1" x14ac:dyDescent="0.2">
      <c r="A444" s="21"/>
    </row>
    <row r="445" spans="1:1" ht="15.75" customHeight="1" x14ac:dyDescent="0.2">
      <c r="A445" s="21"/>
    </row>
    <row r="446" spans="1:1" ht="15.75" customHeight="1" x14ac:dyDescent="0.2">
      <c r="A446" s="21"/>
    </row>
    <row r="447" spans="1:1" ht="15.75" customHeight="1" x14ac:dyDescent="0.2">
      <c r="A447" s="21"/>
    </row>
    <row r="448" spans="1:1" ht="15.75" customHeight="1" x14ac:dyDescent="0.2">
      <c r="A448" s="21"/>
    </row>
    <row r="449" spans="1:1" ht="15.75" customHeight="1" x14ac:dyDescent="0.2">
      <c r="A449" s="21"/>
    </row>
    <row r="450" spans="1:1" ht="15.75" customHeight="1" x14ac:dyDescent="0.2">
      <c r="A450" s="21"/>
    </row>
    <row r="451" spans="1:1" ht="15.75" customHeight="1" x14ac:dyDescent="0.2">
      <c r="A451" s="21"/>
    </row>
    <row r="452" spans="1:1" ht="15.75" customHeight="1" x14ac:dyDescent="0.2">
      <c r="A452" s="21"/>
    </row>
    <row r="453" spans="1:1" ht="15.75" customHeight="1" x14ac:dyDescent="0.2">
      <c r="A453" s="21"/>
    </row>
    <row r="454" spans="1:1" ht="15.75" customHeight="1" x14ac:dyDescent="0.2">
      <c r="A454" s="21"/>
    </row>
    <row r="455" spans="1:1" ht="15.75" customHeight="1" x14ac:dyDescent="0.2">
      <c r="A455" s="21"/>
    </row>
    <row r="456" spans="1:1" ht="15.75" customHeight="1" x14ac:dyDescent="0.2">
      <c r="A456" s="21"/>
    </row>
    <row r="457" spans="1:1" ht="15.75" customHeight="1" x14ac:dyDescent="0.2">
      <c r="A457" s="21"/>
    </row>
    <row r="458" spans="1:1" ht="15.75" customHeight="1" x14ac:dyDescent="0.2">
      <c r="A458" s="21"/>
    </row>
    <row r="459" spans="1:1" ht="15.75" customHeight="1" x14ac:dyDescent="0.2">
      <c r="A459" s="21"/>
    </row>
    <row r="460" spans="1:1" ht="15.75" customHeight="1" x14ac:dyDescent="0.2">
      <c r="A460" s="21"/>
    </row>
    <row r="461" spans="1:1" ht="15.75" customHeight="1" x14ac:dyDescent="0.2">
      <c r="A461" s="21"/>
    </row>
    <row r="462" spans="1:1" ht="15.75" customHeight="1" x14ac:dyDescent="0.2">
      <c r="A462" s="21"/>
    </row>
    <row r="463" spans="1:1" ht="15.75" customHeight="1" x14ac:dyDescent="0.2">
      <c r="A463" s="21"/>
    </row>
    <row r="464" spans="1:1" ht="15.75" customHeight="1" x14ac:dyDescent="0.2">
      <c r="A464" s="21"/>
    </row>
    <row r="465" spans="1:1" ht="15.75" customHeight="1" x14ac:dyDescent="0.2">
      <c r="A465" s="21"/>
    </row>
    <row r="466" spans="1:1" ht="15.75" customHeight="1" x14ac:dyDescent="0.2">
      <c r="A466" s="21"/>
    </row>
    <row r="467" spans="1:1" ht="15.75" customHeight="1" x14ac:dyDescent="0.2">
      <c r="A467" s="21"/>
    </row>
    <row r="468" spans="1:1" ht="15.75" customHeight="1" x14ac:dyDescent="0.2">
      <c r="A468" s="21"/>
    </row>
    <row r="469" spans="1:1" ht="15.75" customHeight="1" x14ac:dyDescent="0.2">
      <c r="A469" s="21"/>
    </row>
    <row r="470" spans="1:1" ht="15.75" customHeight="1" x14ac:dyDescent="0.2">
      <c r="A470" s="21"/>
    </row>
    <row r="471" spans="1:1" ht="15.75" customHeight="1" x14ac:dyDescent="0.2">
      <c r="A471" s="21"/>
    </row>
    <row r="472" spans="1:1" ht="15.75" customHeight="1" x14ac:dyDescent="0.2">
      <c r="A472" s="21"/>
    </row>
    <row r="473" spans="1:1" ht="15.75" customHeight="1" x14ac:dyDescent="0.2">
      <c r="A473" s="21"/>
    </row>
    <row r="474" spans="1:1" ht="15.75" customHeight="1" x14ac:dyDescent="0.2">
      <c r="A474" s="21"/>
    </row>
    <row r="475" spans="1:1" ht="15.75" customHeight="1" x14ac:dyDescent="0.2">
      <c r="A475" s="21"/>
    </row>
    <row r="476" spans="1:1" ht="15.75" customHeight="1" x14ac:dyDescent="0.2">
      <c r="A476" s="21"/>
    </row>
    <row r="477" spans="1:1" ht="15.75" customHeight="1" x14ac:dyDescent="0.2">
      <c r="A477" s="21"/>
    </row>
    <row r="478" spans="1:1" ht="15.75" customHeight="1" x14ac:dyDescent="0.2">
      <c r="A478" s="21"/>
    </row>
    <row r="479" spans="1:1" ht="15.75" customHeight="1" x14ac:dyDescent="0.2">
      <c r="A479" s="21"/>
    </row>
    <row r="480" spans="1:1" ht="15.75" customHeight="1" x14ac:dyDescent="0.2">
      <c r="A480" s="21"/>
    </row>
    <row r="481" spans="1:1" ht="15.75" customHeight="1" x14ac:dyDescent="0.2">
      <c r="A481" s="21"/>
    </row>
    <row r="482" spans="1:1" ht="15.75" customHeight="1" x14ac:dyDescent="0.2">
      <c r="A482" s="21"/>
    </row>
    <row r="483" spans="1:1" ht="15.75" customHeight="1" x14ac:dyDescent="0.2">
      <c r="A483" s="21"/>
    </row>
    <row r="484" spans="1:1" ht="15.75" customHeight="1" x14ac:dyDescent="0.2">
      <c r="A484" s="21"/>
    </row>
    <row r="485" spans="1:1" ht="15.75" customHeight="1" x14ac:dyDescent="0.2">
      <c r="A485" s="21"/>
    </row>
    <row r="486" spans="1:1" ht="15.75" customHeight="1" x14ac:dyDescent="0.2">
      <c r="A486" s="21"/>
    </row>
    <row r="487" spans="1:1" ht="15.75" customHeight="1" x14ac:dyDescent="0.2">
      <c r="A487" s="21"/>
    </row>
    <row r="488" spans="1:1" ht="15.75" customHeight="1" x14ac:dyDescent="0.2">
      <c r="A488" s="21"/>
    </row>
    <row r="489" spans="1:1" ht="15.75" customHeight="1" x14ac:dyDescent="0.2">
      <c r="A489" s="21"/>
    </row>
    <row r="490" spans="1:1" ht="15.75" customHeight="1" x14ac:dyDescent="0.2">
      <c r="A490" s="21"/>
    </row>
    <row r="491" spans="1:1" ht="15.75" customHeight="1" x14ac:dyDescent="0.2">
      <c r="A491" s="21"/>
    </row>
    <row r="492" spans="1:1" ht="15.75" customHeight="1" x14ac:dyDescent="0.2">
      <c r="A492" s="21"/>
    </row>
    <row r="493" spans="1:1" ht="15.75" customHeight="1" x14ac:dyDescent="0.2">
      <c r="A493" s="21"/>
    </row>
    <row r="494" spans="1:1" ht="15.75" customHeight="1" x14ac:dyDescent="0.2">
      <c r="A494" s="21"/>
    </row>
    <row r="495" spans="1:1" ht="15.75" customHeight="1" x14ac:dyDescent="0.2">
      <c r="A495" s="21"/>
    </row>
    <row r="496" spans="1:1" ht="15.75" customHeight="1" x14ac:dyDescent="0.2">
      <c r="A496" s="21"/>
    </row>
    <row r="497" spans="1:1" ht="15.75" customHeight="1" x14ac:dyDescent="0.2">
      <c r="A497" s="21"/>
    </row>
    <row r="498" spans="1:1" ht="15.75" customHeight="1" x14ac:dyDescent="0.2">
      <c r="A498" s="21"/>
    </row>
    <row r="499" spans="1:1" ht="15.75" customHeight="1" x14ac:dyDescent="0.2">
      <c r="A499" s="21"/>
    </row>
    <row r="500" spans="1:1" ht="15.75" customHeight="1" x14ac:dyDescent="0.2">
      <c r="A500" s="21"/>
    </row>
    <row r="501" spans="1:1" ht="15.75" customHeight="1" x14ac:dyDescent="0.2">
      <c r="A501" s="21"/>
    </row>
    <row r="502" spans="1:1" ht="15.75" customHeight="1" x14ac:dyDescent="0.2">
      <c r="A502" s="21"/>
    </row>
    <row r="503" spans="1:1" ht="15.75" customHeight="1" x14ac:dyDescent="0.2">
      <c r="A503" s="21"/>
    </row>
    <row r="504" spans="1:1" ht="15.75" customHeight="1" x14ac:dyDescent="0.2">
      <c r="A504" s="21"/>
    </row>
    <row r="505" spans="1:1" ht="15.75" customHeight="1" x14ac:dyDescent="0.2">
      <c r="A505" s="21"/>
    </row>
    <row r="506" spans="1:1" ht="15.75" customHeight="1" x14ac:dyDescent="0.2">
      <c r="A506" s="21"/>
    </row>
    <row r="507" spans="1:1" ht="15.75" customHeight="1" x14ac:dyDescent="0.2">
      <c r="A507" s="21"/>
    </row>
    <row r="508" spans="1:1" ht="15.75" customHeight="1" x14ac:dyDescent="0.2">
      <c r="A508" s="21"/>
    </row>
    <row r="509" spans="1:1" ht="15.75" customHeight="1" x14ac:dyDescent="0.2">
      <c r="A509" s="21"/>
    </row>
    <row r="510" spans="1:1" ht="15.75" customHeight="1" x14ac:dyDescent="0.2">
      <c r="A510" s="21"/>
    </row>
    <row r="511" spans="1:1" ht="15.75" customHeight="1" x14ac:dyDescent="0.2">
      <c r="A511" s="21"/>
    </row>
    <row r="512" spans="1:1" ht="15.75" customHeight="1" x14ac:dyDescent="0.2">
      <c r="A512" s="21"/>
    </row>
    <row r="513" spans="1:1" ht="15.75" customHeight="1" x14ac:dyDescent="0.2">
      <c r="A513" s="21"/>
    </row>
    <row r="514" spans="1:1" ht="15.75" customHeight="1" x14ac:dyDescent="0.2">
      <c r="A514" s="21"/>
    </row>
    <row r="515" spans="1:1" ht="15.75" customHeight="1" x14ac:dyDescent="0.2">
      <c r="A515" s="21"/>
    </row>
    <row r="516" spans="1:1" ht="15.75" customHeight="1" x14ac:dyDescent="0.2">
      <c r="A516" s="21"/>
    </row>
    <row r="517" spans="1:1" ht="15.75" customHeight="1" x14ac:dyDescent="0.2">
      <c r="A517" s="21"/>
    </row>
    <row r="518" spans="1:1" ht="15.75" customHeight="1" x14ac:dyDescent="0.2">
      <c r="A518" s="21"/>
    </row>
    <row r="519" spans="1:1" ht="15.75" customHeight="1" x14ac:dyDescent="0.2">
      <c r="A519" s="21"/>
    </row>
    <row r="520" spans="1:1" ht="15.75" customHeight="1" x14ac:dyDescent="0.2">
      <c r="A520" s="21"/>
    </row>
    <row r="521" spans="1:1" ht="15.75" customHeight="1" x14ac:dyDescent="0.2">
      <c r="A521" s="21"/>
    </row>
    <row r="522" spans="1:1" ht="15.75" customHeight="1" x14ac:dyDescent="0.2">
      <c r="A522" s="21"/>
    </row>
    <row r="523" spans="1:1" ht="15.75" customHeight="1" x14ac:dyDescent="0.2">
      <c r="A523" s="21"/>
    </row>
    <row r="524" spans="1:1" ht="15.75" customHeight="1" x14ac:dyDescent="0.2">
      <c r="A524" s="21"/>
    </row>
    <row r="525" spans="1:1" ht="15.75" customHeight="1" x14ac:dyDescent="0.2">
      <c r="A525" s="21"/>
    </row>
    <row r="526" spans="1:1" ht="15.75" customHeight="1" x14ac:dyDescent="0.2">
      <c r="A526" s="21"/>
    </row>
    <row r="527" spans="1:1" ht="15.75" customHeight="1" x14ac:dyDescent="0.2">
      <c r="A527" s="21"/>
    </row>
    <row r="528" spans="1:1" ht="15.75" customHeight="1" x14ac:dyDescent="0.2">
      <c r="A528" s="21"/>
    </row>
    <row r="529" spans="1:1" ht="15.75" customHeight="1" x14ac:dyDescent="0.2">
      <c r="A529" s="21"/>
    </row>
    <row r="530" spans="1:1" ht="15.75" customHeight="1" x14ac:dyDescent="0.2">
      <c r="A530" s="21"/>
    </row>
    <row r="531" spans="1:1" ht="15.75" customHeight="1" x14ac:dyDescent="0.2">
      <c r="A531" s="21"/>
    </row>
    <row r="532" spans="1:1" ht="15.75" customHeight="1" x14ac:dyDescent="0.2">
      <c r="A532" s="21"/>
    </row>
    <row r="533" spans="1:1" ht="15.75" customHeight="1" x14ac:dyDescent="0.2">
      <c r="A533" s="21"/>
    </row>
    <row r="534" spans="1:1" ht="15.75" customHeight="1" x14ac:dyDescent="0.2">
      <c r="A534" s="21"/>
    </row>
    <row r="535" spans="1:1" ht="15.75" customHeight="1" x14ac:dyDescent="0.2">
      <c r="A535" s="21"/>
    </row>
    <row r="536" spans="1:1" ht="15.75" customHeight="1" x14ac:dyDescent="0.2">
      <c r="A536" s="21"/>
    </row>
    <row r="537" spans="1:1" ht="15.75" customHeight="1" x14ac:dyDescent="0.2">
      <c r="A537" s="21"/>
    </row>
    <row r="538" spans="1:1" ht="15.75" customHeight="1" x14ac:dyDescent="0.2">
      <c r="A538" s="21"/>
    </row>
    <row r="539" spans="1:1" ht="15.75" customHeight="1" x14ac:dyDescent="0.2">
      <c r="A539" s="21"/>
    </row>
    <row r="540" spans="1:1" ht="15.75" customHeight="1" x14ac:dyDescent="0.2">
      <c r="A540" s="21"/>
    </row>
    <row r="541" spans="1:1" ht="15.75" customHeight="1" x14ac:dyDescent="0.2">
      <c r="A541" s="21"/>
    </row>
    <row r="542" spans="1:1" ht="15.75" customHeight="1" x14ac:dyDescent="0.2">
      <c r="A542" s="21"/>
    </row>
    <row r="543" spans="1:1" ht="15.75" customHeight="1" x14ac:dyDescent="0.2">
      <c r="A543" s="21"/>
    </row>
    <row r="544" spans="1:1" ht="15.75" customHeight="1" x14ac:dyDescent="0.2">
      <c r="A544" s="21"/>
    </row>
    <row r="545" spans="1:1" ht="15.75" customHeight="1" x14ac:dyDescent="0.2">
      <c r="A545" s="21"/>
    </row>
    <row r="546" spans="1:1" ht="15.75" customHeight="1" x14ac:dyDescent="0.2">
      <c r="A546" s="21"/>
    </row>
    <row r="547" spans="1:1" ht="15.75" customHeight="1" x14ac:dyDescent="0.2">
      <c r="A547" s="21"/>
    </row>
    <row r="548" spans="1:1" ht="15.75" customHeight="1" x14ac:dyDescent="0.2">
      <c r="A548" s="21"/>
    </row>
    <row r="549" spans="1:1" ht="15.75" customHeight="1" x14ac:dyDescent="0.2">
      <c r="A549" s="21"/>
    </row>
    <row r="550" spans="1:1" ht="15.75" customHeight="1" x14ac:dyDescent="0.2">
      <c r="A550" s="21"/>
    </row>
    <row r="551" spans="1:1" ht="15.75" customHeight="1" x14ac:dyDescent="0.2">
      <c r="A551" s="21"/>
    </row>
    <row r="552" spans="1:1" ht="15.75" customHeight="1" x14ac:dyDescent="0.2">
      <c r="A552" s="21"/>
    </row>
    <row r="553" spans="1:1" ht="15.75" customHeight="1" x14ac:dyDescent="0.2">
      <c r="A553" s="21"/>
    </row>
    <row r="554" spans="1:1" ht="15.75" customHeight="1" x14ac:dyDescent="0.2">
      <c r="A554" s="21"/>
    </row>
    <row r="555" spans="1:1" ht="15.75" customHeight="1" x14ac:dyDescent="0.2">
      <c r="A555" s="21"/>
    </row>
    <row r="556" spans="1:1" ht="15.75" customHeight="1" x14ac:dyDescent="0.2">
      <c r="A556" s="21"/>
    </row>
    <row r="557" spans="1:1" ht="15.75" customHeight="1" x14ac:dyDescent="0.2">
      <c r="A557" s="21"/>
    </row>
    <row r="558" spans="1:1" ht="15.75" customHeight="1" x14ac:dyDescent="0.2">
      <c r="A558" s="21"/>
    </row>
    <row r="559" spans="1:1" ht="15.75" customHeight="1" x14ac:dyDescent="0.2">
      <c r="A559" s="21"/>
    </row>
    <row r="560" spans="1:1" ht="15.75" customHeight="1" x14ac:dyDescent="0.2">
      <c r="A560" s="21"/>
    </row>
    <row r="561" spans="1:1" ht="15.75" customHeight="1" x14ac:dyDescent="0.2">
      <c r="A561" s="21"/>
    </row>
    <row r="562" spans="1:1" ht="15.75" customHeight="1" x14ac:dyDescent="0.2">
      <c r="A562" s="21"/>
    </row>
    <row r="563" spans="1:1" ht="15.75" customHeight="1" x14ac:dyDescent="0.2">
      <c r="A563" s="21"/>
    </row>
    <row r="564" spans="1:1" ht="15.75" customHeight="1" x14ac:dyDescent="0.2">
      <c r="A564" s="21"/>
    </row>
    <row r="565" spans="1:1" ht="15.75" customHeight="1" x14ac:dyDescent="0.2">
      <c r="A565" s="21"/>
    </row>
    <row r="566" spans="1:1" ht="15.75" customHeight="1" x14ac:dyDescent="0.2">
      <c r="A566" s="21"/>
    </row>
    <row r="567" spans="1:1" ht="15.75" customHeight="1" x14ac:dyDescent="0.2">
      <c r="A567" s="21"/>
    </row>
    <row r="568" spans="1:1" ht="15.75" customHeight="1" x14ac:dyDescent="0.2">
      <c r="A568" s="21"/>
    </row>
    <row r="569" spans="1:1" ht="15.75" customHeight="1" x14ac:dyDescent="0.2">
      <c r="A569" s="21"/>
    </row>
    <row r="570" spans="1:1" ht="15.75" customHeight="1" x14ac:dyDescent="0.2">
      <c r="A570" s="21"/>
    </row>
    <row r="571" spans="1:1" ht="15.75" customHeight="1" x14ac:dyDescent="0.2">
      <c r="A571" s="21"/>
    </row>
    <row r="572" spans="1:1" ht="15.75" customHeight="1" x14ac:dyDescent="0.2">
      <c r="A572" s="21"/>
    </row>
    <row r="573" spans="1:1" ht="15.75" customHeight="1" x14ac:dyDescent="0.2">
      <c r="A573" s="21"/>
    </row>
    <row r="574" spans="1:1" ht="15.75" customHeight="1" x14ac:dyDescent="0.2">
      <c r="A574" s="21"/>
    </row>
    <row r="575" spans="1:1" ht="15.75" customHeight="1" x14ac:dyDescent="0.2">
      <c r="A575" s="21"/>
    </row>
    <row r="576" spans="1:1" ht="15.75" customHeight="1" x14ac:dyDescent="0.2">
      <c r="A576" s="21"/>
    </row>
    <row r="577" spans="1:1" ht="15.75" customHeight="1" x14ac:dyDescent="0.2">
      <c r="A577" s="21"/>
    </row>
    <row r="578" spans="1:1" ht="15.75" customHeight="1" x14ac:dyDescent="0.2">
      <c r="A578" s="21"/>
    </row>
    <row r="579" spans="1:1" ht="15.75" customHeight="1" x14ac:dyDescent="0.2">
      <c r="A579" s="21"/>
    </row>
    <row r="580" spans="1:1" ht="15.75" customHeight="1" x14ac:dyDescent="0.2">
      <c r="A580" s="21"/>
    </row>
    <row r="581" spans="1:1" ht="15.75" customHeight="1" x14ac:dyDescent="0.2">
      <c r="A581" s="21"/>
    </row>
    <row r="582" spans="1:1" ht="15.75" customHeight="1" x14ac:dyDescent="0.2">
      <c r="A582" s="21"/>
    </row>
    <row r="583" spans="1:1" ht="15.75" customHeight="1" x14ac:dyDescent="0.2">
      <c r="A583" s="21"/>
    </row>
    <row r="584" spans="1:1" ht="15.75" customHeight="1" x14ac:dyDescent="0.2">
      <c r="A584" s="21"/>
    </row>
    <row r="585" spans="1:1" ht="15.75" customHeight="1" x14ac:dyDescent="0.2">
      <c r="A585" s="21"/>
    </row>
    <row r="586" spans="1:1" ht="15.75" customHeight="1" x14ac:dyDescent="0.2">
      <c r="A586" s="21"/>
    </row>
    <row r="587" spans="1:1" ht="15.75" customHeight="1" x14ac:dyDescent="0.2">
      <c r="A587" s="21"/>
    </row>
    <row r="588" spans="1:1" ht="15.75" customHeight="1" x14ac:dyDescent="0.2">
      <c r="A588" s="21"/>
    </row>
    <row r="589" spans="1:1" ht="15.75" customHeight="1" x14ac:dyDescent="0.2">
      <c r="A589" s="21"/>
    </row>
    <row r="590" spans="1:1" ht="15.75" customHeight="1" x14ac:dyDescent="0.2">
      <c r="A590" s="21"/>
    </row>
    <row r="591" spans="1:1" ht="15.75" customHeight="1" x14ac:dyDescent="0.2">
      <c r="A591" s="21"/>
    </row>
    <row r="592" spans="1:1" ht="15.75" customHeight="1" x14ac:dyDescent="0.2">
      <c r="A592" s="21"/>
    </row>
    <row r="593" spans="1:1" ht="15.75" customHeight="1" x14ac:dyDescent="0.2">
      <c r="A593" s="21"/>
    </row>
    <row r="594" spans="1:1" ht="15.75" customHeight="1" x14ac:dyDescent="0.2">
      <c r="A594" s="21"/>
    </row>
    <row r="595" spans="1:1" ht="15.75" customHeight="1" x14ac:dyDescent="0.2">
      <c r="A595" s="21"/>
    </row>
    <row r="596" spans="1:1" ht="15.75" customHeight="1" x14ac:dyDescent="0.2">
      <c r="A596" s="21"/>
    </row>
    <row r="597" spans="1:1" ht="15.75" customHeight="1" x14ac:dyDescent="0.2">
      <c r="A597" s="21"/>
    </row>
    <row r="598" spans="1:1" ht="15.75" customHeight="1" x14ac:dyDescent="0.2">
      <c r="A598" s="21"/>
    </row>
    <row r="599" spans="1:1" ht="15.75" customHeight="1" x14ac:dyDescent="0.2">
      <c r="A599" s="21"/>
    </row>
    <row r="600" spans="1:1" ht="15.75" customHeight="1" x14ac:dyDescent="0.2">
      <c r="A600" s="21"/>
    </row>
    <row r="601" spans="1:1" ht="15.75" customHeight="1" x14ac:dyDescent="0.2">
      <c r="A601" s="21"/>
    </row>
    <row r="602" spans="1:1" ht="15.75" customHeight="1" x14ac:dyDescent="0.2">
      <c r="A602" s="21"/>
    </row>
    <row r="603" spans="1:1" ht="15.75" customHeight="1" x14ac:dyDescent="0.2">
      <c r="A603" s="21"/>
    </row>
    <row r="604" spans="1:1" ht="15.75" customHeight="1" x14ac:dyDescent="0.2">
      <c r="A604" s="21"/>
    </row>
    <row r="605" spans="1:1" ht="15.75" customHeight="1" x14ac:dyDescent="0.2">
      <c r="A605" s="21"/>
    </row>
    <row r="606" spans="1:1" ht="15.75" customHeight="1" x14ac:dyDescent="0.2">
      <c r="A606" s="21"/>
    </row>
    <row r="607" spans="1:1" ht="15.75" customHeight="1" x14ac:dyDescent="0.2">
      <c r="A607" s="21"/>
    </row>
    <row r="608" spans="1:1" ht="15.75" customHeight="1" x14ac:dyDescent="0.2">
      <c r="A608" s="21"/>
    </row>
    <row r="609" spans="1:1" ht="15.75" customHeight="1" x14ac:dyDescent="0.2">
      <c r="A609" s="21"/>
    </row>
    <row r="610" spans="1:1" ht="15.75" customHeight="1" x14ac:dyDescent="0.2">
      <c r="A610" s="21"/>
    </row>
    <row r="611" spans="1:1" ht="15.75" customHeight="1" x14ac:dyDescent="0.2">
      <c r="A611" s="21"/>
    </row>
    <row r="612" spans="1:1" ht="15.75" customHeight="1" x14ac:dyDescent="0.2">
      <c r="A612" s="21"/>
    </row>
    <row r="613" spans="1:1" ht="15.75" customHeight="1" x14ac:dyDescent="0.2">
      <c r="A613" s="21"/>
    </row>
    <row r="614" spans="1:1" ht="15.75" customHeight="1" x14ac:dyDescent="0.2">
      <c r="A614" s="21"/>
    </row>
    <row r="615" spans="1:1" ht="15.75" customHeight="1" x14ac:dyDescent="0.2">
      <c r="A615" s="21"/>
    </row>
    <row r="616" spans="1:1" ht="15.75" customHeight="1" x14ac:dyDescent="0.2">
      <c r="A616" s="21"/>
    </row>
    <row r="617" spans="1:1" ht="15.75" customHeight="1" x14ac:dyDescent="0.2">
      <c r="A617" s="21"/>
    </row>
    <row r="618" spans="1:1" ht="15.75" customHeight="1" x14ac:dyDescent="0.2">
      <c r="A618" s="21"/>
    </row>
    <row r="619" spans="1:1" ht="15.75" customHeight="1" x14ac:dyDescent="0.2">
      <c r="A619" s="21"/>
    </row>
    <row r="620" spans="1:1" ht="15.75" customHeight="1" x14ac:dyDescent="0.2">
      <c r="A620" s="21"/>
    </row>
    <row r="621" spans="1:1" ht="15.75" customHeight="1" x14ac:dyDescent="0.2">
      <c r="A621" s="21"/>
    </row>
    <row r="622" spans="1:1" ht="15.75" customHeight="1" x14ac:dyDescent="0.2">
      <c r="A622" s="21"/>
    </row>
    <row r="623" spans="1:1" ht="15.75" customHeight="1" x14ac:dyDescent="0.2">
      <c r="A623" s="21"/>
    </row>
    <row r="624" spans="1:1" ht="15.75" customHeight="1" x14ac:dyDescent="0.2">
      <c r="A624" s="21"/>
    </row>
    <row r="625" spans="1:1" ht="15.75" customHeight="1" x14ac:dyDescent="0.2">
      <c r="A625" s="21"/>
    </row>
    <row r="626" spans="1:1" ht="15.75" customHeight="1" x14ac:dyDescent="0.2">
      <c r="A626" s="21"/>
    </row>
    <row r="627" spans="1:1" ht="15.75" customHeight="1" x14ac:dyDescent="0.2">
      <c r="A627" s="21"/>
    </row>
    <row r="628" spans="1:1" ht="15.75" customHeight="1" x14ac:dyDescent="0.2">
      <c r="A628" s="21"/>
    </row>
    <row r="629" spans="1:1" ht="15.75" customHeight="1" x14ac:dyDescent="0.2">
      <c r="A629" s="21"/>
    </row>
    <row r="630" spans="1:1" ht="15.75" customHeight="1" x14ac:dyDescent="0.2">
      <c r="A630" s="21"/>
    </row>
    <row r="631" spans="1:1" ht="15.75" customHeight="1" x14ac:dyDescent="0.2">
      <c r="A631" s="21"/>
    </row>
    <row r="632" spans="1:1" ht="15.75" customHeight="1" x14ac:dyDescent="0.2">
      <c r="A632" s="21"/>
    </row>
    <row r="633" spans="1:1" ht="15.75" customHeight="1" x14ac:dyDescent="0.2">
      <c r="A633" s="21"/>
    </row>
    <row r="634" spans="1:1" ht="15.75" customHeight="1" x14ac:dyDescent="0.2">
      <c r="A634" s="21"/>
    </row>
    <row r="635" spans="1:1" ht="15.75" customHeight="1" x14ac:dyDescent="0.2">
      <c r="A635" s="21"/>
    </row>
    <row r="636" spans="1:1" ht="15.75" customHeight="1" x14ac:dyDescent="0.2">
      <c r="A636" s="21"/>
    </row>
    <row r="637" spans="1:1" ht="15.75" customHeight="1" x14ac:dyDescent="0.2">
      <c r="A637" s="21"/>
    </row>
    <row r="638" spans="1:1" ht="15.75" customHeight="1" x14ac:dyDescent="0.2">
      <c r="A638" s="21"/>
    </row>
    <row r="639" spans="1:1" ht="15.75" customHeight="1" x14ac:dyDescent="0.2">
      <c r="A639" s="21"/>
    </row>
    <row r="640" spans="1:1" ht="15.75" customHeight="1" x14ac:dyDescent="0.2">
      <c r="A640" s="21"/>
    </row>
    <row r="641" spans="1:1" ht="15.75" customHeight="1" x14ac:dyDescent="0.2">
      <c r="A641" s="21"/>
    </row>
    <row r="642" spans="1:1" ht="15.75" customHeight="1" x14ac:dyDescent="0.2">
      <c r="A642" s="21"/>
    </row>
    <row r="643" spans="1:1" ht="15.75" customHeight="1" x14ac:dyDescent="0.2">
      <c r="A643" s="21"/>
    </row>
    <row r="644" spans="1:1" ht="15.75" customHeight="1" x14ac:dyDescent="0.2">
      <c r="A644" s="21"/>
    </row>
    <row r="645" spans="1:1" ht="15.75" customHeight="1" x14ac:dyDescent="0.2">
      <c r="A645" s="21"/>
    </row>
    <row r="646" spans="1:1" ht="15.75" customHeight="1" x14ac:dyDescent="0.2">
      <c r="A646" s="21"/>
    </row>
    <row r="647" spans="1:1" ht="15.75" customHeight="1" x14ac:dyDescent="0.2">
      <c r="A647" s="21"/>
    </row>
    <row r="648" spans="1:1" ht="15.75" customHeight="1" x14ac:dyDescent="0.2">
      <c r="A648" s="21"/>
    </row>
    <row r="649" spans="1:1" ht="15.75" customHeight="1" x14ac:dyDescent="0.2">
      <c r="A649" s="21"/>
    </row>
    <row r="650" spans="1:1" ht="15.75" customHeight="1" x14ac:dyDescent="0.2">
      <c r="A650" s="21"/>
    </row>
    <row r="651" spans="1:1" ht="15.75" customHeight="1" x14ac:dyDescent="0.2">
      <c r="A651" s="21"/>
    </row>
    <row r="652" spans="1:1" ht="15.75" customHeight="1" x14ac:dyDescent="0.2">
      <c r="A652" s="21"/>
    </row>
    <row r="653" spans="1:1" ht="15.75" customHeight="1" x14ac:dyDescent="0.2">
      <c r="A653" s="21"/>
    </row>
    <row r="654" spans="1:1" ht="15.75" customHeight="1" x14ac:dyDescent="0.2">
      <c r="A654" s="21"/>
    </row>
    <row r="655" spans="1:1" ht="15.75" customHeight="1" x14ac:dyDescent="0.2">
      <c r="A655" s="21"/>
    </row>
    <row r="656" spans="1:1" ht="15.75" customHeight="1" x14ac:dyDescent="0.2">
      <c r="A656" s="21"/>
    </row>
    <row r="657" spans="1:1" ht="15.75" customHeight="1" x14ac:dyDescent="0.2">
      <c r="A657" s="21"/>
    </row>
    <row r="658" spans="1:1" ht="15.75" customHeight="1" x14ac:dyDescent="0.2">
      <c r="A658" s="21"/>
    </row>
    <row r="659" spans="1:1" ht="15.75" customHeight="1" x14ac:dyDescent="0.2">
      <c r="A659" s="21"/>
    </row>
    <row r="660" spans="1:1" ht="15.75" customHeight="1" x14ac:dyDescent="0.2">
      <c r="A660" s="21"/>
    </row>
    <row r="661" spans="1:1" ht="15.75" customHeight="1" x14ac:dyDescent="0.2">
      <c r="A661" s="21"/>
    </row>
    <row r="662" spans="1:1" ht="15.75" customHeight="1" x14ac:dyDescent="0.2">
      <c r="A662" s="21"/>
    </row>
    <row r="663" spans="1:1" ht="15.75" customHeight="1" x14ac:dyDescent="0.2">
      <c r="A663" s="21"/>
    </row>
    <row r="664" spans="1:1" ht="15.75" customHeight="1" x14ac:dyDescent="0.2">
      <c r="A664" s="21"/>
    </row>
    <row r="665" spans="1:1" ht="15.75" customHeight="1" x14ac:dyDescent="0.2">
      <c r="A665" s="21"/>
    </row>
    <row r="666" spans="1:1" ht="15.75" customHeight="1" x14ac:dyDescent="0.2">
      <c r="A666" s="21"/>
    </row>
    <row r="667" spans="1:1" ht="15.75" customHeight="1" x14ac:dyDescent="0.2">
      <c r="A667" s="21"/>
    </row>
    <row r="668" spans="1:1" ht="15.75" customHeight="1" x14ac:dyDescent="0.2">
      <c r="A668" s="21"/>
    </row>
    <row r="669" spans="1:1" ht="15.75" customHeight="1" x14ac:dyDescent="0.2">
      <c r="A669" s="21"/>
    </row>
    <row r="670" spans="1:1" ht="15.75" customHeight="1" x14ac:dyDescent="0.2">
      <c r="A670" s="21"/>
    </row>
    <row r="671" spans="1:1" ht="15.75" customHeight="1" x14ac:dyDescent="0.2">
      <c r="A671" s="21"/>
    </row>
    <row r="672" spans="1:1" ht="15.75" customHeight="1" x14ac:dyDescent="0.2">
      <c r="A672" s="21"/>
    </row>
    <row r="673" spans="1:1" ht="15.75" customHeight="1" x14ac:dyDescent="0.2">
      <c r="A673" s="21"/>
    </row>
    <row r="674" spans="1:1" ht="15.75" customHeight="1" x14ac:dyDescent="0.2">
      <c r="A674" s="21"/>
    </row>
    <row r="675" spans="1:1" ht="15.75" customHeight="1" x14ac:dyDescent="0.2">
      <c r="A675" s="21"/>
    </row>
    <row r="676" spans="1:1" ht="15.75" customHeight="1" x14ac:dyDescent="0.2">
      <c r="A676" s="21"/>
    </row>
    <row r="677" spans="1:1" ht="15.75" customHeight="1" x14ac:dyDescent="0.2">
      <c r="A677" s="21"/>
    </row>
    <row r="678" spans="1:1" ht="15.75" customHeight="1" x14ac:dyDescent="0.2">
      <c r="A678" s="21"/>
    </row>
    <row r="679" spans="1:1" ht="15.75" customHeight="1" x14ac:dyDescent="0.2">
      <c r="A679" s="21"/>
    </row>
    <row r="680" spans="1:1" ht="15.75" customHeight="1" x14ac:dyDescent="0.2">
      <c r="A680" s="21"/>
    </row>
    <row r="681" spans="1:1" ht="15.75" customHeight="1" x14ac:dyDescent="0.2">
      <c r="A681" s="21"/>
    </row>
    <row r="682" spans="1:1" ht="15.75" customHeight="1" x14ac:dyDescent="0.2">
      <c r="A682" s="21"/>
    </row>
    <row r="683" spans="1:1" ht="15.75" customHeight="1" x14ac:dyDescent="0.2">
      <c r="A683" s="21"/>
    </row>
    <row r="684" spans="1:1" ht="15.75" customHeight="1" x14ac:dyDescent="0.2">
      <c r="A684" s="21"/>
    </row>
    <row r="685" spans="1:1" ht="15.75" customHeight="1" x14ac:dyDescent="0.2">
      <c r="A685" s="21"/>
    </row>
    <row r="686" spans="1:1" ht="15.75" customHeight="1" x14ac:dyDescent="0.2">
      <c r="A686" s="21"/>
    </row>
    <row r="687" spans="1:1" ht="15.75" customHeight="1" x14ac:dyDescent="0.2">
      <c r="A687" s="21"/>
    </row>
    <row r="688" spans="1:1" ht="15.75" customHeight="1" x14ac:dyDescent="0.2">
      <c r="A688" s="21"/>
    </row>
    <row r="689" spans="1:1" ht="15.75" customHeight="1" x14ac:dyDescent="0.2">
      <c r="A689" s="21"/>
    </row>
    <row r="690" spans="1:1" ht="15.75" customHeight="1" x14ac:dyDescent="0.2">
      <c r="A690" s="21"/>
    </row>
    <row r="691" spans="1:1" ht="15.75" customHeight="1" x14ac:dyDescent="0.2">
      <c r="A691" s="21"/>
    </row>
    <row r="692" spans="1:1" ht="15.75" customHeight="1" x14ac:dyDescent="0.2">
      <c r="A692" s="21"/>
    </row>
    <row r="693" spans="1:1" ht="15.75" customHeight="1" x14ac:dyDescent="0.2">
      <c r="A693" s="21"/>
    </row>
    <row r="694" spans="1:1" ht="15.75" customHeight="1" x14ac:dyDescent="0.2">
      <c r="A694" s="21"/>
    </row>
    <row r="695" spans="1:1" ht="15.75" customHeight="1" x14ac:dyDescent="0.2">
      <c r="A695" s="21"/>
    </row>
    <row r="696" spans="1:1" ht="15.75" customHeight="1" x14ac:dyDescent="0.2">
      <c r="A696" s="21"/>
    </row>
    <row r="697" spans="1:1" ht="15.75" customHeight="1" x14ac:dyDescent="0.2">
      <c r="A697" s="21"/>
    </row>
    <row r="698" spans="1:1" ht="15.75" customHeight="1" x14ac:dyDescent="0.2">
      <c r="A698" s="21"/>
    </row>
    <row r="699" spans="1:1" ht="15.75" customHeight="1" x14ac:dyDescent="0.2">
      <c r="A699" s="21"/>
    </row>
    <row r="700" spans="1:1" ht="15.75" customHeight="1" x14ac:dyDescent="0.2">
      <c r="A700" s="21"/>
    </row>
    <row r="701" spans="1:1" ht="15.75" customHeight="1" x14ac:dyDescent="0.2">
      <c r="A701" s="21"/>
    </row>
    <row r="702" spans="1:1" ht="15.75" customHeight="1" x14ac:dyDescent="0.2">
      <c r="A702" s="21"/>
    </row>
    <row r="703" spans="1:1" ht="15.75" customHeight="1" x14ac:dyDescent="0.2">
      <c r="A703" s="21"/>
    </row>
    <row r="704" spans="1:1" ht="15.75" customHeight="1" x14ac:dyDescent="0.2">
      <c r="A704" s="21"/>
    </row>
    <row r="705" spans="1:1" ht="15.75" customHeight="1" x14ac:dyDescent="0.2">
      <c r="A705" s="21"/>
    </row>
    <row r="706" spans="1:1" ht="15.75" customHeight="1" x14ac:dyDescent="0.2">
      <c r="A706" s="21"/>
    </row>
    <row r="707" spans="1:1" ht="15.75" customHeight="1" x14ac:dyDescent="0.2">
      <c r="A707" s="21"/>
    </row>
    <row r="708" spans="1:1" ht="15.75" customHeight="1" x14ac:dyDescent="0.2">
      <c r="A708" s="21"/>
    </row>
    <row r="709" spans="1:1" ht="15.75" customHeight="1" x14ac:dyDescent="0.2">
      <c r="A709" s="21"/>
    </row>
    <row r="710" spans="1:1" ht="15.75" customHeight="1" x14ac:dyDescent="0.2">
      <c r="A710" s="21"/>
    </row>
    <row r="711" spans="1:1" ht="15.75" customHeight="1" x14ac:dyDescent="0.2">
      <c r="A711" s="21"/>
    </row>
    <row r="712" spans="1:1" ht="15.75" customHeight="1" x14ac:dyDescent="0.2">
      <c r="A712" s="21"/>
    </row>
    <row r="713" spans="1:1" ht="15.75" customHeight="1" x14ac:dyDescent="0.2">
      <c r="A713" s="21"/>
    </row>
    <row r="714" spans="1:1" ht="15.75" customHeight="1" x14ac:dyDescent="0.2">
      <c r="A714" s="21"/>
    </row>
    <row r="715" spans="1:1" ht="15.75" customHeight="1" x14ac:dyDescent="0.2">
      <c r="A715" s="21"/>
    </row>
    <row r="716" spans="1:1" ht="15.75" customHeight="1" x14ac:dyDescent="0.2">
      <c r="A716" s="21"/>
    </row>
    <row r="717" spans="1:1" ht="15.75" customHeight="1" x14ac:dyDescent="0.2">
      <c r="A717" s="21"/>
    </row>
    <row r="718" spans="1:1" ht="15.75" customHeight="1" x14ac:dyDescent="0.2">
      <c r="A718" s="21"/>
    </row>
    <row r="719" spans="1:1" ht="15.75" customHeight="1" x14ac:dyDescent="0.2">
      <c r="A719" s="21"/>
    </row>
    <row r="720" spans="1:1" ht="15.75" customHeight="1" x14ac:dyDescent="0.2">
      <c r="A720" s="21"/>
    </row>
    <row r="721" spans="1:1" ht="15.75" customHeight="1" x14ac:dyDescent="0.2">
      <c r="A721" s="21"/>
    </row>
    <row r="722" spans="1:1" ht="15.75" customHeight="1" x14ac:dyDescent="0.2">
      <c r="A722" s="21"/>
    </row>
    <row r="723" spans="1:1" ht="15.75" customHeight="1" x14ac:dyDescent="0.2">
      <c r="A723" s="21"/>
    </row>
    <row r="724" spans="1:1" ht="15.75" customHeight="1" x14ac:dyDescent="0.2">
      <c r="A724" s="21"/>
    </row>
    <row r="725" spans="1:1" ht="15.75" customHeight="1" x14ac:dyDescent="0.2">
      <c r="A725" s="21"/>
    </row>
    <row r="726" spans="1:1" ht="15.75" customHeight="1" x14ac:dyDescent="0.2">
      <c r="A726" s="21"/>
    </row>
    <row r="727" spans="1:1" ht="15.75" customHeight="1" x14ac:dyDescent="0.2">
      <c r="A727" s="21"/>
    </row>
    <row r="728" spans="1:1" ht="15.75" customHeight="1" x14ac:dyDescent="0.2">
      <c r="A728" s="21"/>
    </row>
    <row r="729" spans="1:1" ht="15.75" customHeight="1" x14ac:dyDescent="0.2">
      <c r="A729" s="21"/>
    </row>
    <row r="730" spans="1:1" ht="15.75" customHeight="1" x14ac:dyDescent="0.2">
      <c r="A730" s="21"/>
    </row>
    <row r="731" spans="1:1" ht="15.75" customHeight="1" x14ac:dyDescent="0.2">
      <c r="A731" s="21"/>
    </row>
    <row r="732" spans="1:1" ht="15.75" customHeight="1" x14ac:dyDescent="0.2">
      <c r="A732" s="21"/>
    </row>
    <row r="733" spans="1:1" ht="15.75" customHeight="1" x14ac:dyDescent="0.2">
      <c r="A733" s="21"/>
    </row>
    <row r="734" spans="1:1" ht="15.75" customHeight="1" x14ac:dyDescent="0.2">
      <c r="A734" s="21"/>
    </row>
    <row r="735" spans="1:1" ht="15.75" customHeight="1" x14ac:dyDescent="0.2">
      <c r="A735" s="21"/>
    </row>
    <row r="736" spans="1:1" ht="15.75" customHeight="1" x14ac:dyDescent="0.2">
      <c r="A736" s="21"/>
    </row>
    <row r="737" spans="1:1" ht="15.75" customHeight="1" x14ac:dyDescent="0.2">
      <c r="A737" s="21"/>
    </row>
    <row r="738" spans="1:1" ht="15.75" customHeight="1" x14ac:dyDescent="0.2">
      <c r="A738" s="21"/>
    </row>
    <row r="739" spans="1:1" ht="15.75" customHeight="1" x14ac:dyDescent="0.2">
      <c r="A739" s="21"/>
    </row>
    <row r="740" spans="1:1" ht="15.75" customHeight="1" x14ac:dyDescent="0.2">
      <c r="A740" s="21"/>
    </row>
    <row r="741" spans="1:1" ht="15.75" customHeight="1" x14ac:dyDescent="0.2">
      <c r="A741" s="21"/>
    </row>
    <row r="742" spans="1:1" ht="15.75" customHeight="1" x14ac:dyDescent="0.2">
      <c r="A742" s="21"/>
    </row>
    <row r="743" spans="1:1" ht="15.75" customHeight="1" x14ac:dyDescent="0.2">
      <c r="A743" s="21"/>
    </row>
    <row r="744" spans="1:1" ht="15.75" customHeight="1" x14ac:dyDescent="0.2">
      <c r="A744" s="21"/>
    </row>
    <row r="745" spans="1:1" ht="15.75" customHeight="1" x14ac:dyDescent="0.2">
      <c r="A745" s="21"/>
    </row>
    <row r="746" spans="1:1" ht="15.75" customHeight="1" x14ac:dyDescent="0.2">
      <c r="A746" s="21"/>
    </row>
    <row r="747" spans="1:1" ht="15.75" customHeight="1" x14ac:dyDescent="0.2">
      <c r="A747" s="21"/>
    </row>
    <row r="748" spans="1:1" ht="15.75" customHeight="1" x14ac:dyDescent="0.2">
      <c r="A748" s="21"/>
    </row>
    <row r="749" spans="1:1" ht="15.75" customHeight="1" x14ac:dyDescent="0.2">
      <c r="A749" s="21"/>
    </row>
    <row r="750" spans="1:1" ht="15.75" customHeight="1" x14ac:dyDescent="0.2">
      <c r="A750" s="21"/>
    </row>
    <row r="751" spans="1:1" ht="15.75" customHeight="1" x14ac:dyDescent="0.2">
      <c r="A751" s="21"/>
    </row>
    <row r="752" spans="1:1" ht="15.75" customHeight="1" x14ac:dyDescent="0.2">
      <c r="A752" s="21"/>
    </row>
    <row r="753" spans="1:1" ht="15.75" customHeight="1" x14ac:dyDescent="0.2">
      <c r="A753" s="21"/>
    </row>
    <row r="754" spans="1:1" ht="15.75" customHeight="1" x14ac:dyDescent="0.2">
      <c r="A754" s="21"/>
    </row>
    <row r="755" spans="1:1" ht="15.75" customHeight="1" x14ac:dyDescent="0.2">
      <c r="A755" s="21"/>
    </row>
    <row r="756" spans="1:1" ht="15.75" customHeight="1" x14ac:dyDescent="0.2">
      <c r="A756" s="21"/>
    </row>
    <row r="757" spans="1:1" ht="15.75" customHeight="1" x14ac:dyDescent="0.2">
      <c r="A757" s="21"/>
    </row>
    <row r="758" spans="1:1" ht="15.75" customHeight="1" x14ac:dyDescent="0.2">
      <c r="A758" s="21"/>
    </row>
    <row r="759" spans="1:1" ht="15.75" customHeight="1" x14ac:dyDescent="0.2">
      <c r="A759" s="21"/>
    </row>
    <row r="760" spans="1:1" ht="15.75" customHeight="1" x14ac:dyDescent="0.2">
      <c r="A760" s="21"/>
    </row>
    <row r="761" spans="1:1" ht="15.75" customHeight="1" x14ac:dyDescent="0.2">
      <c r="A761" s="21"/>
    </row>
    <row r="762" spans="1:1" ht="15.75" customHeight="1" x14ac:dyDescent="0.2">
      <c r="A762" s="21"/>
    </row>
    <row r="763" spans="1:1" ht="15.75" customHeight="1" x14ac:dyDescent="0.2">
      <c r="A763" s="21"/>
    </row>
    <row r="764" spans="1:1" ht="15.75" customHeight="1" x14ac:dyDescent="0.2">
      <c r="A764" s="21"/>
    </row>
    <row r="765" spans="1:1" ht="15.75" customHeight="1" x14ac:dyDescent="0.2">
      <c r="A765" s="21"/>
    </row>
    <row r="766" spans="1:1" ht="15.75" customHeight="1" x14ac:dyDescent="0.2">
      <c r="A766" s="21"/>
    </row>
    <row r="767" spans="1:1" ht="15.75" customHeight="1" x14ac:dyDescent="0.2">
      <c r="A767" s="21"/>
    </row>
    <row r="768" spans="1:1" ht="15.75" customHeight="1" x14ac:dyDescent="0.2">
      <c r="A768" s="21"/>
    </row>
    <row r="769" spans="1:1" ht="15.75" customHeight="1" x14ac:dyDescent="0.2">
      <c r="A769" s="21"/>
    </row>
    <row r="770" spans="1:1" ht="15.75" customHeight="1" x14ac:dyDescent="0.2">
      <c r="A770" s="21"/>
    </row>
    <row r="771" spans="1:1" ht="15.75" customHeight="1" x14ac:dyDescent="0.2">
      <c r="A771" s="21"/>
    </row>
    <row r="772" spans="1:1" ht="15.75" customHeight="1" x14ac:dyDescent="0.2">
      <c r="A772" s="21"/>
    </row>
    <row r="773" spans="1:1" ht="15.75" customHeight="1" x14ac:dyDescent="0.2">
      <c r="A773" s="21"/>
    </row>
    <row r="774" spans="1:1" ht="15.75" customHeight="1" x14ac:dyDescent="0.2">
      <c r="A774" s="21"/>
    </row>
    <row r="775" spans="1:1" ht="15.75" customHeight="1" x14ac:dyDescent="0.2">
      <c r="A775" s="21"/>
    </row>
    <row r="776" spans="1:1" ht="15.75" customHeight="1" x14ac:dyDescent="0.2">
      <c r="A776" s="21"/>
    </row>
    <row r="777" spans="1:1" ht="15.75" customHeight="1" x14ac:dyDescent="0.2">
      <c r="A777" s="21"/>
    </row>
    <row r="778" spans="1:1" ht="15.75" customHeight="1" x14ac:dyDescent="0.2">
      <c r="A778" s="21"/>
    </row>
    <row r="779" spans="1:1" ht="15.75" customHeight="1" x14ac:dyDescent="0.2">
      <c r="A779" s="21"/>
    </row>
    <row r="780" spans="1:1" ht="15.75" customHeight="1" x14ac:dyDescent="0.2">
      <c r="A780" s="21"/>
    </row>
    <row r="781" spans="1:1" ht="15.75" customHeight="1" x14ac:dyDescent="0.2">
      <c r="A781" s="21"/>
    </row>
    <row r="782" spans="1:1" ht="15.75" customHeight="1" x14ac:dyDescent="0.2">
      <c r="A782" s="21"/>
    </row>
    <row r="783" spans="1:1" ht="15.75" customHeight="1" x14ac:dyDescent="0.2">
      <c r="A783" s="21"/>
    </row>
    <row r="784" spans="1:1" ht="15.75" customHeight="1" x14ac:dyDescent="0.2">
      <c r="A784" s="21"/>
    </row>
    <row r="785" spans="1:1" ht="15.75" customHeight="1" x14ac:dyDescent="0.2">
      <c r="A785" s="21"/>
    </row>
    <row r="786" spans="1:1" ht="15.75" customHeight="1" x14ac:dyDescent="0.2">
      <c r="A786" s="21"/>
    </row>
    <row r="787" spans="1:1" ht="15.75" customHeight="1" x14ac:dyDescent="0.2">
      <c r="A787" s="21"/>
    </row>
    <row r="788" spans="1:1" ht="15.75" customHeight="1" x14ac:dyDescent="0.2">
      <c r="A788" s="21"/>
    </row>
    <row r="789" spans="1:1" ht="15.75" customHeight="1" x14ac:dyDescent="0.2">
      <c r="A789" s="21"/>
    </row>
    <row r="790" spans="1:1" ht="15.75" customHeight="1" x14ac:dyDescent="0.2">
      <c r="A790" s="21"/>
    </row>
    <row r="791" spans="1:1" ht="15.75" customHeight="1" x14ac:dyDescent="0.2">
      <c r="A791" s="21"/>
    </row>
    <row r="792" spans="1:1" ht="15.75" customHeight="1" x14ac:dyDescent="0.2">
      <c r="A792" s="21"/>
    </row>
    <row r="793" spans="1:1" ht="15.75" customHeight="1" x14ac:dyDescent="0.2">
      <c r="A793" s="21"/>
    </row>
    <row r="794" spans="1:1" ht="15.75" customHeight="1" x14ac:dyDescent="0.2">
      <c r="A794" s="21"/>
    </row>
    <row r="795" spans="1:1" ht="15.75" customHeight="1" x14ac:dyDescent="0.2">
      <c r="A795" s="21"/>
    </row>
    <row r="796" spans="1:1" ht="15.75" customHeight="1" x14ac:dyDescent="0.2">
      <c r="A796" s="21"/>
    </row>
    <row r="797" spans="1:1" ht="15.75" customHeight="1" x14ac:dyDescent="0.2">
      <c r="A797" s="21"/>
    </row>
    <row r="798" spans="1:1" ht="15.75" customHeight="1" x14ac:dyDescent="0.2">
      <c r="A798" s="21"/>
    </row>
    <row r="799" spans="1:1" ht="15.75" customHeight="1" x14ac:dyDescent="0.2">
      <c r="A799" s="21"/>
    </row>
    <row r="800" spans="1:1" ht="15.75" customHeight="1" x14ac:dyDescent="0.2">
      <c r="A800" s="21"/>
    </row>
    <row r="801" spans="1:1" ht="15.75" customHeight="1" x14ac:dyDescent="0.2">
      <c r="A801" s="21"/>
    </row>
    <row r="802" spans="1:1" ht="15.75" customHeight="1" x14ac:dyDescent="0.2">
      <c r="A802" s="21"/>
    </row>
    <row r="803" spans="1:1" ht="15.75" customHeight="1" x14ac:dyDescent="0.2">
      <c r="A803" s="21"/>
    </row>
    <row r="804" spans="1:1" ht="15.75" customHeight="1" x14ac:dyDescent="0.2">
      <c r="A804" s="21"/>
    </row>
    <row r="805" spans="1:1" ht="15.75" customHeight="1" x14ac:dyDescent="0.2">
      <c r="A805" s="21"/>
    </row>
    <row r="806" spans="1:1" ht="15.75" customHeight="1" x14ac:dyDescent="0.2">
      <c r="A806" s="21"/>
    </row>
    <row r="807" spans="1:1" ht="15.75" customHeight="1" x14ac:dyDescent="0.2">
      <c r="A807" s="21"/>
    </row>
    <row r="808" spans="1:1" ht="15.75" customHeight="1" x14ac:dyDescent="0.2">
      <c r="A808" s="21"/>
    </row>
    <row r="809" spans="1:1" ht="15.75" customHeight="1" x14ac:dyDescent="0.2">
      <c r="A809" s="21"/>
    </row>
    <row r="810" spans="1:1" ht="15.75" customHeight="1" x14ac:dyDescent="0.2">
      <c r="A810" s="21"/>
    </row>
    <row r="811" spans="1:1" ht="15.75" customHeight="1" x14ac:dyDescent="0.2">
      <c r="A811" s="21"/>
    </row>
    <row r="812" spans="1:1" ht="15.75" customHeight="1" x14ac:dyDescent="0.2">
      <c r="A812" s="21"/>
    </row>
    <row r="813" spans="1:1" ht="15.75" customHeight="1" x14ac:dyDescent="0.2">
      <c r="A813" s="21"/>
    </row>
    <row r="814" spans="1:1" ht="15.75" customHeight="1" x14ac:dyDescent="0.2">
      <c r="A814" s="21"/>
    </row>
    <row r="815" spans="1:1" ht="15.75" customHeight="1" x14ac:dyDescent="0.2">
      <c r="A815" s="21"/>
    </row>
    <row r="816" spans="1:1" ht="15.75" customHeight="1" x14ac:dyDescent="0.2">
      <c r="A816" s="21"/>
    </row>
    <row r="817" spans="1:1" ht="15.75" customHeight="1" x14ac:dyDescent="0.2">
      <c r="A817" s="21"/>
    </row>
    <row r="818" spans="1:1" ht="15.75" customHeight="1" x14ac:dyDescent="0.2">
      <c r="A818" s="21"/>
    </row>
    <row r="819" spans="1:1" ht="15.75" customHeight="1" x14ac:dyDescent="0.2">
      <c r="A819" s="21"/>
    </row>
    <row r="820" spans="1:1" ht="15.75" customHeight="1" x14ac:dyDescent="0.2">
      <c r="A820" s="21"/>
    </row>
    <row r="821" spans="1:1" ht="15.75" customHeight="1" x14ac:dyDescent="0.2">
      <c r="A821" s="21"/>
    </row>
    <row r="822" spans="1:1" ht="15.75" customHeight="1" x14ac:dyDescent="0.2">
      <c r="A822" s="21"/>
    </row>
    <row r="823" spans="1:1" ht="15.75" customHeight="1" x14ac:dyDescent="0.2">
      <c r="A823" s="21"/>
    </row>
    <row r="824" spans="1:1" ht="15.75" customHeight="1" x14ac:dyDescent="0.2">
      <c r="A824" s="21"/>
    </row>
    <row r="825" spans="1:1" ht="15.75" customHeight="1" x14ac:dyDescent="0.2">
      <c r="A825" s="21"/>
    </row>
    <row r="826" spans="1:1" ht="15.75" customHeight="1" x14ac:dyDescent="0.2">
      <c r="A826" s="21"/>
    </row>
    <row r="827" spans="1:1" ht="15.75" customHeight="1" x14ac:dyDescent="0.2">
      <c r="A827" s="21"/>
    </row>
    <row r="828" spans="1:1" ht="15.75" customHeight="1" x14ac:dyDescent="0.2">
      <c r="A828" s="21"/>
    </row>
    <row r="829" spans="1:1" ht="15.75" customHeight="1" x14ac:dyDescent="0.2">
      <c r="A829" s="21"/>
    </row>
    <row r="830" spans="1:1" ht="15.75" customHeight="1" x14ac:dyDescent="0.2">
      <c r="A830" s="21"/>
    </row>
    <row r="831" spans="1:1" ht="15.75" customHeight="1" x14ac:dyDescent="0.2">
      <c r="A831" s="21"/>
    </row>
    <row r="832" spans="1:1" ht="15.75" customHeight="1" x14ac:dyDescent="0.2">
      <c r="A832" s="21"/>
    </row>
    <row r="833" spans="1:1" ht="15.75" customHeight="1" x14ac:dyDescent="0.2">
      <c r="A833" s="21"/>
    </row>
    <row r="834" spans="1:1" ht="15.75" customHeight="1" x14ac:dyDescent="0.2">
      <c r="A834" s="21"/>
    </row>
    <row r="835" spans="1:1" ht="15.75" customHeight="1" x14ac:dyDescent="0.2">
      <c r="A835" s="21"/>
    </row>
    <row r="836" spans="1:1" ht="15.75" customHeight="1" x14ac:dyDescent="0.2">
      <c r="A836" s="21"/>
    </row>
    <row r="837" spans="1:1" ht="15.75" customHeight="1" x14ac:dyDescent="0.2">
      <c r="A837" s="21"/>
    </row>
    <row r="838" spans="1:1" ht="15.75" customHeight="1" x14ac:dyDescent="0.2">
      <c r="A838" s="21"/>
    </row>
    <row r="839" spans="1:1" ht="15.75" customHeight="1" x14ac:dyDescent="0.2">
      <c r="A839" s="21"/>
    </row>
    <row r="840" spans="1:1" ht="15.75" customHeight="1" x14ac:dyDescent="0.2">
      <c r="A840" s="21"/>
    </row>
    <row r="841" spans="1:1" ht="15.75" customHeight="1" x14ac:dyDescent="0.2">
      <c r="A841" s="21"/>
    </row>
    <row r="842" spans="1:1" ht="15.75" customHeight="1" x14ac:dyDescent="0.2">
      <c r="A842" s="21"/>
    </row>
    <row r="843" spans="1:1" ht="15.75" customHeight="1" x14ac:dyDescent="0.2">
      <c r="A843" s="21"/>
    </row>
    <row r="844" spans="1:1" ht="15.75" customHeight="1" x14ac:dyDescent="0.2">
      <c r="A844" s="21"/>
    </row>
    <row r="845" spans="1:1" ht="15.75" customHeight="1" x14ac:dyDescent="0.2">
      <c r="A845" s="21"/>
    </row>
    <row r="846" spans="1:1" ht="15.75" customHeight="1" x14ac:dyDescent="0.2">
      <c r="A846" s="21"/>
    </row>
    <row r="847" spans="1:1" ht="15.75" customHeight="1" x14ac:dyDescent="0.2">
      <c r="A847" s="21"/>
    </row>
    <row r="848" spans="1:1" ht="15.75" customHeight="1" x14ac:dyDescent="0.2">
      <c r="A848" s="21"/>
    </row>
    <row r="849" spans="1:1" ht="15.75" customHeight="1" x14ac:dyDescent="0.2">
      <c r="A849" s="21"/>
    </row>
    <row r="850" spans="1:1" ht="15.75" customHeight="1" x14ac:dyDescent="0.2">
      <c r="A850" s="21"/>
    </row>
    <row r="851" spans="1:1" ht="15.75" customHeight="1" x14ac:dyDescent="0.2">
      <c r="A851" s="21"/>
    </row>
    <row r="852" spans="1:1" ht="15.75" customHeight="1" x14ac:dyDescent="0.2">
      <c r="A852" s="21"/>
    </row>
    <row r="853" spans="1:1" ht="15.75" customHeight="1" x14ac:dyDescent="0.2">
      <c r="A853" s="21"/>
    </row>
    <row r="854" spans="1:1" ht="15.75" customHeight="1" x14ac:dyDescent="0.2">
      <c r="A854" s="21"/>
    </row>
    <row r="855" spans="1:1" ht="15.75" customHeight="1" x14ac:dyDescent="0.2">
      <c r="A855" s="21"/>
    </row>
    <row r="856" spans="1:1" ht="15.75" customHeight="1" x14ac:dyDescent="0.2">
      <c r="A856" s="21"/>
    </row>
    <row r="857" spans="1:1" ht="15.75" customHeight="1" x14ac:dyDescent="0.2">
      <c r="A857" s="21"/>
    </row>
    <row r="858" spans="1:1" ht="15.75" customHeight="1" x14ac:dyDescent="0.2">
      <c r="A858" s="21"/>
    </row>
    <row r="859" spans="1:1" ht="15.75" customHeight="1" x14ac:dyDescent="0.2">
      <c r="A859" s="21"/>
    </row>
    <row r="860" spans="1:1" ht="15.75" customHeight="1" x14ac:dyDescent="0.2">
      <c r="A860" s="21"/>
    </row>
    <row r="861" spans="1:1" ht="15.75" customHeight="1" x14ac:dyDescent="0.2">
      <c r="A861" s="21"/>
    </row>
    <row r="862" spans="1:1" ht="15.75" customHeight="1" x14ac:dyDescent="0.2">
      <c r="A862" s="21"/>
    </row>
    <row r="863" spans="1:1" ht="15.75" customHeight="1" x14ac:dyDescent="0.2">
      <c r="A863" s="21"/>
    </row>
    <row r="864" spans="1:1" ht="15.75" customHeight="1" x14ac:dyDescent="0.2">
      <c r="A864" s="21"/>
    </row>
    <row r="865" spans="1:1" ht="15.75" customHeight="1" x14ac:dyDescent="0.2">
      <c r="A865" s="21"/>
    </row>
    <row r="866" spans="1:1" ht="15.75" customHeight="1" x14ac:dyDescent="0.2">
      <c r="A866" s="21"/>
    </row>
    <row r="867" spans="1:1" ht="15.75" customHeight="1" x14ac:dyDescent="0.2">
      <c r="A867" s="21"/>
    </row>
    <row r="868" spans="1:1" ht="15.75" customHeight="1" x14ac:dyDescent="0.2">
      <c r="A868" s="21"/>
    </row>
    <row r="869" spans="1:1" ht="15.75" customHeight="1" x14ac:dyDescent="0.2">
      <c r="A869" s="21"/>
    </row>
    <row r="870" spans="1:1" ht="15.75" customHeight="1" x14ac:dyDescent="0.2">
      <c r="A870" s="21"/>
    </row>
    <row r="871" spans="1:1" ht="15.75" customHeight="1" x14ac:dyDescent="0.2">
      <c r="A871" s="21"/>
    </row>
    <row r="872" spans="1:1" ht="15.75" customHeight="1" x14ac:dyDescent="0.2">
      <c r="A872" s="21"/>
    </row>
    <row r="873" spans="1:1" ht="15.75" customHeight="1" x14ac:dyDescent="0.2">
      <c r="A873" s="21"/>
    </row>
    <row r="874" spans="1:1" ht="15.75" customHeight="1" x14ac:dyDescent="0.2">
      <c r="A874" s="21"/>
    </row>
    <row r="875" spans="1:1" ht="15.75" customHeight="1" x14ac:dyDescent="0.2">
      <c r="A875" s="21"/>
    </row>
    <row r="876" spans="1:1" ht="15.75" customHeight="1" x14ac:dyDescent="0.2">
      <c r="A876" s="21"/>
    </row>
    <row r="877" spans="1:1" ht="15.75" customHeight="1" x14ac:dyDescent="0.2">
      <c r="A877" s="21"/>
    </row>
    <row r="878" spans="1:1" ht="15.75" customHeight="1" x14ac:dyDescent="0.2">
      <c r="A878" s="21"/>
    </row>
    <row r="879" spans="1:1" ht="15.75" customHeight="1" x14ac:dyDescent="0.2">
      <c r="A879" s="21"/>
    </row>
    <row r="880" spans="1:1" ht="15.75" customHeight="1" x14ac:dyDescent="0.2">
      <c r="A880" s="21"/>
    </row>
    <row r="881" spans="1:1" ht="15.75" customHeight="1" x14ac:dyDescent="0.2">
      <c r="A881" s="21"/>
    </row>
    <row r="882" spans="1:1" ht="15.75" customHeight="1" x14ac:dyDescent="0.2">
      <c r="A882" s="21"/>
    </row>
    <row r="883" spans="1:1" ht="15.75" customHeight="1" x14ac:dyDescent="0.2">
      <c r="A883" s="21"/>
    </row>
    <row r="884" spans="1:1" ht="15.75" customHeight="1" x14ac:dyDescent="0.2">
      <c r="A884" s="21"/>
    </row>
    <row r="885" spans="1:1" ht="15.75" customHeight="1" x14ac:dyDescent="0.2">
      <c r="A885" s="21"/>
    </row>
    <row r="886" spans="1:1" ht="15.75" customHeight="1" x14ac:dyDescent="0.2">
      <c r="A886" s="21"/>
    </row>
    <row r="887" spans="1:1" ht="15.75" customHeight="1" x14ac:dyDescent="0.2">
      <c r="A887" s="21"/>
    </row>
    <row r="888" spans="1:1" ht="15.75" customHeight="1" x14ac:dyDescent="0.2">
      <c r="A888" s="21"/>
    </row>
    <row r="889" spans="1:1" ht="15.75" customHeight="1" x14ac:dyDescent="0.2">
      <c r="A889" s="21"/>
    </row>
    <row r="890" spans="1:1" ht="15.75" customHeight="1" x14ac:dyDescent="0.2">
      <c r="A890" s="21"/>
    </row>
    <row r="891" spans="1:1" ht="15.75" customHeight="1" x14ac:dyDescent="0.2">
      <c r="A891" s="21"/>
    </row>
    <row r="892" spans="1:1" ht="15.75" customHeight="1" x14ac:dyDescent="0.2">
      <c r="A892" s="21"/>
    </row>
    <row r="893" spans="1:1" ht="15.75" customHeight="1" x14ac:dyDescent="0.2">
      <c r="A893" s="21"/>
    </row>
    <row r="894" spans="1:1" ht="15.75" customHeight="1" x14ac:dyDescent="0.2">
      <c r="A894" s="21"/>
    </row>
    <row r="895" spans="1:1" ht="15.75" customHeight="1" x14ac:dyDescent="0.2">
      <c r="A895" s="21"/>
    </row>
    <row r="896" spans="1:1" ht="15.75" customHeight="1" x14ac:dyDescent="0.2">
      <c r="A896" s="21"/>
    </row>
    <row r="897" spans="1:1" ht="15.75" customHeight="1" x14ac:dyDescent="0.2">
      <c r="A897" s="21"/>
    </row>
    <row r="898" spans="1:1" ht="15.75" customHeight="1" x14ac:dyDescent="0.2">
      <c r="A898" s="21"/>
    </row>
    <row r="899" spans="1:1" ht="15.75" customHeight="1" x14ac:dyDescent="0.2">
      <c r="A899" s="21"/>
    </row>
    <row r="900" spans="1:1" ht="15.75" customHeight="1" x14ac:dyDescent="0.2">
      <c r="A900" s="21"/>
    </row>
    <row r="901" spans="1:1" ht="15.75" customHeight="1" x14ac:dyDescent="0.2">
      <c r="A901" s="21"/>
    </row>
    <row r="902" spans="1:1" ht="15.75" customHeight="1" x14ac:dyDescent="0.2">
      <c r="A902" s="21"/>
    </row>
    <row r="903" spans="1:1" ht="15.75" customHeight="1" x14ac:dyDescent="0.2">
      <c r="A903" s="21"/>
    </row>
    <row r="904" spans="1:1" ht="15.75" customHeight="1" x14ac:dyDescent="0.2">
      <c r="A904" s="21"/>
    </row>
    <row r="905" spans="1:1" ht="15.75" customHeight="1" x14ac:dyDescent="0.2">
      <c r="A905" s="21"/>
    </row>
    <row r="906" spans="1:1" ht="15.75" customHeight="1" x14ac:dyDescent="0.2">
      <c r="A906" s="21"/>
    </row>
    <row r="907" spans="1:1" ht="15.75" customHeight="1" x14ac:dyDescent="0.2">
      <c r="A907" s="21"/>
    </row>
    <row r="908" spans="1:1" ht="15.75" customHeight="1" x14ac:dyDescent="0.2">
      <c r="A908" s="21"/>
    </row>
    <row r="909" spans="1:1" ht="15.75" customHeight="1" x14ac:dyDescent="0.2">
      <c r="A909" s="21"/>
    </row>
    <row r="910" spans="1:1" ht="15.75" customHeight="1" x14ac:dyDescent="0.2">
      <c r="A910" s="21"/>
    </row>
    <row r="911" spans="1:1" ht="15.75" customHeight="1" x14ac:dyDescent="0.2">
      <c r="A911" s="21"/>
    </row>
    <row r="912" spans="1:1" ht="15.75" customHeight="1" x14ac:dyDescent="0.2">
      <c r="A912" s="21"/>
    </row>
    <row r="913" spans="1:1" ht="15.75" customHeight="1" x14ac:dyDescent="0.2">
      <c r="A913" s="21"/>
    </row>
    <row r="914" spans="1:1" ht="15.75" customHeight="1" x14ac:dyDescent="0.2">
      <c r="A914" s="21"/>
    </row>
    <row r="915" spans="1:1" ht="15.75" customHeight="1" x14ac:dyDescent="0.2">
      <c r="A915" s="21"/>
    </row>
    <row r="916" spans="1:1" ht="15.75" customHeight="1" x14ac:dyDescent="0.2">
      <c r="A916" s="21"/>
    </row>
    <row r="917" spans="1:1" ht="15.75" customHeight="1" x14ac:dyDescent="0.2">
      <c r="A917" s="21"/>
    </row>
    <row r="918" spans="1:1" ht="15.75" customHeight="1" x14ac:dyDescent="0.2">
      <c r="A918" s="21"/>
    </row>
    <row r="919" spans="1:1" ht="15.75" customHeight="1" x14ac:dyDescent="0.2">
      <c r="A919" s="21"/>
    </row>
    <row r="920" spans="1:1" ht="15.75" customHeight="1" x14ac:dyDescent="0.2">
      <c r="A920" s="21"/>
    </row>
    <row r="921" spans="1:1" ht="15.75" customHeight="1" x14ac:dyDescent="0.2">
      <c r="A921" s="21"/>
    </row>
    <row r="922" spans="1:1" ht="15.75" customHeight="1" x14ac:dyDescent="0.2">
      <c r="A922" s="21"/>
    </row>
    <row r="923" spans="1:1" ht="15.75" customHeight="1" x14ac:dyDescent="0.2">
      <c r="A923" s="21"/>
    </row>
    <row r="924" spans="1:1" ht="15.75" customHeight="1" x14ac:dyDescent="0.2">
      <c r="A924" s="21"/>
    </row>
    <row r="925" spans="1:1" ht="15.75" customHeight="1" x14ac:dyDescent="0.2">
      <c r="A925" s="21"/>
    </row>
    <row r="926" spans="1:1" ht="15.75" customHeight="1" x14ac:dyDescent="0.2">
      <c r="A926" s="21"/>
    </row>
    <row r="927" spans="1:1" ht="15.75" customHeight="1" x14ac:dyDescent="0.2">
      <c r="A927" s="21"/>
    </row>
    <row r="928" spans="1:1" ht="15.75" customHeight="1" x14ac:dyDescent="0.2">
      <c r="A928" s="21"/>
    </row>
    <row r="929" spans="1:1" ht="15.75" customHeight="1" x14ac:dyDescent="0.2">
      <c r="A929" s="21"/>
    </row>
    <row r="930" spans="1:1" ht="15.75" customHeight="1" x14ac:dyDescent="0.2">
      <c r="A930" s="21"/>
    </row>
    <row r="931" spans="1:1" ht="15.75" customHeight="1" x14ac:dyDescent="0.2">
      <c r="A931" s="21"/>
    </row>
    <row r="932" spans="1:1" ht="15.75" customHeight="1" x14ac:dyDescent="0.2">
      <c r="A932" s="21"/>
    </row>
    <row r="933" spans="1:1" ht="15.75" customHeight="1" x14ac:dyDescent="0.2">
      <c r="A933" s="21"/>
    </row>
    <row r="934" spans="1:1" ht="15.75" customHeight="1" x14ac:dyDescent="0.2">
      <c r="A934" s="21"/>
    </row>
    <row r="935" spans="1:1" ht="15.75" customHeight="1" x14ac:dyDescent="0.2">
      <c r="A935" s="21"/>
    </row>
    <row r="936" spans="1:1" ht="15.75" customHeight="1" x14ac:dyDescent="0.2">
      <c r="A936" s="21"/>
    </row>
    <row r="937" spans="1:1" ht="15.75" customHeight="1" x14ac:dyDescent="0.2">
      <c r="A937" s="21"/>
    </row>
    <row r="938" spans="1:1" ht="15.75" customHeight="1" x14ac:dyDescent="0.2">
      <c r="A938" s="21"/>
    </row>
    <row r="939" spans="1:1" ht="15.75" customHeight="1" x14ac:dyDescent="0.2">
      <c r="A939" s="21"/>
    </row>
    <row r="940" spans="1:1" ht="15.75" customHeight="1" x14ac:dyDescent="0.2">
      <c r="A940" s="21"/>
    </row>
    <row r="941" spans="1:1" ht="15.75" customHeight="1" x14ac:dyDescent="0.2">
      <c r="A941" s="21"/>
    </row>
    <row r="942" spans="1:1" ht="15.75" customHeight="1" x14ac:dyDescent="0.2">
      <c r="A942" s="21"/>
    </row>
    <row r="943" spans="1:1" ht="15.75" customHeight="1" x14ac:dyDescent="0.2">
      <c r="A943" s="21"/>
    </row>
    <row r="944" spans="1:1" ht="15.75" customHeight="1" x14ac:dyDescent="0.2">
      <c r="A944" s="21"/>
    </row>
    <row r="945" spans="1:1" ht="15.75" customHeight="1" x14ac:dyDescent="0.2">
      <c r="A945" s="21"/>
    </row>
    <row r="946" spans="1:1" ht="15.75" customHeight="1" x14ac:dyDescent="0.2">
      <c r="A946" s="21"/>
    </row>
    <row r="947" spans="1:1" ht="15.75" customHeight="1" x14ac:dyDescent="0.2">
      <c r="A947" s="21"/>
    </row>
    <row r="948" spans="1:1" ht="15.75" customHeight="1" x14ac:dyDescent="0.2">
      <c r="A948" s="21"/>
    </row>
    <row r="949" spans="1:1" ht="15.75" customHeight="1" x14ac:dyDescent="0.2">
      <c r="A949" s="21"/>
    </row>
    <row r="950" spans="1:1" ht="15.75" customHeight="1" x14ac:dyDescent="0.2">
      <c r="A950" s="21"/>
    </row>
    <row r="951" spans="1:1" ht="15.75" customHeight="1" x14ac:dyDescent="0.2">
      <c r="A951" s="21"/>
    </row>
    <row r="952" spans="1:1" ht="15.75" customHeight="1" x14ac:dyDescent="0.2">
      <c r="A952" s="21"/>
    </row>
    <row r="953" spans="1:1" ht="15.75" customHeight="1" x14ac:dyDescent="0.2">
      <c r="A953" s="21"/>
    </row>
    <row r="954" spans="1:1" ht="15.75" customHeight="1" x14ac:dyDescent="0.2">
      <c r="A954" s="21"/>
    </row>
    <row r="955" spans="1:1" ht="15.75" customHeight="1" x14ac:dyDescent="0.2">
      <c r="A955" s="21"/>
    </row>
    <row r="956" spans="1:1" ht="15.75" customHeight="1" x14ac:dyDescent="0.2">
      <c r="A956" s="21"/>
    </row>
    <row r="957" spans="1:1" ht="15.75" customHeight="1" x14ac:dyDescent="0.2">
      <c r="A957" s="21"/>
    </row>
    <row r="958" spans="1:1" ht="15.75" customHeight="1" x14ac:dyDescent="0.2">
      <c r="A958" s="21"/>
    </row>
    <row r="959" spans="1:1" ht="15.75" customHeight="1" x14ac:dyDescent="0.2">
      <c r="A959" s="21"/>
    </row>
    <row r="960" spans="1:1" ht="15.75" customHeight="1" x14ac:dyDescent="0.2">
      <c r="A960" s="21"/>
    </row>
    <row r="961" spans="1:1" ht="15.75" customHeight="1" x14ac:dyDescent="0.2">
      <c r="A961" s="21"/>
    </row>
    <row r="962" spans="1:1" ht="15.75" customHeight="1" x14ac:dyDescent="0.2">
      <c r="A962" s="21"/>
    </row>
    <row r="963" spans="1:1" ht="15.75" customHeight="1" x14ac:dyDescent="0.2">
      <c r="A963" s="21"/>
    </row>
    <row r="964" spans="1:1" ht="15.75" customHeight="1" x14ac:dyDescent="0.2">
      <c r="A964" s="21"/>
    </row>
    <row r="965" spans="1:1" ht="15.75" customHeight="1" x14ac:dyDescent="0.2">
      <c r="A965" s="21"/>
    </row>
    <row r="966" spans="1:1" ht="15.75" customHeight="1" x14ac:dyDescent="0.2">
      <c r="A966" s="21"/>
    </row>
    <row r="967" spans="1:1" ht="15.75" customHeight="1" x14ac:dyDescent="0.2">
      <c r="A967" s="21"/>
    </row>
    <row r="968" spans="1:1" ht="15.75" customHeight="1" x14ac:dyDescent="0.2">
      <c r="A968" s="21"/>
    </row>
    <row r="969" spans="1:1" ht="15.75" customHeight="1" x14ac:dyDescent="0.2">
      <c r="A969" s="21"/>
    </row>
    <row r="970" spans="1:1" ht="15.75" customHeight="1" x14ac:dyDescent="0.2">
      <c r="A970" s="21"/>
    </row>
    <row r="971" spans="1:1" ht="15.75" customHeight="1" x14ac:dyDescent="0.2">
      <c r="A971" s="21"/>
    </row>
    <row r="972" spans="1:1" ht="15.75" customHeight="1" x14ac:dyDescent="0.2">
      <c r="A972" s="21"/>
    </row>
    <row r="973" spans="1:1" ht="15.75" customHeight="1" x14ac:dyDescent="0.2">
      <c r="A973" s="21"/>
    </row>
    <row r="974" spans="1:1" ht="15.75" customHeight="1" x14ac:dyDescent="0.2">
      <c r="A974" s="21"/>
    </row>
    <row r="975" spans="1:1" ht="15.75" customHeight="1" x14ac:dyDescent="0.2">
      <c r="A975" s="21"/>
    </row>
    <row r="976" spans="1:1" ht="15.75" customHeight="1" x14ac:dyDescent="0.2">
      <c r="A976" s="21"/>
    </row>
    <row r="977" spans="1:1" ht="15.75" customHeight="1" x14ac:dyDescent="0.2">
      <c r="A977" s="21"/>
    </row>
    <row r="978" spans="1:1" ht="15.75" customHeight="1" x14ac:dyDescent="0.2">
      <c r="A978" s="21"/>
    </row>
    <row r="979" spans="1:1" ht="15.75" customHeight="1" x14ac:dyDescent="0.2">
      <c r="A979" s="21"/>
    </row>
    <row r="980" spans="1:1" ht="15.75" customHeight="1" x14ac:dyDescent="0.2">
      <c r="A980" s="21"/>
    </row>
    <row r="981" spans="1:1" ht="15.75" customHeight="1" x14ac:dyDescent="0.2">
      <c r="A981" s="21"/>
    </row>
    <row r="982" spans="1:1" ht="15.75" customHeight="1" x14ac:dyDescent="0.2">
      <c r="A982" s="21"/>
    </row>
    <row r="983" spans="1:1" ht="15.75" customHeight="1" x14ac:dyDescent="0.2">
      <c r="A983" s="21"/>
    </row>
    <row r="984" spans="1:1" ht="15.75" customHeight="1" x14ac:dyDescent="0.2">
      <c r="A984" s="21"/>
    </row>
    <row r="985" spans="1:1" ht="15.75" customHeight="1" x14ac:dyDescent="0.2">
      <c r="A985" s="21"/>
    </row>
    <row r="986" spans="1:1" ht="15.75" customHeight="1" x14ac:dyDescent="0.2">
      <c r="A986" s="21"/>
    </row>
    <row r="987" spans="1:1" ht="15.75" customHeight="1" x14ac:dyDescent="0.2">
      <c r="A987" s="21"/>
    </row>
    <row r="988" spans="1:1" ht="15.75" customHeight="1" x14ac:dyDescent="0.2">
      <c r="A988" s="21"/>
    </row>
    <row r="989" spans="1:1" ht="15.75" customHeight="1" x14ac:dyDescent="0.2">
      <c r="A989" s="21"/>
    </row>
    <row r="990" spans="1:1" ht="15.75" customHeight="1" x14ac:dyDescent="0.2">
      <c r="A990" s="21"/>
    </row>
    <row r="991" spans="1:1" ht="15.75" customHeight="1" x14ac:dyDescent="0.2">
      <c r="A991" s="21"/>
    </row>
    <row r="992" spans="1:1" ht="15.75" customHeight="1" x14ac:dyDescent="0.2">
      <c r="A992" s="21"/>
    </row>
    <row r="993" spans="1:1" ht="15.75" customHeight="1" x14ac:dyDescent="0.2">
      <c r="A993" s="21"/>
    </row>
    <row r="994" spans="1:1" ht="15.75" customHeight="1" x14ac:dyDescent="0.2">
      <c r="A994" s="21"/>
    </row>
    <row r="995" spans="1:1" ht="15.75" customHeight="1" x14ac:dyDescent="0.2">
      <c r="A995" s="21"/>
    </row>
    <row r="996" spans="1:1" ht="15.75" customHeight="1" x14ac:dyDescent="0.2">
      <c r="A996" s="21"/>
    </row>
    <row r="997" spans="1:1" ht="15.75" customHeight="1" x14ac:dyDescent="0.2">
      <c r="A997" s="21"/>
    </row>
    <row r="998" spans="1:1" ht="15.75" customHeight="1" x14ac:dyDescent="0.2">
      <c r="A998" s="21"/>
    </row>
    <row r="999" spans="1:1" ht="15.75" customHeight="1" x14ac:dyDescent="0.2">
      <c r="A999" s="21"/>
    </row>
    <row r="1000" spans="1:1" ht="15.75" customHeight="1" x14ac:dyDescent="0.2">
      <c r="A1000" s="21"/>
    </row>
    <row r="1001" spans="1:1" ht="15.75" customHeight="1" x14ac:dyDescent="0.2">
      <c r="A1001" s="21"/>
    </row>
    <row r="1002" spans="1:1" ht="15.75" customHeight="1" x14ac:dyDescent="0.2">
      <c r="A1002" s="2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B</dc:creator>
  <cp:lastModifiedBy>Microsoft Office User</cp:lastModifiedBy>
  <dcterms:created xsi:type="dcterms:W3CDTF">2022-12-05T18:37:32Z</dcterms:created>
  <dcterms:modified xsi:type="dcterms:W3CDTF">2023-09-16T08:43:11Z</dcterms:modified>
</cp:coreProperties>
</file>