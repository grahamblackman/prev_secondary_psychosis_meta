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4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grahamblackman/Dropbox/Organic_psychosis_prevalence_meta_analysis/analysis_r/scripts/"/>
    </mc:Choice>
  </mc:AlternateContent>
  <xr:revisionPtr revIDLastSave="0" documentId="13_ncr:1_{E66F5960-08A5-4C49-89ED-832219B27DA0}" xr6:coauthVersionLast="47" xr6:coauthVersionMax="47" xr10:uidLastSave="{00000000-0000-0000-0000-000000000000}"/>
  <bookViews>
    <workbookView xWindow="-21600" yWindow="-12540" windowWidth="21600" windowHeight="38400" activeTab="2" xr2:uid="{21CA1231-70C7-4798-BDFD-E39A419BD412}"/>
  </bookViews>
  <sheets>
    <sheet name="Sheet1" sheetId="1" r:id="rId1"/>
    <sheet name="key" sheetId="2" r:id="rId2"/>
    <sheet name="data" sheetId="3" r:id="rId3"/>
  </sheets>
  <definedNames>
    <definedName name="_xlnm._FilterDatabase" localSheetId="0" hidden="1">Sheet1!$A$1:$GZ$26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3" i="3" l="1"/>
  <c r="X3" i="3"/>
  <c r="Y3" i="3"/>
  <c r="Z3" i="3"/>
  <c r="AA3" i="3"/>
  <c r="AB3" i="3"/>
  <c r="AC3" i="3"/>
  <c r="AD3" i="3"/>
  <c r="AE3" i="3"/>
  <c r="AF3" i="3"/>
  <c r="AG3" i="3"/>
  <c r="AH3" i="3"/>
  <c r="AI3" i="3"/>
  <c r="AJ3" i="3"/>
  <c r="AK3" i="3"/>
  <c r="W4" i="3"/>
  <c r="X4" i="3"/>
  <c r="Y4" i="3"/>
  <c r="Z4" i="3"/>
  <c r="AA4" i="3"/>
  <c r="AB4" i="3"/>
  <c r="AC4" i="3"/>
  <c r="AD4" i="3"/>
  <c r="AE4" i="3"/>
  <c r="AF4" i="3"/>
  <c r="AG4" i="3"/>
  <c r="AH4" i="3"/>
  <c r="AI4" i="3"/>
  <c r="AJ4" i="3"/>
  <c r="AK4" i="3"/>
  <c r="W5" i="3"/>
  <c r="X5" i="3"/>
  <c r="Y5" i="3"/>
  <c r="Z5" i="3"/>
  <c r="AA5" i="3"/>
  <c r="AB5" i="3"/>
  <c r="AC5" i="3"/>
  <c r="AD5" i="3"/>
  <c r="AE5" i="3"/>
  <c r="AF5" i="3"/>
  <c r="AG5" i="3"/>
  <c r="AH5" i="3"/>
  <c r="AI5" i="3"/>
  <c r="AJ5" i="3"/>
  <c r="AK5" i="3"/>
  <c r="W6" i="3"/>
  <c r="X6" i="3"/>
  <c r="Y6" i="3"/>
  <c r="Z6" i="3"/>
  <c r="AA6" i="3"/>
  <c r="AB6" i="3"/>
  <c r="AC6" i="3"/>
  <c r="AD6" i="3"/>
  <c r="AE6" i="3"/>
  <c r="AF6" i="3"/>
  <c r="AG6" i="3"/>
  <c r="AH6" i="3"/>
  <c r="AI6" i="3"/>
  <c r="AJ6" i="3"/>
  <c r="AK6" i="3"/>
  <c r="W7" i="3"/>
  <c r="X7" i="3"/>
  <c r="Y7" i="3"/>
  <c r="Z7" i="3"/>
  <c r="AA7" i="3"/>
  <c r="AB7" i="3"/>
  <c r="AC7" i="3"/>
  <c r="AD7" i="3"/>
  <c r="AE7" i="3"/>
  <c r="AF7" i="3"/>
  <c r="AG7" i="3"/>
  <c r="AH7" i="3"/>
  <c r="AI7" i="3"/>
  <c r="AJ7" i="3"/>
  <c r="AK7" i="3"/>
  <c r="W8" i="3"/>
  <c r="X8" i="3"/>
  <c r="Y8" i="3"/>
  <c r="Z8" i="3"/>
  <c r="AA8" i="3"/>
  <c r="AB8" i="3"/>
  <c r="AC8" i="3"/>
  <c r="AD8" i="3"/>
  <c r="AE8" i="3"/>
  <c r="AF8" i="3"/>
  <c r="AG8" i="3"/>
  <c r="AH8" i="3"/>
  <c r="AI8" i="3"/>
  <c r="AJ8" i="3"/>
  <c r="AK8" i="3"/>
  <c r="W9" i="3"/>
  <c r="X9" i="3"/>
  <c r="Y9" i="3"/>
  <c r="Z9" i="3"/>
  <c r="AA9" i="3"/>
  <c r="AB9" i="3"/>
  <c r="AC9" i="3"/>
  <c r="AD9" i="3"/>
  <c r="AE9" i="3"/>
  <c r="AF9" i="3"/>
  <c r="AG9" i="3"/>
  <c r="AH9" i="3"/>
  <c r="AI9" i="3"/>
  <c r="AJ9" i="3"/>
  <c r="AK9" i="3"/>
  <c r="W10" i="3"/>
  <c r="X10" i="3"/>
  <c r="Y10" i="3"/>
  <c r="Z10" i="3"/>
  <c r="AA10" i="3"/>
  <c r="AB10" i="3"/>
  <c r="AC10" i="3"/>
  <c r="AD10" i="3"/>
  <c r="AE10" i="3"/>
  <c r="AF10" i="3"/>
  <c r="AG10" i="3"/>
  <c r="AH10" i="3"/>
  <c r="AI10" i="3"/>
  <c r="AJ10" i="3"/>
  <c r="AK10" i="3"/>
  <c r="W11" i="3"/>
  <c r="X11" i="3"/>
  <c r="Y11" i="3"/>
  <c r="Z11" i="3"/>
  <c r="AA11" i="3"/>
  <c r="AB11" i="3"/>
  <c r="AC11" i="3"/>
  <c r="AD11" i="3"/>
  <c r="AE11" i="3"/>
  <c r="AF11" i="3"/>
  <c r="AG11" i="3"/>
  <c r="AH11" i="3"/>
  <c r="AI11" i="3"/>
  <c r="AJ11" i="3"/>
  <c r="AK11" i="3"/>
  <c r="W12" i="3"/>
  <c r="X12" i="3"/>
  <c r="Y12" i="3"/>
  <c r="Z12" i="3"/>
  <c r="AA12" i="3"/>
  <c r="AB12" i="3"/>
  <c r="AC12" i="3"/>
  <c r="AD12" i="3"/>
  <c r="AE12" i="3"/>
  <c r="AF12" i="3"/>
  <c r="AG12" i="3"/>
  <c r="AH12" i="3"/>
  <c r="AI12" i="3"/>
  <c r="AJ12" i="3"/>
  <c r="AK12" i="3"/>
  <c r="W13" i="3"/>
  <c r="X13" i="3"/>
  <c r="Y13" i="3"/>
  <c r="Z13" i="3"/>
  <c r="AA13" i="3"/>
  <c r="AB13" i="3"/>
  <c r="AC13" i="3"/>
  <c r="AD13" i="3"/>
  <c r="AE13" i="3"/>
  <c r="AF13" i="3"/>
  <c r="AG13" i="3"/>
  <c r="AH13" i="3"/>
  <c r="AI13" i="3"/>
  <c r="AJ13" i="3"/>
  <c r="AK13" i="3"/>
  <c r="W14" i="3"/>
  <c r="X14" i="3"/>
  <c r="Y14" i="3"/>
  <c r="Z14" i="3"/>
  <c r="AA14" i="3"/>
  <c r="AB14" i="3"/>
  <c r="AC14" i="3"/>
  <c r="AD14" i="3"/>
  <c r="AE14" i="3"/>
  <c r="AF14" i="3"/>
  <c r="AG14" i="3"/>
  <c r="AH14" i="3"/>
  <c r="AI14" i="3"/>
  <c r="AJ14" i="3"/>
  <c r="AK14" i="3"/>
  <c r="W15" i="3"/>
  <c r="X15" i="3"/>
  <c r="Y15" i="3"/>
  <c r="Z15" i="3"/>
  <c r="AA15" i="3"/>
  <c r="AB15" i="3"/>
  <c r="AC15" i="3"/>
  <c r="AD15" i="3"/>
  <c r="AE15" i="3"/>
  <c r="AF15" i="3"/>
  <c r="AG15" i="3"/>
  <c r="AH15" i="3"/>
  <c r="AI15" i="3"/>
  <c r="AJ15" i="3"/>
  <c r="AK15" i="3"/>
  <c r="W16" i="3"/>
  <c r="X16" i="3"/>
  <c r="Y16" i="3"/>
  <c r="Z16" i="3"/>
  <c r="AA16" i="3"/>
  <c r="AB16" i="3"/>
  <c r="AC16" i="3"/>
  <c r="AD16" i="3"/>
  <c r="AE16" i="3"/>
  <c r="AF16" i="3"/>
  <c r="AG16" i="3"/>
  <c r="AH16" i="3"/>
  <c r="AI16" i="3"/>
  <c r="AJ16" i="3"/>
  <c r="AK16" i="3"/>
  <c r="W17" i="3"/>
  <c r="X17" i="3"/>
  <c r="Y17" i="3"/>
  <c r="Z17" i="3"/>
  <c r="AA17" i="3"/>
  <c r="AB17" i="3"/>
  <c r="AC17" i="3"/>
  <c r="AD17" i="3"/>
  <c r="AE17" i="3"/>
  <c r="AF17" i="3"/>
  <c r="AG17" i="3"/>
  <c r="AH17" i="3"/>
  <c r="AI17" i="3"/>
  <c r="AJ17" i="3"/>
  <c r="AK17" i="3"/>
  <c r="W18" i="3"/>
  <c r="X18" i="3"/>
  <c r="Y18" i="3"/>
  <c r="Z18" i="3"/>
  <c r="AA18" i="3"/>
  <c r="AB18" i="3"/>
  <c r="AC18" i="3"/>
  <c r="AD18" i="3"/>
  <c r="AE18" i="3"/>
  <c r="AF18" i="3"/>
  <c r="AG18" i="3"/>
  <c r="AH18" i="3"/>
  <c r="AI18" i="3"/>
  <c r="AJ18" i="3"/>
  <c r="AK18" i="3"/>
  <c r="W19" i="3"/>
  <c r="X19" i="3"/>
  <c r="Y19" i="3"/>
  <c r="Z19" i="3"/>
  <c r="AA19" i="3"/>
  <c r="AB19" i="3"/>
  <c r="AC19" i="3"/>
  <c r="AD19" i="3"/>
  <c r="AE19" i="3"/>
  <c r="AF19" i="3"/>
  <c r="AG19" i="3"/>
  <c r="AH19" i="3"/>
  <c r="AI19" i="3"/>
  <c r="AJ19" i="3"/>
  <c r="AK19" i="3"/>
  <c r="W20" i="3"/>
  <c r="X20" i="3"/>
  <c r="Y20" i="3"/>
  <c r="Z20" i="3"/>
  <c r="AA20" i="3"/>
  <c r="AB20" i="3"/>
  <c r="AC20" i="3"/>
  <c r="AD20" i="3"/>
  <c r="AE20" i="3"/>
  <c r="AF20" i="3"/>
  <c r="AG20" i="3"/>
  <c r="AH20" i="3"/>
  <c r="AI20" i="3"/>
  <c r="AJ20" i="3"/>
  <c r="AK20" i="3"/>
  <c r="W21" i="3"/>
  <c r="X21" i="3"/>
  <c r="Y21" i="3"/>
  <c r="Z21" i="3"/>
  <c r="AA21" i="3"/>
  <c r="AB21" i="3"/>
  <c r="AC21" i="3"/>
  <c r="AD21" i="3"/>
  <c r="AE21" i="3"/>
  <c r="AF21" i="3"/>
  <c r="AG21" i="3"/>
  <c r="AH21" i="3"/>
  <c r="AI21" i="3"/>
  <c r="AJ21" i="3"/>
  <c r="AK21" i="3"/>
  <c r="W22" i="3"/>
  <c r="X22" i="3"/>
  <c r="Y22" i="3"/>
  <c r="Z22" i="3"/>
  <c r="AA22" i="3"/>
  <c r="AB22" i="3"/>
  <c r="AC22" i="3"/>
  <c r="AD22" i="3"/>
  <c r="AE22" i="3"/>
  <c r="AF22" i="3"/>
  <c r="AG22" i="3"/>
  <c r="AH22" i="3"/>
  <c r="AI22" i="3"/>
  <c r="AJ22" i="3"/>
  <c r="AK22" i="3"/>
  <c r="W23" i="3"/>
  <c r="X23" i="3"/>
  <c r="Y23" i="3"/>
  <c r="Z23" i="3"/>
  <c r="AA23" i="3"/>
  <c r="AB23" i="3"/>
  <c r="AC23" i="3"/>
  <c r="AD23" i="3"/>
  <c r="AE23" i="3"/>
  <c r="AF23" i="3"/>
  <c r="AG23" i="3"/>
  <c r="AH23" i="3"/>
  <c r="AI23" i="3"/>
  <c r="AJ23" i="3"/>
  <c r="AK23" i="3"/>
  <c r="W24" i="3"/>
  <c r="X24" i="3"/>
  <c r="Y24" i="3"/>
  <c r="Z24" i="3"/>
  <c r="AA24" i="3"/>
  <c r="AB24" i="3"/>
  <c r="AC24" i="3"/>
  <c r="AD24" i="3"/>
  <c r="AE24" i="3"/>
  <c r="AF24" i="3"/>
  <c r="AG24" i="3"/>
  <c r="AH24" i="3"/>
  <c r="AI24" i="3"/>
  <c r="AJ24" i="3"/>
  <c r="AK24" i="3"/>
  <c r="W25" i="3"/>
  <c r="X25" i="3"/>
  <c r="Y25" i="3"/>
  <c r="Z25" i="3"/>
  <c r="AA25" i="3"/>
  <c r="AB25" i="3"/>
  <c r="AC25" i="3"/>
  <c r="AD25" i="3"/>
  <c r="AE25" i="3"/>
  <c r="AF25" i="3"/>
  <c r="AG25" i="3"/>
  <c r="AH25" i="3"/>
  <c r="AI25" i="3"/>
  <c r="AJ25" i="3"/>
  <c r="AK25" i="3"/>
  <c r="W26" i="3"/>
  <c r="X26" i="3"/>
  <c r="Y26" i="3"/>
  <c r="Z26" i="3"/>
  <c r="AA26" i="3"/>
  <c r="AB26" i="3"/>
  <c r="AC26" i="3"/>
  <c r="AD26" i="3"/>
  <c r="AE26" i="3"/>
  <c r="AF26" i="3"/>
  <c r="AG26" i="3"/>
  <c r="AH26" i="3"/>
  <c r="AI26" i="3"/>
  <c r="AJ26" i="3"/>
  <c r="AK26" i="3"/>
  <c r="AK2" i="3"/>
  <c r="AJ2" i="3"/>
  <c r="AI2" i="3"/>
  <c r="AH2" i="3"/>
  <c r="AG2" i="3"/>
  <c r="AF2" i="3"/>
  <c r="AE2" i="3"/>
  <c r="AD2" i="3"/>
  <c r="AC2" i="3"/>
  <c r="AB2" i="3"/>
  <c r="AA2" i="3"/>
  <c r="Z2" i="3"/>
  <c r="Y2" i="3"/>
  <c r="X2" i="3"/>
  <c r="W2" i="3"/>
  <c r="J6" i="3"/>
  <c r="C3" i="3"/>
  <c r="D3" i="3"/>
  <c r="E3" i="3"/>
  <c r="F3" i="3"/>
  <c r="G3" i="3"/>
  <c r="H3" i="3"/>
  <c r="I3" i="3"/>
  <c r="J3" i="3"/>
  <c r="K3" i="3"/>
  <c r="L3" i="3"/>
  <c r="M3" i="3"/>
  <c r="N3" i="3"/>
  <c r="O3" i="3"/>
  <c r="P3" i="3"/>
  <c r="Q3" i="3"/>
  <c r="R3" i="3"/>
  <c r="S3" i="3"/>
  <c r="T3" i="3"/>
  <c r="U3" i="3"/>
  <c r="V3" i="3"/>
  <c r="AL3" i="3"/>
  <c r="AM3" i="3"/>
  <c r="AN3" i="3"/>
  <c r="AO3" i="3"/>
  <c r="AP3" i="3"/>
  <c r="AQ3" i="3"/>
  <c r="AR3" i="3"/>
  <c r="AS3" i="3"/>
  <c r="AT3" i="3"/>
  <c r="AU3" i="3"/>
  <c r="AV3" i="3"/>
  <c r="AW3" i="3"/>
  <c r="AX3" i="3"/>
  <c r="AY3" i="3"/>
  <c r="AZ3" i="3"/>
  <c r="BA3" i="3"/>
  <c r="BB3" i="3"/>
  <c r="BC3" i="3"/>
  <c r="C4" i="3"/>
  <c r="D4" i="3"/>
  <c r="E4" i="3"/>
  <c r="F4" i="3"/>
  <c r="G4" i="3"/>
  <c r="H4" i="3"/>
  <c r="I4" i="3"/>
  <c r="J4" i="3"/>
  <c r="K4" i="3"/>
  <c r="L4" i="3"/>
  <c r="M4" i="3"/>
  <c r="N4" i="3"/>
  <c r="O4" i="3"/>
  <c r="P4" i="3"/>
  <c r="Q4" i="3"/>
  <c r="R4" i="3"/>
  <c r="S4" i="3"/>
  <c r="T4" i="3"/>
  <c r="U4" i="3"/>
  <c r="V4" i="3"/>
  <c r="AL4" i="3"/>
  <c r="AM4" i="3"/>
  <c r="AN4" i="3"/>
  <c r="AO4" i="3"/>
  <c r="AP4" i="3"/>
  <c r="AQ4" i="3"/>
  <c r="AR4" i="3"/>
  <c r="AS4" i="3"/>
  <c r="AT4" i="3"/>
  <c r="AU4" i="3"/>
  <c r="AV4" i="3"/>
  <c r="AW4" i="3"/>
  <c r="AX4" i="3"/>
  <c r="AY4" i="3"/>
  <c r="AZ4" i="3"/>
  <c r="BA4" i="3"/>
  <c r="BB4" i="3"/>
  <c r="BC4" i="3"/>
  <c r="C5" i="3"/>
  <c r="D5" i="3"/>
  <c r="E5" i="3"/>
  <c r="F5" i="3"/>
  <c r="G5" i="3"/>
  <c r="H5" i="3"/>
  <c r="I5" i="3"/>
  <c r="J5" i="3"/>
  <c r="K5" i="3"/>
  <c r="L5" i="3"/>
  <c r="M5" i="3"/>
  <c r="N5" i="3"/>
  <c r="O5" i="3"/>
  <c r="P5" i="3"/>
  <c r="Q5" i="3"/>
  <c r="R5" i="3"/>
  <c r="S5" i="3"/>
  <c r="T5" i="3"/>
  <c r="U5" i="3"/>
  <c r="V5" i="3"/>
  <c r="AL5" i="3"/>
  <c r="AM5" i="3"/>
  <c r="AN5" i="3"/>
  <c r="AO5" i="3"/>
  <c r="AP5" i="3"/>
  <c r="AQ5" i="3"/>
  <c r="AR5" i="3"/>
  <c r="AS5" i="3"/>
  <c r="AT5" i="3"/>
  <c r="AU5" i="3"/>
  <c r="AV5" i="3"/>
  <c r="AW5" i="3"/>
  <c r="AX5" i="3"/>
  <c r="AY5" i="3"/>
  <c r="AZ5" i="3"/>
  <c r="BA5" i="3"/>
  <c r="BB5" i="3"/>
  <c r="BC5" i="3"/>
  <c r="C6" i="3"/>
  <c r="D6" i="3"/>
  <c r="E6" i="3"/>
  <c r="F6" i="3"/>
  <c r="G6" i="3"/>
  <c r="H6" i="3"/>
  <c r="I6" i="3"/>
  <c r="K6" i="3"/>
  <c r="L6" i="3"/>
  <c r="M6" i="3"/>
  <c r="N6" i="3"/>
  <c r="O6" i="3"/>
  <c r="P6" i="3"/>
  <c r="Q6" i="3"/>
  <c r="R6" i="3"/>
  <c r="S6" i="3"/>
  <c r="T6" i="3"/>
  <c r="U6" i="3"/>
  <c r="V6" i="3"/>
  <c r="AL6" i="3"/>
  <c r="AM6" i="3"/>
  <c r="AN6" i="3"/>
  <c r="AO6" i="3"/>
  <c r="AP6" i="3"/>
  <c r="AQ6" i="3"/>
  <c r="AR6" i="3"/>
  <c r="AS6" i="3"/>
  <c r="AT6" i="3"/>
  <c r="AU6" i="3"/>
  <c r="AV6" i="3"/>
  <c r="AW6" i="3"/>
  <c r="AX6" i="3"/>
  <c r="AY6" i="3"/>
  <c r="AZ6" i="3"/>
  <c r="BA6" i="3"/>
  <c r="BB6" i="3"/>
  <c r="BC6" i="3"/>
  <c r="C7" i="3"/>
  <c r="D7" i="3"/>
  <c r="E7" i="3"/>
  <c r="F7" i="3"/>
  <c r="G7" i="3"/>
  <c r="H7" i="3"/>
  <c r="I7" i="3"/>
  <c r="J7" i="3"/>
  <c r="K7" i="3"/>
  <c r="L7" i="3"/>
  <c r="M7" i="3"/>
  <c r="N7" i="3"/>
  <c r="O7" i="3"/>
  <c r="P7" i="3"/>
  <c r="Q7" i="3"/>
  <c r="R7" i="3"/>
  <c r="S7" i="3"/>
  <c r="T7" i="3"/>
  <c r="U7" i="3"/>
  <c r="V7" i="3"/>
  <c r="AL7" i="3"/>
  <c r="AM7" i="3"/>
  <c r="AN7" i="3"/>
  <c r="AO7" i="3"/>
  <c r="AP7" i="3"/>
  <c r="AQ7" i="3"/>
  <c r="AR7" i="3"/>
  <c r="AS7" i="3"/>
  <c r="AT7" i="3"/>
  <c r="AU7" i="3"/>
  <c r="AV7" i="3"/>
  <c r="AW7" i="3"/>
  <c r="AX7" i="3"/>
  <c r="AY7" i="3"/>
  <c r="AZ7" i="3"/>
  <c r="BA7" i="3"/>
  <c r="BB7" i="3"/>
  <c r="BC7" i="3"/>
  <c r="C8" i="3"/>
  <c r="D8" i="3"/>
  <c r="E8" i="3"/>
  <c r="F8" i="3"/>
  <c r="G8" i="3"/>
  <c r="H8" i="3"/>
  <c r="I8" i="3"/>
  <c r="J8" i="3"/>
  <c r="K8" i="3"/>
  <c r="L8" i="3"/>
  <c r="M8" i="3"/>
  <c r="N8" i="3"/>
  <c r="O8" i="3"/>
  <c r="P8" i="3"/>
  <c r="Q8" i="3"/>
  <c r="R8" i="3"/>
  <c r="S8" i="3"/>
  <c r="T8" i="3"/>
  <c r="U8" i="3"/>
  <c r="V8" i="3"/>
  <c r="AL8" i="3"/>
  <c r="AM8" i="3"/>
  <c r="AN8" i="3"/>
  <c r="AO8" i="3"/>
  <c r="AP8" i="3"/>
  <c r="AQ8" i="3"/>
  <c r="AR8" i="3"/>
  <c r="AS8" i="3"/>
  <c r="AT8" i="3"/>
  <c r="AU8" i="3"/>
  <c r="AV8" i="3"/>
  <c r="AW8" i="3"/>
  <c r="AX8" i="3"/>
  <c r="AY8" i="3"/>
  <c r="AZ8" i="3"/>
  <c r="BA8" i="3"/>
  <c r="BB8" i="3"/>
  <c r="BC8" i="3"/>
  <c r="C9" i="3"/>
  <c r="D9" i="3"/>
  <c r="E9" i="3"/>
  <c r="F9" i="3"/>
  <c r="G9" i="3"/>
  <c r="H9" i="3"/>
  <c r="I9" i="3"/>
  <c r="J9" i="3"/>
  <c r="K9" i="3"/>
  <c r="L9" i="3"/>
  <c r="M9" i="3"/>
  <c r="N9" i="3"/>
  <c r="O9" i="3"/>
  <c r="P9" i="3"/>
  <c r="Q9" i="3"/>
  <c r="R9" i="3"/>
  <c r="S9" i="3"/>
  <c r="T9" i="3"/>
  <c r="U9" i="3"/>
  <c r="V9" i="3"/>
  <c r="AL9" i="3"/>
  <c r="AM9" i="3"/>
  <c r="AN9" i="3"/>
  <c r="AO9" i="3"/>
  <c r="AP9" i="3"/>
  <c r="AQ9" i="3"/>
  <c r="AR9" i="3"/>
  <c r="AS9" i="3"/>
  <c r="AT9" i="3"/>
  <c r="AU9" i="3"/>
  <c r="AV9" i="3"/>
  <c r="AW9" i="3"/>
  <c r="AX9" i="3"/>
  <c r="AY9" i="3"/>
  <c r="AZ9" i="3"/>
  <c r="BA9" i="3"/>
  <c r="BB9" i="3"/>
  <c r="BC9" i="3"/>
  <c r="C10" i="3"/>
  <c r="D10" i="3"/>
  <c r="E10" i="3"/>
  <c r="F10" i="3"/>
  <c r="G10" i="3"/>
  <c r="H10" i="3"/>
  <c r="I10" i="3"/>
  <c r="J10" i="3"/>
  <c r="K10" i="3"/>
  <c r="L10" i="3"/>
  <c r="M10" i="3"/>
  <c r="N10" i="3"/>
  <c r="O10" i="3"/>
  <c r="P10" i="3"/>
  <c r="Q10" i="3"/>
  <c r="R10" i="3"/>
  <c r="S10" i="3"/>
  <c r="T10" i="3"/>
  <c r="U10" i="3"/>
  <c r="V10" i="3"/>
  <c r="AL10" i="3"/>
  <c r="AM10" i="3"/>
  <c r="AN10" i="3"/>
  <c r="AO10" i="3"/>
  <c r="AP10" i="3"/>
  <c r="AQ10" i="3"/>
  <c r="AR10" i="3"/>
  <c r="AS10" i="3"/>
  <c r="AT10" i="3"/>
  <c r="AU10" i="3"/>
  <c r="AV10" i="3"/>
  <c r="AW10" i="3"/>
  <c r="AX10" i="3"/>
  <c r="AY10" i="3"/>
  <c r="AZ10" i="3"/>
  <c r="BA10" i="3"/>
  <c r="BB10" i="3"/>
  <c r="BC10" i="3"/>
  <c r="C11" i="3"/>
  <c r="D11" i="3"/>
  <c r="E11" i="3"/>
  <c r="F11" i="3"/>
  <c r="G11" i="3"/>
  <c r="H11" i="3"/>
  <c r="I11" i="3"/>
  <c r="J11" i="3"/>
  <c r="K11" i="3"/>
  <c r="L11" i="3"/>
  <c r="M11" i="3"/>
  <c r="N11" i="3"/>
  <c r="O11" i="3"/>
  <c r="P11" i="3"/>
  <c r="Q11" i="3"/>
  <c r="R11" i="3"/>
  <c r="S11" i="3"/>
  <c r="T11" i="3"/>
  <c r="U11" i="3"/>
  <c r="V11" i="3"/>
  <c r="AL11" i="3"/>
  <c r="AM11" i="3"/>
  <c r="AN11" i="3"/>
  <c r="AO11" i="3"/>
  <c r="AP11" i="3"/>
  <c r="AQ11" i="3"/>
  <c r="AR11" i="3"/>
  <c r="AS11" i="3"/>
  <c r="AT11" i="3"/>
  <c r="AU11" i="3"/>
  <c r="AV11" i="3"/>
  <c r="AW11" i="3"/>
  <c r="AX11" i="3"/>
  <c r="AY11" i="3"/>
  <c r="AZ11" i="3"/>
  <c r="BA11" i="3"/>
  <c r="BB11" i="3"/>
  <c r="BC11" i="3"/>
  <c r="C12" i="3"/>
  <c r="D12" i="3"/>
  <c r="E12" i="3"/>
  <c r="F12" i="3"/>
  <c r="G12" i="3"/>
  <c r="H12" i="3"/>
  <c r="I12" i="3"/>
  <c r="J12" i="3"/>
  <c r="K12" i="3"/>
  <c r="L12" i="3"/>
  <c r="M12" i="3"/>
  <c r="N12" i="3"/>
  <c r="O12" i="3"/>
  <c r="P12" i="3"/>
  <c r="Q12" i="3"/>
  <c r="R12" i="3"/>
  <c r="S12" i="3"/>
  <c r="T12" i="3"/>
  <c r="U12" i="3"/>
  <c r="V12" i="3"/>
  <c r="AL12" i="3"/>
  <c r="AM12" i="3"/>
  <c r="AN12" i="3"/>
  <c r="AO12" i="3"/>
  <c r="AP12" i="3"/>
  <c r="AQ12" i="3"/>
  <c r="AR12" i="3"/>
  <c r="AS12" i="3"/>
  <c r="AT12" i="3"/>
  <c r="AU12" i="3"/>
  <c r="AV12" i="3"/>
  <c r="AW12" i="3"/>
  <c r="AX12" i="3"/>
  <c r="AY12" i="3"/>
  <c r="AZ12" i="3"/>
  <c r="BA12" i="3"/>
  <c r="BB12" i="3"/>
  <c r="BC12" i="3"/>
  <c r="C13" i="3"/>
  <c r="D13" i="3"/>
  <c r="E13" i="3"/>
  <c r="F13" i="3"/>
  <c r="G13" i="3"/>
  <c r="H13" i="3"/>
  <c r="I13" i="3"/>
  <c r="J13" i="3"/>
  <c r="K13" i="3"/>
  <c r="L13" i="3"/>
  <c r="M13" i="3"/>
  <c r="N13" i="3"/>
  <c r="O13" i="3"/>
  <c r="P13" i="3"/>
  <c r="Q13" i="3"/>
  <c r="R13" i="3"/>
  <c r="S13" i="3"/>
  <c r="T13" i="3"/>
  <c r="U13" i="3"/>
  <c r="V13" i="3"/>
  <c r="AL13" i="3"/>
  <c r="AM13" i="3"/>
  <c r="AN13" i="3"/>
  <c r="AO13" i="3"/>
  <c r="AP13" i="3"/>
  <c r="AQ13" i="3"/>
  <c r="AR13" i="3"/>
  <c r="AS13" i="3"/>
  <c r="AT13" i="3"/>
  <c r="AU13" i="3"/>
  <c r="AV13" i="3"/>
  <c r="AW13" i="3"/>
  <c r="AX13" i="3"/>
  <c r="AY13" i="3"/>
  <c r="AZ13" i="3"/>
  <c r="BA13" i="3"/>
  <c r="BB13" i="3"/>
  <c r="BC13" i="3"/>
  <c r="C14" i="3"/>
  <c r="D14" i="3"/>
  <c r="E14" i="3"/>
  <c r="F14" i="3"/>
  <c r="G14" i="3"/>
  <c r="H14" i="3"/>
  <c r="I14" i="3"/>
  <c r="J14" i="3"/>
  <c r="K14" i="3"/>
  <c r="L14" i="3"/>
  <c r="M14" i="3"/>
  <c r="N14" i="3"/>
  <c r="O14" i="3"/>
  <c r="P14" i="3"/>
  <c r="Q14" i="3"/>
  <c r="R14" i="3"/>
  <c r="S14" i="3"/>
  <c r="T14" i="3"/>
  <c r="U14" i="3"/>
  <c r="V14" i="3"/>
  <c r="AL14" i="3"/>
  <c r="AM14" i="3"/>
  <c r="AN14" i="3"/>
  <c r="AO14" i="3"/>
  <c r="AP14" i="3"/>
  <c r="AQ14" i="3"/>
  <c r="AR14" i="3"/>
  <c r="AS14" i="3"/>
  <c r="AT14" i="3"/>
  <c r="AU14" i="3"/>
  <c r="AV14" i="3"/>
  <c r="AW14" i="3"/>
  <c r="AX14" i="3"/>
  <c r="AY14" i="3"/>
  <c r="AZ14" i="3"/>
  <c r="BA14" i="3"/>
  <c r="BB14" i="3"/>
  <c r="BC14" i="3"/>
  <c r="C15" i="3"/>
  <c r="D15" i="3"/>
  <c r="E15" i="3"/>
  <c r="F15" i="3"/>
  <c r="G15" i="3"/>
  <c r="H15" i="3"/>
  <c r="I15" i="3"/>
  <c r="J15" i="3"/>
  <c r="K15" i="3"/>
  <c r="L15" i="3"/>
  <c r="M15" i="3"/>
  <c r="N15" i="3"/>
  <c r="O15" i="3"/>
  <c r="P15" i="3"/>
  <c r="Q15" i="3"/>
  <c r="R15" i="3"/>
  <c r="S15" i="3"/>
  <c r="T15" i="3"/>
  <c r="U15" i="3"/>
  <c r="V15" i="3"/>
  <c r="AL15" i="3"/>
  <c r="AM15" i="3"/>
  <c r="AN15" i="3"/>
  <c r="AO15" i="3"/>
  <c r="AP15" i="3"/>
  <c r="AQ15" i="3"/>
  <c r="AR15" i="3"/>
  <c r="AS15" i="3"/>
  <c r="AT15" i="3"/>
  <c r="AU15" i="3"/>
  <c r="AV15" i="3"/>
  <c r="AW15" i="3"/>
  <c r="AX15" i="3"/>
  <c r="AY15" i="3"/>
  <c r="AZ15" i="3"/>
  <c r="BA15" i="3"/>
  <c r="BB15" i="3"/>
  <c r="BC15" i="3"/>
  <c r="C16" i="3"/>
  <c r="D16" i="3"/>
  <c r="E16" i="3"/>
  <c r="F16" i="3"/>
  <c r="G16" i="3"/>
  <c r="H16" i="3"/>
  <c r="I16" i="3"/>
  <c r="J16" i="3"/>
  <c r="K16" i="3"/>
  <c r="L16" i="3"/>
  <c r="M16" i="3"/>
  <c r="N16" i="3"/>
  <c r="O16" i="3"/>
  <c r="P16" i="3"/>
  <c r="Q16" i="3"/>
  <c r="R16" i="3"/>
  <c r="S16" i="3"/>
  <c r="T16" i="3"/>
  <c r="U16" i="3"/>
  <c r="V16" i="3"/>
  <c r="AL16" i="3"/>
  <c r="AM16" i="3"/>
  <c r="AN16" i="3"/>
  <c r="AO16" i="3"/>
  <c r="AP16" i="3"/>
  <c r="AQ16" i="3"/>
  <c r="AR16" i="3"/>
  <c r="AS16" i="3"/>
  <c r="AT16" i="3"/>
  <c r="AU16" i="3"/>
  <c r="AV16" i="3"/>
  <c r="AW16" i="3"/>
  <c r="AX16" i="3"/>
  <c r="AY16" i="3"/>
  <c r="AZ16" i="3"/>
  <c r="BA16" i="3"/>
  <c r="BB16" i="3"/>
  <c r="BC16" i="3"/>
  <c r="C17" i="3"/>
  <c r="D17" i="3"/>
  <c r="E17" i="3"/>
  <c r="F17" i="3"/>
  <c r="G17" i="3"/>
  <c r="H17" i="3"/>
  <c r="I17" i="3"/>
  <c r="J17" i="3"/>
  <c r="K17" i="3"/>
  <c r="L17" i="3"/>
  <c r="M17" i="3"/>
  <c r="N17" i="3"/>
  <c r="O17" i="3"/>
  <c r="P17" i="3"/>
  <c r="Q17" i="3"/>
  <c r="R17" i="3"/>
  <c r="S17" i="3"/>
  <c r="T17" i="3"/>
  <c r="U17" i="3"/>
  <c r="V17" i="3"/>
  <c r="AL17" i="3"/>
  <c r="AM17" i="3"/>
  <c r="AN17" i="3"/>
  <c r="AO17" i="3"/>
  <c r="AP17" i="3"/>
  <c r="AQ17" i="3"/>
  <c r="AR17" i="3"/>
  <c r="AS17" i="3"/>
  <c r="AT17" i="3"/>
  <c r="AU17" i="3"/>
  <c r="AV17" i="3"/>
  <c r="AW17" i="3"/>
  <c r="AX17" i="3"/>
  <c r="AY17" i="3"/>
  <c r="AZ17" i="3"/>
  <c r="BA17" i="3"/>
  <c r="BB17" i="3"/>
  <c r="BC17" i="3"/>
  <c r="C18" i="3"/>
  <c r="D18" i="3"/>
  <c r="E18" i="3"/>
  <c r="F18" i="3"/>
  <c r="G18" i="3"/>
  <c r="H18" i="3"/>
  <c r="I18" i="3"/>
  <c r="J18" i="3"/>
  <c r="K18" i="3"/>
  <c r="L18" i="3"/>
  <c r="M18" i="3"/>
  <c r="N18" i="3"/>
  <c r="O18" i="3"/>
  <c r="P18" i="3"/>
  <c r="Q18" i="3"/>
  <c r="R18" i="3"/>
  <c r="S18" i="3"/>
  <c r="T18" i="3"/>
  <c r="U18" i="3"/>
  <c r="V18" i="3"/>
  <c r="AL18" i="3"/>
  <c r="AM18" i="3"/>
  <c r="AN18" i="3"/>
  <c r="AO18" i="3"/>
  <c r="AP18" i="3"/>
  <c r="AQ18" i="3"/>
  <c r="AR18" i="3"/>
  <c r="AS18" i="3"/>
  <c r="AT18" i="3"/>
  <c r="AU18" i="3"/>
  <c r="AV18" i="3"/>
  <c r="AW18" i="3"/>
  <c r="AX18" i="3"/>
  <c r="AY18" i="3"/>
  <c r="AZ18" i="3"/>
  <c r="BA18" i="3"/>
  <c r="BB18" i="3"/>
  <c r="BC18" i="3"/>
  <c r="C19" i="3"/>
  <c r="D19" i="3"/>
  <c r="E19" i="3"/>
  <c r="F19" i="3"/>
  <c r="G19" i="3"/>
  <c r="H19" i="3"/>
  <c r="I19" i="3"/>
  <c r="J19" i="3"/>
  <c r="K19" i="3"/>
  <c r="L19" i="3"/>
  <c r="M19" i="3"/>
  <c r="N19" i="3"/>
  <c r="O19" i="3"/>
  <c r="P19" i="3"/>
  <c r="Q19" i="3"/>
  <c r="R19" i="3"/>
  <c r="S19" i="3"/>
  <c r="T19" i="3"/>
  <c r="U19" i="3"/>
  <c r="V19" i="3"/>
  <c r="AL19" i="3"/>
  <c r="AM19" i="3"/>
  <c r="AN19" i="3"/>
  <c r="AO19" i="3"/>
  <c r="AP19" i="3"/>
  <c r="AQ19" i="3"/>
  <c r="AR19" i="3"/>
  <c r="AS19" i="3"/>
  <c r="AT19" i="3"/>
  <c r="AU19" i="3"/>
  <c r="AV19" i="3"/>
  <c r="AW19" i="3"/>
  <c r="AX19" i="3"/>
  <c r="AY19" i="3"/>
  <c r="AZ19" i="3"/>
  <c r="BA19" i="3"/>
  <c r="BB19" i="3"/>
  <c r="BC19" i="3"/>
  <c r="C20" i="3"/>
  <c r="D20" i="3"/>
  <c r="E20" i="3"/>
  <c r="F20" i="3"/>
  <c r="G20" i="3"/>
  <c r="H20" i="3"/>
  <c r="I20" i="3"/>
  <c r="J20" i="3"/>
  <c r="K20" i="3"/>
  <c r="L20" i="3"/>
  <c r="M20" i="3"/>
  <c r="N20" i="3"/>
  <c r="O20" i="3"/>
  <c r="P20" i="3"/>
  <c r="Q20" i="3"/>
  <c r="R20" i="3"/>
  <c r="S20" i="3"/>
  <c r="T20" i="3"/>
  <c r="U20" i="3"/>
  <c r="V20" i="3"/>
  <c r="AL20" i="3"/>
  <c r="AM20" i="3"/>
  <c r="AN20" i="3"/>
  <c r="AO20" i="3"/>
  <c r="AP20" i="3"/>
  <c r="AQ20" i="3"/>
  <c r="AR20" i="3"/>
  <c r="AS20" i="3"/>
  <c r="AT20" i="3"/>
  <c r="AU20" i="3"/>
  <c r="AV20" i="3"/>
  <c r="AW20" i="3"/>
  <c r="AX20" i="3"/>
  <c r="AY20" i="3"/>
  <c r="AZ20" i="3"/>
  <c r="BA20" i="3"/>
  <c r="BB20" i="3"/>
  <c r="BC20" i="3"/>
  <c r="C21" i="3"/>
  <c r="D21" i="3"/>
  <c r="E21" i="3"/>
  <c r="F21" i="3"/>
  <c r="G21" i="3"/>
  <c r="H21" i="3"/>
  <c r="I21" i="3"/>
  <c r="J21" i="3"/>
  <c r="K21" i="3"/>
  <c r="L21" i="3"/>
  <c r="M21" i="3"/>
  <c r="N21" i="3"/>
  <c r="O21" i="3"/>
  <c r="P21" i="3"/>
  <c r="Q21" i="3"/>
  <c r="R21" i="3"/>
  <c r="S21" i="3"/>
  <c r="T21" i="3"/>
  <c r="U21" i="3"/>
  <c r="V21" i="3"/>
  <c r="AL21" i="3"/>
  <c r="AM21" i="3"/>
  <c r="AN21" i="3"/>
  <c r="AO21" i="3"/>
  <c r="AP21" i="3"/>
  <c r="AQ21" i="3"/>
  <c r="AR21" i="3"/>
  <c r="AS21" i="3"/>
  <c r="AT21" i="3"/>
  <c r="AU21" i="3"/>
  <c r="AV21" i="3"/>
  <c r="AW21" i="3"/>
  <c r="AX21" i="3"/>
  <c r="AY21" i="3"/>
  <c r="AZ21" i="3"/>
  <c r="BA21" i="3"/>
  <c r="BB21" i="3"/>
  <c r="BC21" i="3"/>
  <c r="C22" i="3"/>
  <c r="D22" i="3"/>
  <c r="E22" i="3"/>
  <c r="F22" i="3"/>
  <c r="G22" i="3"/>
  <c r="H22" i="3"/>
  <c r="I22" i="3"/>
  <c r="J22" i="3"/>
  <c r="K22" i="3"/>
  <c r="L22" i="3"/>
  <c r="M22" i="3"/>
  <c r="N22" i="3"/>
  <c r="O22" i="3"/>
  <c r="P22" i="3"/>
  <c r="Q22" i="3"/>
  <c r="R22" i="3"/>
  <c r="S22" i="3"/>
  <c r="T22" i="3"/>
  <c r="U22" i="3"/>
  <c r="V22" i="3"/>
  <c r="AL22" i="3"/>
  <c r="AM22" i="3"/>
  <c r="AN22" i="3"/>
  <c r="AO22" i="3"/>
  <c r="AP22" i="3"/>
  <c r="AQ22" i="3"/>
  <c r="AR22" i="3"/>
  <c r="AS22" i="3"/>
  <c r="AT22" i="3"/>
  <c r="AU22" i="3"/>
  <c r="AV22" i="3"/>
  <c r="AW22" i="3"/>
  <c r="AX22" i="3"/>
  <c r="AY22" i="3"/>
  <c r="AZ22" i="3"/>
  <c r="BA22" i="3"/>
  <c r="BB22" i="3"/>
  <c r="BC22" i="3"/>
  <c r="C23" i="3"/>
  <c r="D23" i="3"/>
  <c r="E23" i="3"/>
  <c r="F23" i="3"/>
  <c r="G23" i="3"/>
  <c r="H23" i="3"/>
  <c r="I23" i="3"/>
  <c r="J23" i="3"/>
  <c r="K23" i="3"/>
  <c r="L23" i="3"/>
  <c r="M23" i="3"/>
  <c r="N23" i="3"/>
  <c r="O23" i="3"/>
  <c r="P23" i="3"/>
  <c r="Q23" i="3"/>
  <c r="R23" i="3"/>
  <c r="S23" i="3"/>
  <c r="T23" i="3"/>
  <c r="U23" i="3"/>
  <c r="V23" i="3"/>
  <c r="AL23" i="3"/>
  <c r="AM23" i="3"/>
  <c r="AN23" i="3"/>
  <c r="AO23" i="3"/>
  <c r="AP23" i="3"/>
  <c r="AQ23" i="3"/>
  <c r="AR23" i="3"/>
  <c r="AS23" i="3"/>
  <c r="AT23" i="3"/>
  <c r="AU23" i="3"/>
  <c r="AV23" i="3"/>
  <c r="AW23" i="3"/>
  <c r="AX23" i="3"/>
  <c r="AY23" i="3"/>
  <c r="AZ23" i="3"/>
  <c r="BA23" i="3"/>
  <c r="BB23" i="3"/>
  <c r="BC23" i="3"/>
  <c r="C24" i="3"/>
  <c r="D24" i="3"/>
  <c r="E24" i="3"/>
  <c r="F24" i="3"/>
  <c r="G24" i="3"/>
  <c r="H24" i="3"/>
  <c r="I24" i="3"/>
  <c r="J24" i="3"/>
  <c r="K24" i="3"/>
  <c r="L24" i="3"/>
  <c r="M24" i="3"/>
  <c r="N24" i="3"/>
  <c r="O24" i="3"/>
  <c r="P24" i="3"/>
  <c r="Q24" i="3"/>
  <c r="R24" i="3"/>
  <c r="S24" i="3"/>
  <c r="T24" i="3"/>
  <c r="U24" i="3"/>
  <c r="V24" i="3"/>
  <c r="AL24" i="3"/>
  <c r="AM24" i="3"/>
  <c r="AN24" i="3"/>
  <c r="AO24" i="3"/>
  <c r="AP24" i="3"/>
  <c r="AQ24" i="3"/>
  <c r="AR24" i="3"/>
  <c r="AS24" i="3"/>
  <c r="AT24" i="3"/>
  <c r="AU24" i="3"/>
  <c r="AV24" i="3"/>
  <c r="AW24" i="3"/>
  <c r="AX24" i="3"/>
  <c r="AY24" i="3"/>
  <c r="AZ24" i="3"/>
  <c r="BA24" i="3"/>
  <c r="BB24" i="3"/>
  <c r="BC24" i="3"/>
  <c r="C25" i="3"/>
  <c r="D25" i="3"/>
  <c r="E25" i="3"/>
  <c r="F25" i="3"/>
  <c r="G25" i="3"/>
  <c r="H25" i="3"/>
  <c r="I25" i="3"/>
  <c r="J25" i="3"/>
  <c r="K25" i="3"/>
  <c r="L25" i="3"/>
  <c r="M25" i="3"/>
  <c r="N25" i="3"/>
  <c r="O25" i="3"/>
  <c r="P25" i="3"/>
  <c r="Q25" i="3"/>
  <c r="R25" i="3"/>
  <c r="S25" i="3"/>
  <c r="T25" i="3"/>
  <c r="U25" i="3"/>
  <c r="V25" i="3"/>
  <c r="AL25" i="3"/>
  <c r="AM25" i="3"/>
  <c r="AN25" i="3"/>
  <c r="AO25" i="3"/>
  <c r="AP25" i="3"/>
  <c r="AQ25" i="3"/>
  <c r="AR25" i="3"/>
  <c r="AS25" i="3"/>
  <c r="AT25" i="3"/>
  <c r="AU25" i="3"/>
  <c r="AV25" i="3"/>
  <c r="AW25" i="3"/>
  <c r="AX25" i="3"/>
  <c r="AY25" i="3"/>
  <c r="AZ25" i="3"/>
  <c r="BA25" i="3"/>
  <c r="BB25" i="3"/>
  <c r="BC25" i="3"/>
  <c r="C26" i="3"/>
  <c r="D26" i="3"/>
  <c r="E26" i="3"/>
  <c r="F26" i="3"/>
  <c r="G26" i="3"/>
  <c r="H26" i="3"/>
  <c r="I26" i="3"/>
  <c r="J26" i="3"/>
  <c r="K26" i="3"/>
  <c r="L26" i="3"/>
  <c r="M26" i="3"/>
  <c r="N26" i="3"/>
  <c r="O26" i="3"/>
  <c r="P26" i="3"/>
  <c r="Q26" i="3"/>
  <c r="R26" i="3"/>
  <c r="S26" i="3"/>
  <c r="T26" i="3"/>
  <c r="U26" i="3"/>
  <c r="V26" i="3"/>
  <c r="AL26" i="3"/>
  <c r="AM26" i="3"/>
  <c r="AN26" i="3"/>
  <c r="AO26" i="3"/>
  <c r="AP26" i="3"/>
  <c r="AQ26" i="3"/>
  <c r="AR26" i="3"/>
  <c r="AS26" i="3"/>
  <c r="AT26" i="3"/>
  <c r="AU26" i="3"/>
  <c r="AV26" i="3"/>
  <c r="AW26" i="3"/>
  <c r="AX26" i="3"/>
  <c r="AY26" i="3"/>
  <c r="AZ26" i="3"/>
  <c r="BA26" i="3"/>
  <c r="BB26" i="3"/>
  <c r="BC26" i="3"/>
  <c r="A3" i="3"/>
  <c r="A4" i="3"/>
  <c r="A5" i="3"/>
  <c r="A6" i="3"/>
  <c r="A7" i="3"/>
  <c r="A8" i="3"/>
  <c r="A9" i="3"/>
  <c r="A10" i="3"/>
  <c r="A11" i="3"/>
  <c r="A12" i="3"/>
  <c r="A13" i="3"/>
  <c r="A14" i="3"/>
  <c r="A15" i="3"/>
  <c r="A16" i="3"/>
  <c r="A17" i="3"/>
  <c r="A18" i="3"/>
  <c r="A19" i="3"/>
  <c r="A20" i="3"/>
  <c r="A21" i="3"/>
  <c r="A22" i="3"/>
  <c r="A23" i="3"/>
  <c r="A24" i="3"/>
  <c r="A25" i="3"/>
  <c r="A26" i="3"/>
  <c r="A2" i="3"/>
  <c r="B3" i="3"/>
  <c r="B4" i="3"/>
  <c r="B5" i="3"/>
  <c r="B6" i="3"/>
  <c r="B7" i="3"/>
  <c r="B8" i="3"/>
  <c r="B9" i="3"/>
  <c r="B10" i="3"/>
  <c r="B11" i="3"/>
  <c r="B12" i="3"/>
  <c r="B13" i="3"/>
  <c r="B14" i="3"/>
  <c r="B15" i="3"/>
  <c r="B16" i="3"/>
  <c r="B17" i="3"/>
  <c r="B18" i="3"/>
  <c r="B19" i="3"/>
  <c r="B20" i="3"/>
  <c r="B21" i="3"/>
  <c r="B22" i="3"/>
  <c r="B23" i="3"/>
  <c r="B24" i="3"/>
  <c r="B25" i="3"/>
  <c r="B26" i="3"/>
  <c r="B2" i="3"/>
  <c r="EI27" i="1"/>
  <c r="EJ27" i="1"/>
  <c r="EM27" i="1"/>
  <c r="EN27" i="1"/>
  <c r="EO27" i="1"/>
  <c r="EP27" i="1"/>
  <c r="EQ27" i="1"/>
  <c r="GW27" i="1"/>
  <c r="GV27" i="1"/>
  <c r="GU27" i="1"/>
  <c r="GT27" i="1"/>
  <c r="GS27" i="1"/>
  <c r="GR27" i="1"/>
  <c r="GQ27" i="1"/>
  <c r="GP27" i="1"/>
  <c r="GO27" i="1"/>
  <c r="GN27" i="1"/>
  <c r="GM27" i="1"/>
  <c r="GL27" i="1"/>
  <c r="GK27" i="1"/>
  <c r="GJ27" i="1"/>
  <c r="GI27" i="1"/>
  <c r="GH27" i="1"/>
  <c r="GG27" i="1"/>
  <c r="GF27" i="1"/>
  <c r="GE27" i="1"/>
  <c r="GD27" i="1"/>
  <c r="GC27" i="1"/>
  <c r="GB27" i="1"/>
  <c r="GA27" i="1"/>
  <c r="FZ27" i="1"/>
  <c r="FY27" i="1"/>
  <c r="FX27" i="1"/>
  <c r="FW27" i="1"/>
  <c r="FV27" i="1"/>
  <c r="FU27" i="1"/>
  <c r="FT27" i="1"/>
  <c r="FS27" i="1"/>
  <c r="FR27" i="1"/>
  <c r="FQ27" i="1"/>
  <c r="FP27" i="1"/>
  <c r="FO27" i="1"/>
  <c r="FN27" i="1"/>
  <c r="FM27" i="1"/>
  <c r="FL27" i="1"/>
  <c r="FK27" i="1"/>
  <c r="FJ27" i="1"/>
  <c r="FI27" i="1"/>
  <c r="FH27" i="1"/>
  <c r="FG27" i="1"/>
  <c r="FF27" i="1"/>
  <c r="FE27" i="1"/>
  <c r="FD27" i="1"/>
  <c r="FC27" i="1"/>
  <c r="FB27" i="1"/>
  <c r="FA27" i="1"/>
  <c r="EZ27" i="1"/>
  <c r="EY27" i="1"/>
  <c r="EX27" i="1"/>
  <c r="EW27" i="1"/>
  <c r="EV27" i="1"/>
  <c r="EU27" i="1"/>
  <c r="ET27" i="1"/>
  <c r="ES27" i="1"/>
  <c r="ER27" i="1"/>
  <c r="EI17" i="1"/>
  <c r="GX17" i="1"/>
  <c r="GW17" i="1"/>
  <c r="GV17" i="1"/>
  <c r="GU17" i="1"/>
  <c r="GT17" i="1"/>
  <c r="GS17" i="1"/>
  <c r="GR17" i="1"/>
  <c r="GQ17" i="1"/>
  <c r="GP17" i="1"/>
  <c r="GO17" i="1"/>
  <c r="GN17" i="1"/>
  <c r="EI13" i="1"/>
  <c r="GX13" i="1"/>
  <c r="GW13" i="1"/>
  <c r="GV13" i="1"/>
  <c r="GU13" i="1"/>
  <c r="GT13" i="1"/>
  <c r="GS13" i="1"/>
  <c r="GR13" i="1"/>
  <c r="GQ13" i="1"/>
  <c r="GP13" i="1"/>
  <c r="GO13" i="1"/>
  <c r="GN13" i="1"/>
  <c r="EI9" i="1"/>
  <c r="GO9" i="1"/>
  <c r="GW9" i="1"/>
  <c r="GV9" i="1"/>
  <c r="GU9" i="1"/>
  <c r="GT9" i="1"/>
  <c r="GS9" i="1"/>
  <c r="GR9" i="1"/>
  <c r="GQ9" i="1"/>
  <c r="GP9" i="1"/>
  <c r="GN9" i="1"/>
  <c r="EJ13" i="1"/>
  <c r="EJ17" i="1"/>
  <c r="GM17" i="1"/>
  <c r="GL17" i="1"/>
  <c r="GK17" i="1"/>
  <c r="GJ17" i="1"/>
  <c r="GI17" i="1"/>
  <c r="GH17" i="1"/>
  <c r="GG17" i="1"/>
  <c r="GF17" i="1"/>
  <c r="GE17" i="1"/>
  <c r="GD17" i="1"/>
  <c r="GC17" i="1"/>
  <c r="GB17" i="1"/>
  <c r="GA17" i="1"/>
  <c r="FZ17" i="1"/>
  <c r="FX17" i="1"/>
  <c r="FW17" i="1"/>
  <c r="FV17" i="1"/>
  <c r="FU17" i="1"/>
  <c r="FT17" i="1"/>
  <c r="FS17" i="1"/>
  <c r="FR17" i="1"/>
  <c r="FQ17" i="1"/>
  <c r="FP17" i="1"/>
  <c r="FO17" i="1"/>
  <c r="FN17" i="1"/>
  <c r="FL17" i="1"/>
  <c r="FK17" i="1"/>
  <c r="FH17" i="1"/>
  <c r="FG17" i="1"/>
  <c r="FF17" i="1"/>
  <c r="FB17" i="1"/>
  <c r="FA17" i="1"/>
  <c r="EZ17" i="1"/>
  <c r="EW17" i="1"/>
  <c r="EU17" i="1"/>
  <c r="ET17" i="1"/>
  <c r="ES17" i="1"/>
  <c r="ER17" i="1"/>
  <c r="EP17" i="1"/>
  <c r="EO17" i="1"/>
  <c r="EM13" i="1"/>
  <c r="EN13" i="1"/>
  <c r="EO13" i="1"/>
  <c r="EQ13" i="1"/>
  <c r="ER13" i="1"/>
  <c r="ES13" i="1"/>
  <c r="ET13" i="1"/>
  <c r="EU13" i="1"/>
  <c r="EV13" i="1"/>
  <c r="EW13" i="1"/>
  <c r="EX13" i="1"/>
  <c r="EY13" i="1"/>
  <c r="EZ13" i="1"/>
  <c r="FA13" i="1"/>
  <c r="FB13" i="1"/>
  <c r="FF13" i="1"/>
  <c r="FG13" i="1"/>
  <c r="FH13" i="1"/>
  <c r="FK13" i="1"/>
  <c r="FL13" i="1"/>
  <c r="FM13" i="1"/>
  <c r="FN13" i="1"/>
  <c r="FO13" i="1"/>
  <c r="FP13" i="1"/>
  <c r="FQ13" i="1"/>
  <c r="FR13" i="1"/>
  <c r="FS13" i="1"/>
  <c r="FT13" i="1"/>
  <c r="FU13" i="1"/>
  <c r="FV13" i="1"/>
  <c r="FW13" i="1"/>
  <c r="FX13" i="1"/>
  <c r="FY13" i="1"/>
  <c r="FZ13" i="1"/>
  <c r="GA13" i="1"/>
  <c r="GC13" i="1"/>
  <c r="GD13" i="1"/>
  <c r="GE13" i="1"/>
  <c r="GG13" i="1"/>
  <c r="GH13" i="1"/>
  <c r="GI13" i="1"/>
  <c r="GJ13" i="1"/>
  <c r="GK13" i="1"/>
  <c r="GL13" i="1"/>
  <c r="GM13" i="1"/>
  <c r="GM9" i="1"/>
  <c r="GL9" i="1"/>
  <c r="GK9" i="1"/>
  <c r="GJ9" i="1"/>
  <c r="GI9" i="1"/>
  <c r="GH9" i="1"/>
  <c r="GG9" i="1"/>
  <c r="GF9" i="1"/>
  <c r="GE9" i="1"/>
  <c r="GD9" i="1"/>
  <c r="GC9" i="1"/>
  <c r="GB9" i="1"/>
  <c r="GA9" i="1"/>
  <c r="FZ9" i="1"/>
  <c r="FK9" i="1"/>
  <c r="FH9" i="1"/>
  <c r="FG9" i="1"/>
  <c r="FF9" i="1"/>
  <c r="FB9" i="1"/>
  <c r="FA9" i="1"/>
  <c r="EZ9" i="1"/>
  <c r="EV9" i="1"/>
  <c r="EU9" i="1"/>
  <c r="ET9" i="1"/>
  <c r="ES9" i="1"/>
  <c r="ER9" i="1"/>
  <c r="EQ9" i="1"/>
  <c r="V2" i="3"/>
  <c r="U2" i="3"/>
  <c r="T2" i="3"/>
  <c r="S2" i="3"/>
  <c r="R2" i="3"/>
  <c r="Q2" i="3"/>
  <c r="P2" i="3"/>
  <c r="N2" i="3"/>
  <c r="M2" i="3"/>
  <c r="L2" i="3"/>
  <c r="K2" i="3"/>
  <c r="J2" i="3"/>
  <c r="I2" i="3"/>
  <c r="H2" i="3"/>
  <c r="G2" i="3"/>
  <c r="F2" i="3"/>
  <c r="E2" i="3"/>
  <c r="D2" i="3"/>
  <c r="AL2" i="3"/>
  <c r="EJ4" i="1"/>
  <c r="EJ5" i="1"/>
  <c r="EJ6" i="1"/>
  <c r="EJ7" i="1"/>
  <c r="EJ8" i="1"/>
  <c r="EJ10" i="1"/>
  <c r="EJ11" i="1"/>
  <c r="EJ12" i="1"/>
  <c r="EJ14" i="1"/>
  <c r="EJ15" i="1"/>
  <c r="EJ16" i="1"/>
  <c r="EJ18" i="1"/>
  <c r="EJ19" i="1"/>
  <c r="EJ20" i="1"/>
  <c r="EJ21" i="1"/>
  <c r="EJ22" i="1"/>
  <c r="EJ23" i="1"/>
  <c r="EJ24" i="1"/>
  <c r="EJ25" i="1"/>
  <c r="EJ26" i="1"/>
  <c r="EJ3" i="1"/>
  <c r="EI4" i="1"/>
  <c r="EI5" i="1"/>
  <c r="EI6" i="1"/>
  <c r="EI7" i="1"/>
  <c r="EI8" i="1"/>
  <c r="EI10" i="1"/>
  <c r="EI11" i="1"/>
  <c r="EI12" i="1"/>
  <c r="EI14" i="1"/>
  <c r="EI15" i="1"/>
  <c r="EI16" i="1"/>
  <c r="EI18" i="1"/>
  <c r="EI19" i="1"/>
  <c r="EI20" i="1"/>
  <c r="EI21" i="1"/>
  <c r="EI22" i="1"/>
  <c r="EI23" i="1"/>
  <c r="EI24" i="1"/>
  <c r="EI25" i="1"/>
  <c r="EI26" i="1"/>
  <c r="EI3" i="1"/>
  <c r="BC2" i="3" s="1"/>
  <c r="AY2" i="3"/>
  <c r="BB2" i="3"/>
  <c r="BA2" i="3"/>
  <c r="AZ2" i="3"/>
  <c r="O2" i="3"/>
  <c r="AX2" i="3"/>
  <c r="AW2" i="3"/>
  <c r="AV2" i="3"/>
  <c r="AU2" i="3"/>
  <c r="AT2" i="3"/>
  <c r="AS2" i="3"/>
  <c r="AR2" i="3"/>
  <c r="AQ2" i="3"/>
  <c r="AP2" i="3"/>
  <c r="AO2" i="3"/>
  <c r="AN2" i="3"/>
  <c r="AM2" i="3"/>
  <c r="GX27" i="1" l="1"/>
  <c r="C2" i="3"/>
  <c r="EQ21" i="1"/>
  <c r="EM14" i="1"/>
  <c r="EN14" i="1"/>
  <c r="EO14" i="1"/>
  <c r="EP14" i="1"/>
  <c r="EQ14" i="1"/>
  <c r="ER14" i="1"/>
  <c r="ES14" i="1"/>
  <c r="ET14" i="1"/>
  <c r="EU14" i="1"/>
  <c r="EV14" i="1"/>
  <c r="EW14" i="1"/>
  <c r="EX14" i="1"/>
  <c r="EY14" i="1"/>
  <c r="EZ14" i="1"/>
  <c r="FA14" i="1"/>
  <c r="FB14" i="1"/>
  <c r="FC14" i="1"/>
  <c r="FD14" i="1"/>
  <c r="FE14" i="1"/>
  <c r="FF14" i="1"/>
  <c r="FG14" i="1"/>
  <c r="FH14" i="1"/>
  <c r="FI14" i="1"/>
  <c r="FJ14" i="1"/>
  <c r="FK14" i="1"/>
  <c r="FL14" i="1"/>
  <c r="FM14" i="1"/>
  <c r="FN14" i="1"/>
  <c r="FO14" i="1"/>
  <c r="FP14" i="1"/>
  <c r="FQ14" i="1"/>
  <c r="FR14" i="1"/>
  <c r="FS14" i="1"/>
  <c r="FT14" i="1"/>
  <c r="FU14" i="1"/>
  <c r="FV14" i="1"/>
  <c r="FW14" i="1"/>
  <c r="FX14" i="1"/>
  <c r="FY14" i="1"/>
  <c r="FZ14" i="1"/>
  <c r="GA14" i="1"/>
  <c r="GB14" i="1"/>
  <c r="GC14" i="1"/>
  <c r="GD14" i="1"/>
  <c r="GE14" i="1"/>
  <c r="GF14" i="1"/>
  <c r="GG14" i="1"/>
  <c r="GH14" i="1"/>
  <c r="GI14" i="1"/>
  <c r="GJ14" i="1"/>
  <c r="GK14" i="1"/>
  <c r="GL14" i="1"/>
  <c r="GM14" i="1"/>
  <c r="GN14" i="1"/>
  <c r="GO14" i="1"/>
  <c r="GP14" i="1"/>
  <c r="GQ14" i="1"/>
  <c r="GR14" i="1"/>
  <c r="GS14" i="1"/>
  <c r="GT14" i="1"/>
  <c r="GU14" i="1"/>
  <c r="GV14" i="1"/>
  <c r="GW14" i="1"/>
  <c r="GX14" i="1"/>
  <c r="EM15" i="1"/>
  <c r="EN15" i="1"/>
  <c r="EO15" i="1"/>
  <c r="EP15" i="1"/>
  <c r="EQ15" i="1"/>
  <c r="ER15" i="1"/>
  <c r="ES15" i="1"/>
  <c r="ET15" i="1"/>
  <c r="EU15" i="1"/>
  <c r="EV15" i="1"/>
  <c r="EW15" i="1"/>
  <c r="EX15" i="1"/>
  <c r="EY15" i="1"/>
  <c r="EZ15" i="1"/>
  <c r="FA15" i="1"/>
  <c r="FB15" i="1"/>
  <c r="FC15" i="1"/>
  <c r="FD15" i="1"/>
  <c r="FE15" i="1"/>
  <c r="FF15" i="1"/>
  <c r="FG15" i="1"/>
  <c r="FH15" i="1"/>
  <c r="FK15" i="1"/>
  <c r="FL15" i="1"/>
  <c r="FM15" i="1"/>
  <c r="FN15" i="1"/>
  <c r="FO15" i="1"/>
  <c r="FP15" i="1"/>
  <c r="FQ15" i="1"/>
  <c r="FR15" i="1"/>
  <c r="FS15" i="1"/>
  <c r="FT15" i="1"/>
  <c r="FU15" i="1"/>
  <c r="FV15" i="1"/>
  <c r="FW15" i="1"/>
  <c r="FX15" i="1"/>
  <c r="FY15" i="1"/>
  <c r="FZ15" i="1"/>
  <c r="GA15" i="1"/>
  <c r="GB15" i="1"/>
  <c r="GC15" i="1"/>
  <c r="GD15" i="1"/>
  <c r="GE15" i="1"/>
  <c r="GF15" i="1"/>
  <c r="GG15" i="1"/>
  <c r="GH15" i="1"/>
  <c r="GI15" i="1"/>
  <c r="GJ15" i="1"/>
  <c r="GK15" i="1"/>
  <c r="GL15" i="1"/>
  <c r="GM15" i="1"/>
  <c r="GN15" i="1"/>
  <c r="GO15" i="1"/>
  <c r="GP15" i="1"/>
  <c r="GQ15" i="1"/>
  <c r="GR15" i="1"/>
  <c r="GS15" i="1"/>
  <c r="GT15" i="1"/>
  <c r="GU15" i="1"/>
  <c r="GV15" i="1"/>
  <c r="GW15" i="1"/>
  <c r="GX15" i="1"/>
  <c r="EM16" i="1"/>
  <c r="EN16" i="1"/>
  <c r="EO16" i="1"/>
  <c r="EP16" i="1"/>
  <c r="EQ16" i="1"/>
  <c r="ER16" i="1"/>
  <c r="ES16" i="1"/>
  <c r="ET16" i="1"/>
  <c r="EU16" i="1"/>
  <c r="EV16" i="1"/>
  <c r="EW16" i="1"/>
  <c r="EX16" i="1"/>
  <c r="EY16" i="1"/>
  <c r="EZ16" i="1"/>
  <c r="FA16" i="1"/>
  <c r="FB16" i="1"/>
  <c r="FC16" i="1"/>
  <c r="FD16" i="1"/>
  <c r="FE16" i="1"/>
  <c r="FF16" i="1"/>
  <c r="FG16" i="1"/>
  <c r="FH16" i="1"/>
  <c r="FI16" i="1"/>
  <c r="FJ16" i="1"/>
  <c r="FK16" i="1"/>
  <c r="FL16" i="1"/>
  <c r="FM16" i="1"/>
  <c r="FN16" i="1"/>
  <c r="FO16" i="1"/>
  <c r="FP16" i="1"/>
  <c r="FQ16" i="1"/>
  <c r="FR16" i="1"/>
  <c r="FS16" i="1"/>
  <c r="FT16" i="1"/>
  <c r="FU16" i="1"/>
  <c r="FV16" i="1"/>
  <c r="FW16" i="1"/>
  <c r="FX16" i="1"/>
  <c r="FY16" i="1"/>
  <c r="FZ16" i="1"/>
  <c r="GA16" i="1"/>
  <c r="GB16" i="1"/>
  <c r="GC16" i="1"/>
  <c r="GD16" i="1"/>
  <c r="GE16" i="1"/>
  <c r="GF16" i="1"/>
  <c r="GG16" i="1"/>
  <c r="GH16" i="1"/>
  <c r="GI16" i="1"/>
  <c r="GJ16" i="1"/>
  <c r="GK16" i="1"/>
  <c r="GL16" i="1"/>
  <c r="GM16" i="1"/>
  <c r="GN16" i="1"/>
  <c r="GO16" i="1"/>
  <c r="GP16" i="1"/>
  <c r="GQ16" i="1"/>
  <c r="GR16" i="1"/>
  <c r="GS16" i="1"/>
  <c r="GT16" i="1"/>
  <c r="GU16" i="1"/>
  <c r="GV16" i="1"/>
  <c r="GW16" i="1"/>
  <c r="GX16" i="1"/>
  <c r="EM18" i="1"/>
  <c r="EN18" i="1"/>
  <c r="EO18" i="1"/>
  <c r="EP18" i="1"/>
  <c r="EQ18" i="1"/>
  <c r="ER18" i="1"/>
  <c r="ES18" i="1"/>
  <c r="ET18" i="1"/>
  <c r="EU18" i="1"/>
  <c r="EV18" i="1"/>
  <c r="EW18" i="1"/>
  <c r="EX18" i="1"/>
  <c r="EY18" i="1"/>
  <c r="EZ18" i="1"/>
  <c r="FA18" i="1"/>
  <c r="FB18" i="1"/>
  <c r="FC18" i="1"/>
  <c r="FD18" i="1"/>
  <c r="FE18" i="1"/>
  <c r="FF18" i="1"/>
  <c r="FG18" i="1"/>
  <c r="FH18" i="1"/>
  <c r="FI18" i="1"/>
  <c r="FJ18" i="1"/>
  <c r="FK18" i="1"/>
  <c r="FL18" i="1"/>
  <c r="FM18" i="1"/>
  <c r="FN18" i="1"/>
  <c r="FO18" i="1"/>
  <c r="FP18" i="1"/>
  <c r="FQ18" i="1"/>
  <c r="FR18" i="1"/>
  <c r="FS18" i="1"/>
  <c r="FT18" i="1"/>
  <c r="FU18" i="1"/>
  <c r="FV18" i="1"/>
  <c r="FW18" i="1"/>
  <c r="FX18" i="1"/>
  <c r="FY18" i="1"/>
  <c r="FZ18" i="1"/>
  <c r="GA18" i="1"/>
  <c r="GB18" i="1"/>
  <c r="GC18" i="1"/>
  <c r="GD18" i="1"/>
  <c r="GE18" i="1"/>
  <c r="GF18" i="1"/>
  <c r="GG18" i="1"/>
  <c r="GH18" i="1"/>
  <c r="GI18" i="1"/>
  <c r="GJ18" i="1"/>
  <c r="GK18" i="1"/>
  <c r="GL18" i="1"/>
  <c r="GM18" i="1"/>
  <c r="GN18" i="1"/>
  <c r="GO18" i="1"/>
  <c r="GP18" i="1"/>
  <c r="GQ18" i="1"/>
  <c r="GR18" i="1"/>
  <c r="GS18" i="1"/>
  <c r="GT18" i="1"/>
  <c r="GU18" i="1"/>
  <c r="GV18" i="1"/>
  <c r="GW18" i="1"/>
  <c r="GX18" i="1"/>
  <c r="EM19" i="1"/>
  <c r="EN19" i="1"/>
  <c r="EO19" i="1"/>
  <c r="EP19" i="1"/>
  <c r="EQ19" i="1"/>
  <c r="ER19" i="1"/>
  <c r="ES19" i="1"/>
  <c r="ET19" i="1"/>
  <c r="EU19" i="1"/>
  <c r="EV19" i="1"/>
  <c r="EW19" i="1"/>
  <c r="EX19" i="1"/>
  <c r="EY19" i="1"/>
  <c r="EZ19" i="1"/>
  <c r="FA19" i="1"/>
  <c r="FB19" i="1"/>
  <c r="FC19" i="1"/>
  <c r="FD19" i="1"/>
  <c r="FE19" i="1"/>
  <c r="FF19" i="1"/>
  <c r="FG19" i="1"/>
  <c r="FH19" i="1"/>
  <c r="FI19" i="1"/>
  <c r="FJ19" i="1"/>
  <c r="FK19" i="1"/>
  <c r="FL19" i="1"/>
  <c r="FM19" i="1"/>
  <c r="FN19" i="1"/>
  <c r="FO19" i="1"/>
  <c r="FP19" i="1"/>
  <c r="FQ19" i="1"/>
  <c r="FR19" i="1"/>
  <c r="FS19" i="1"/>
  <c r="FT19" i="1"/>
  <c r="FU19" i="1"/>
  <c r="FV19" i="1"/>
  <c r="FW19" i="1"/>
  <c r="FX19" i="1"/>
  <c r="FY19" i="1"/>
  <c r="FZ19" i="1"/>
  <c r="GA19" i="1"/>
  <c r="GB19" i="1"/>
  <c r="GC19" i="1"/>
  <c r="GD19" i="1"/>
  <c r="GE19" i="1"/>
  <c r="GF19" i="1"/>
  <c r="GG19" i="1"/>
  <c r="GH19" i="1"/>
  <c r="GI19" i="1"/>
  <c r="GJ19" i="1"/>
  <c r="GK19" i="1"/>
  <c r="GL19" i="1"/>
  <c r="GM19" i="1"/>
  <c r="GN19" i="1"/>
  <c r="GO19" i="1"/>
  <c r="GP19" i="1"/>
  <c r="GQ19" i="1"/>
  <c r="GR19" i="1"/>
  <c r="GS19" i="1"/>
  <c r="GT19" i="1"/>
  <c r="GU19" i="1"/>
  <c r="GV19" i="1"/>
  <c r="GW19" i="1"/>
  <c r="GX19" i="1"/>
  <c r="EM20" i="1"/>
  <c r="EN20" i="1"/>
  <c r="EO20" i="1"/>
  <c r="EP20" i="1"/>
  <c r="EQ20" i="1"/>
  <c r="ER20" i="1"/>
  <c r="ES20" i="1"/>
  <c r="ET20" i="1"/>
  <c r="EU20" i="1"/>
  <c r="EV20" i="1"/>
  <c r="EW20" i="1"/>
  <c r="EX20" i="1"/>
  <c r="EY20" i="1"/>
  <c r="EZ20" i="1"/>
  <c r="FA20" i="1"/>
  <c r="FB20" i="1"/>
  <c r="FC20" i="1"/>
  <c r="FD20" i="1"/>
  <c r="FE20" i="1"/>
  <c r="FF20" i="1"/>
  <c r="FG20" i="1"/>
  <c r="FH20" i="1"/>
  <c r="FI20" i="1"/>
  <c r="FJ20" i="1"/>
  <c r="FK20" i="1"/>
  <c r="FL20" i="1"/>
  <c r="FM20" i="1"/>
  <c r="FN20" i="1"/>
  <c r="FO20" i="1"/>
  <c r="FP20" i="1"/>
  <c r="FQ20" i="1"/>
  <c r="FR20" i="1"/>
  <c r="FS20" i="1"/>
  <c r="FT20" i="1"/>
  <c r="FU20" i="1"/>
  <c r="FV20" i="1"/>
  <c r="FW20" i="1"/>
  <c r="FX20" i="1"/>
  <c r="FY20" i="1"/>
  <c r="FZ20" i="1"/>
  <c r="GA20" i="1"/>
  <c r="GB20" i="1"/>
  <c r="GC20" i="1"/>
  <c r="GD20" i="1"/>
  <c r="GE20" i="1"/>
  <c r="GF20" i="1"/>
  <c r="GG20" i="1"/>
  <c r="GH20" i="1"/>
  <c r="GI20" i="1"/>
  <c r="GJ20" i="1"/>
  <c r="GK20" i="1"/>
  <c r="GL20" i="1"/>
  <c r="GM20" i="1"/>
  <c r="GN20" i="1"/>
  <c r="GO20" i="1"/>
  <c r="GP20" i="1"/>
  <c r="GQ20" i="1"/>
  <c r="GR20" i="1"/>
  <c r="GS20" i="1"/>
  <c r="GT20" i="1"/>
  <c r="GU20" i="1"/>
  <c r="GV20" i="1"/>
  <c r="GW20" i="1"/>
  <c r="GX20" i="1"/>
  <c r="EM21" i="1"/>
  <c r="EN21" i="1"/>
  <c r="EO21" i="1"/>
  <c r="EP21" i="1"/>
  <c r="ER21" i="1"/>
  <c r="ES21" i="1"/>
  <c r="ET21" i="1"/>
  <c r="EU21" i="1"/>
  <c r="EV21" i="1"/>
  <c r="EW21" i="1"/>
  <c r="EX21" i="1"/>
  <c r="EY21" i="1"/>
  <c r="EZ21" i="1"/>
  <c r="FA21" i="1"/>
  <c r="FB21" i="1"/>
  <c r="FC21" i="1"/>
  <c r="FD21" i="1"/>
  <c r="FE21" i="1"/>
  <c r="FF21" i="1"/>
  <c r="FG21" i="1"/>
  <c r="FH21" i="1"/>
  <c r="FK21" i="1"/>
  <c r="FL21" i="1"/>
  <c r="FM21" i="1"/>
  <c r="FN21" i="1"/>
  <c r="FO21" i="1"/>
  <c r="FP21" i="1"/>
  <c r="FQ21" i="1"/>
  <c r="FR21" i="1"/>
  <c r="FS21" i="1"/>
  <c r="FT21" i="1"/>
  <c r="FU21" i="1"/>
  <c r="FV21" i="1"/>
  <c r="FW21" i="1"/>
  <c r="FX21" i="1"/>
  <c r="FY21" i="1"/>
  <c r="FZ21" i="1"/>
  <c r="GA21" i="1"/>
  <c r="GB21" i="1"/>
  <c r="GC21" i="1"/>
  <c r="GD21" i="1"/>
  <c r="GE21" i="1"/>
  <c r="GF21" i="1"/>
  <c r="GG21" i="1"/>
  <c r="GH21" i="1"/>
  <c r="GI21" i="1"/>
  <c r="GJ21" i="1"/>
  <c r="GK21" i="1"/>
  <c r="GL21" i="1"/>
  <c r="GM21" i="1"/>
  <c r="GN21" i="1"/>
  <c r="GO21" i="1"/>
  <c r="GP21" i="1"/>
  <c r="GQ21" i="1"/>
  <c r="GR21" i="1"/>
  <c r="GS21" i="1"/>
  <c r="GT21" i="1"/>
  <c r="GU21" i="1"/>
  <c r="GV21" i="1"/>
  <c r="GW21" i="1"/>
  <c r="GX21" i="1"/>
  <c r="EM22" i="1"/>
  <c r="EN22" i="1"/>
  <c r="EO22" i="1"/>
  <c r="EP22" i="1"/>
  <c r="EQ22" i="1"/>
  <c r="ER22" i="1"/>
  <c r="ES22" i="1"/>
  <c r="ET22" i="1"/>
  <c r="EU22" i="1"/>
  <c r="EV22" i="1"/>
  <c r="EW22" i="1"/>
  <c r="EX22" i="1"/>
  <c r="EY22" i="1"/>
  <c r="EZ22" i="1"/>
  <c r="FA22" i="1"/>
  <c r="FB22" i="1"/>
  <c r="FC22" i="1"/>
  <c r="FD22" i="1"/>
  <c r="FE22" i="1"/>
  <c r="FF22" i="1"/>
  <c r="FG22" i="1"/>
  <c r="FH22" i="1"/>
  <c r="FI22" i="1"/>
  <c r="FK22" i="1"/>
  <c r="FL22" i="1"/>
  <c r="FM22" i="1"/>
  <c r="FN22" i="1"/>
  <c r="FO22" i="1"/>
  <c r="FP22" i="1"/>
  <c r="FQ22" i="1"/>
  <c r="FR22" i="1"/>
  <c r="FS22" i="1"/>
  <c r="FT22" i="1"/>
  <c r="FU22" i="1"/>
  <c r="FV22" i="1"/>
  <c r="FW22" i="1"/>
  <c r="FX22" i="1"/>
  <c r="FY22" i="1"/>
  <c r="FZ22" i="1"/>
  <c r="GA22" i="1"/>
  <c r="GB22" i="1"/>
  <c r="GC22" i="1"/>
  <c r="GD22" i="1"/>
  <c r="GE22" i="1"/>
  <c r="GF22" i="1"/>
  <c r="GG22" i="1"/>
  <c r="GH22" i="1"/>
  <c r="GI22" i="1"/>
  <c r="GJ22" i="1"/>
  <c r="GK22" i="1"/>
  <c r="GL22" i="1"/>
  <c r="GM22" i="1"/>
  <c r="GN22" i="1"/>
  <c r="GO22" i="1"/>
  <c r="GP22" i="1"/>
  <c r="GQ22" i="1"/>
  <c r="GR22" i="1"/>
  <c r="GS22" i="1"/>
  <c r="GT22" i="1"/>
  <c r="GU22" i="1"/>
  <c r="GV22" i="1"/>
  <c r="GW22" i="1"/>
  <c r="GX22" i="1"/>
  <c r="EM23" i="1"/>
  <c r="EN23" i="1"/>
  <c r="EO23" i="1"/>
  <c r="EP23" i="1"/>
  <c r="EQ23" i="1"/>
  <c r="ER23" i="1"/>
  <c r="ES23" i="1"/>
  <c r="ET23" i="1"/>
  <c r="EU23" i="1"/>
  <c r="EV23" i="1"/>
  <c r="EW23" i="1"/>
  <c r="EX23" i="1"/>
  <c r="EY23" i="1"/>
  <c r="EZ23" i="1"/>
  <c r="FA23" i="1"/>
  <c r="FB23" i="1"/>
  <c r="FC23" i="1"/>
  <c r="FD23" i="1"/>
  <c r="FE23" i="1"/>
  <c r="FF23" i="1"/>
  <c r="FG23" i="1"/>
  <c r="FH23" i="1"/>
  <c r="FK23" i="1"/>
  <c r="FL23" i="1"/>
  <c r="FM23" i="1"/>
  <c r="FN23" i="1"/>
  <c r="FO23" i="1"/>
  <c r="FP23" i="1"/>
  <c r="FQ23" i="1"/>
  <c r="FR23" i="1"/>
  <c r="FS23" i="1"/>
  <c r="FT23" i="1"/>
  <c r="FU23" i="1"/>
  <c r="FV23" i="1"/>
  <c r="FW23" i="1"/>
  <c r="FX23" i="1"/>
  <c r="FY23" i="1"/>
  <c r="FZ23" i="1"/>
  <c r="GA23" i="1"/>
  <c r="GB23" i="1"/>
  <c r="GC23" i="1"/>
  <c r="GD23" i="1"/>
  <c r="GE23" i="1"/>
  <c r="GF23" i="1"/>
  <c r="GG23" i="1"/>
  <c r="GH23" i="1"/>
  <c r="GI23" i="1"/>
  <c r="GJ23" i="1"/>
  <c r="GK23" i="1"/>
  <c r="GL23" i="1"/>
  <c r="GM23" i="1"/>
  <c r="GN23" i="1"/>
  <c r="GO23" i="1"/>
  <c r="GP23" i="1"/>
  <c r="GQ23" i="1"/>
  <c r="GR23" i="1"/>
  <c r="GS23" i="1"/>
  <c r="GT23" i="1"/>
  <c r="GU23" i="1"/>
  <c r="GV23" i="1"/>
  <c r="GW23" i="1"/>
  <c r="GX23" i="1"/>
  <c r="EM24" i="1"/>
  <c r="EN24" i="1"/>
  <c r="EO24" i="1"/>
  <c r="EP24" i="1"/>
  <c r="EQ24" i="1"/>
  <c r="ER24" i="1"/>
  <c r="ES24" i="1"/>
  <c r="ET24" i="1"/>
  <c r="EU24" i="1"/>
  <c r="EV24" i="1"/>
  <c r="EW24" i="1"/>
  <c r="EX24" i="1"/>
  <c r="EY24" i="1"/>
  <c r="EZ24" i="1"/>
  <c r="FA24" i="1"/>
  <c r="FB24" i="1"/>
  <c r="FC24" i="1"/>
  <c r="FD24" i="1"/>
  <c r="FE24" i="1"/>
  <c r="FF24" i="1"/>
  <c r="FG24" i="1"/>
  <c r="FH24" i="1"/>
  <c r="FI24" i="1"/>
  <c r="FJ24" i="1"/>
  <c r="FK24" i="1"/>
  <c r="FL24" i="1"/>
  <c r="FM24" i="1"/>
  <c r="FN24" i="1"/>
  <c r="FO24" i="1"/>
  <c r="FP24" i="1"/>
  <c r="FQ24" i="1"/>
  <c r="FR24" i="1"/>
  <c r="FS24" i="1"/>
  <c r="FT24" i="1"/>
  <c r="FU24" i="1"/>
  <c r="FV24" i="1"/>
  <c r="FW24" i="1"/>
  <c r="FX24" i="1"/>
  <c r="FY24" i="1"/>
  <c r="FZ24" i="1"/>
  <c r="GA24" i="1"/>
  <c r="GB24" i="1"/>
  <c r="GC24" i="1"/>
  <c r="GD24" i="1"/>
  <c r="GE24" i="1"/>
  <c r="GF24" i="1"/>
  <c r="GG24" i="1"/>
  <c r="GH24" i="1"/>
  <c r="GI24" i="1"/>
  <c r="GJ24" i="1"/>
  <c r="GK24" i="1"/>
  <c r="GL24" i="1"/>
  <c r="GM24" i="1"/>
  <c r="GN24" i="1"/>
  <c r="GO24" i="1"/>
  <c r="GP24" i="1"/>
  <c r="GQ24" i="1"/>
  <c r="GR24" i="1"/>
  <c r="GS24" i="1"/>
  <c r="GT24" i="1"/>
  <c r="GU24" i="1"/>
  <c r="GV24" i="1"/>
  <c r="GW24" i="1"/>
  <c r="GX24" i="1"/>
  <c r="EM25" i="1"/>
  <c r="EN25" i="1"/>
  <c r="EO25" i="1"/>
  <c r="EP25" i="1"/>
  <c r="EQ25" i="1"/>
  <c r="ER25" i="1"/>
  <c r="ES25" i="1"/>
  <c r="ET25" i="1"/>
  <c r="EU25" i="1"/>
  <c r="EV25" i="1"/>
  <c r="EW25" i="1"/>
  <c r="EX25" i="1"/>
  <c r="EY25" i="1"/>
  <c r="EZ25" i="1"/>
  <c r="FA25" i="1"/>
  <c r="FB25" i="1"/>
  <c r="FC25" i="1"/>
  <c r="FD25" i="1"/>
  <c r="FE25" i="1"/>
  <c r="FF25" i="1"/>
  <c r="FG25" i="1"/>
  <c r="FH25" i="1"/>
  <c r="FI25" i="1"/>
  <c r="FK25" i="1"/>
  <c r="FL25" i="1"/>
  <c r="FM25" i="1"/>
  <c r="FN25" i="1"/>
  <c r="FO25" i="1"/>
  <c r="FP25" i="1"/>
  <c r="FQ25" i="1"/>
  <c r="FR25" i="1"/>
  <c r="FS25" i="1"/>
  <c r="FT25" i="1"/>
  <c r="FU25" i="1"/>
  <c r="FV25" i="1"/>
  <c r="FW25" i="1"/>
  <c r="FX25" i="1"/>
  <c r="FY25" i="1"/>
  <c r="FZ25" i="1"/>
  <c r="GA25" i="1"/>
  <c r="GB25" i="1"/>
  <c r="GC25" i="1"/>
  <c r="GD25" i="1"/>
  <c r="GE25" i="1"/>
  <c r="GF25" i="1"/>
  <c r="GG25" i="1"/>
  <c r="GH25" i="1"/>
  <c r="GI25" i="1"/>
  <c r="GJ25" i="1"/>
  <c r="GK25" i="1"/>
  <c r="GL25" i="1"/>
  <c r="GM25" i="1"/>
  <c r="GN25" i="1"/>
  <c r="GO25" i="1"/>
  <c r="GP25" i="1"/>
  <c r="GQ25" i="1"/>
  <c r="GR25" i="1"/>
  <c r="GS25" i="1"/>
  <c r="GT25" i="1"/>
  <c r="GU25" i="1"/>
  <c r="GV25" i="1"/>
  <c r="GW25" i="1"/>
  <c r="GX25" i="1"/>
  <c r="EM26" i="1"/>
  <c r="EN26" i="1"/>
  <c r="EO26" i="1"/>
  <c r="EP26" i="1"/>
  <c r="EQ26" i="1"/>
  <c r="ER26" i="1"/>
  <c r="ES26" i="1"/>
  <c r="ET26" i="1"/>
  <c r="EU26" i="1"/>
  <c r="EV26" i="1"/>
  <c r="EW26" i="1"/>
  <c r="EX26" i="1"/>
  <c r="EY26" i="1"/>
  <c r="EZ26" i="1"/>
  <c r="FA26" i="1"/>
  <c r="FB26" i="1"/>
  <c r="FC26" i="1"/>
  <c r="FD26" i="1"/>
  <c r="FE26" i="1"/>
  <c r="FF26" i="1"/>
  <c r="FG26" i="1"/>
  <c r="FH26" i="1"/>
  <c r="FI26" i="1"/>
  <c r="FJ26" i="1"/>
  <c r="FK26" i="1"/>
  <c r="FL26" i="1"/>
  <c r="FM26" i="1"/>
  <c r="FN26" i="1"/>
  <c r="FO26" i="1"/>
  <c r="FP26" i="1"/>
  <c r="FQ26" i="1"/>
  <c r="FR26" i="1"/>
  <c r="FS26" i="1"/>
  <c r="FT26" i="1"/>
  <c r="FU26" i="1"/>
  <c r="FV26" i="1"/>
  <c r="FW26" i="1"/>
  <c r="FX26" i="1"/>
  <c r="FY26" i="1"/>
  <c r="FZ26" i="1"/>
  <c r="GA26" i="1"/>
  <c r="GB26" i="1"/>
  <c r="GC26" i="1"/>
  <c r="GD26" i="1"/>
  <c r="GE26" i="1"/>
  <c r="GF26" i="1"/>
  <c r="GG26" i="1"/>
  <c r="GH26" i="1"/>
  <c r="GI26" i="1"/>
  <c r="GJ26" i="1"/>
  <c r="GK26" i="1"/>
  <c r="GL26" i="1"/>
  <c r="GM26" i="1"/>
  <c r="GN26" i="1"/>
  <c r="GO26" i="1"/>
  <c r="GP26" i="1"/>
  <c r="GQ26" i="1"/>
  <c r="GR26" i="1"/>
  <c r="GS26" i="1"/>
  <c r="GT26" i="1"/>
  <c r="GU26" i="1"/>
  <c r="GV26" i="1"/>
  <c r="GW26" i="1"/>
  <c r="GX26" i="1"/>
  <c r="EM4" i="1"/>
  <c r="EN4" i="1"/>
  <c r="EO4" i="1"/>
  <c r="EP4" i="1"/>
  <c r="EQ4" i="1"/>
  <c r="ER4" i="1"/>
  <c r="ES4" i="1"/>
  <c r="ET4" i="1"/>
  <c r="EU4" i="1"/>
  <c r="EV4" i="1"/>
  <c r="EW4" i="1"/>
  <c r="EX4" i="1"/>
  <c r="EY4" i="1"/>
  <c r="EZ4" i="1"/>
  <c r="FA4" i="1"/>
  <c r="FB4" i="1"/>
  <c r="FC4" i="1"/>
  <c r="FD4" i="1"/>
  <c r="FE4" i="1"/>
  <c r="FF4" i="1"/>
  <c r="FG4" i="1"/>
  <c r="FH4" i="1"/>
  <c r="FI4" i="1"/>
  <c r="FK4" i="1"/>
  <c r="FL4" i="1"/>
  <c r="FM4" i="1"/>
  <c r="FN4" i="1"/>
  <c r="FO4" i="1"/>
  <c r="FP4" i="1"/>
  <c r="FQ4" i="1"/>
  <c r="FR4" i="1"/>
  <c r="FS4" i="1"/>
  <c r="FT4" i="1"/>
  <c r="FU4" i="1"/>
  <c r="FV4" i="1"/>
  <c r="FW4" i="1"/>
  <c r="FX4" i="1"/>
  <c r="FY4" i="1"/>
  <c r="FZ4" i="1"/>
  <c r="GA4" i="1"/>
  <c r="GB4" i="1"/>
  <c r="GC4" i="1"/>
  <c r="GD4" i="1"/>
  <c r="GE4" i="1"/>
  <c r="GF4" i="1"/>
  <c r="GG4" i="1"/>
  <c r="GH4" i="1"/>
  <c r="GI4" i="1"/>
  <c r="GJ4" i="1"/>
  <c r="GK4" i="1"/>
  <c r="GL4" i="1"/>
  <c r="GM4" i="1"/>
  <c r="GN4" i="1"/>
  <c r="GO4" i="1"/>
  <c r="GP4" i="1"/>
  <c r="GQ4" i="1"/>
  <c r="GR4" i="1"/>
  <c r="GS4" i="1"/>
  <c r="GT4" i="1"/>
  <c r="GU4" i="1"/>
  <c r="GV4" i="1"/>
  <c r="GW4" i="1"/>
  <c r="GX4" i="1"/>
  <c r="EM5" i="1"/>
  <c r="EN5" i="1"/>
  <c r="EO5" i="1"/>
  <c r="EP5" i="1"/>
  <c r="EQ5" i="1"/>
  <c r="ER5" i="1"/>
  <c r="ES5" i="1"/>
  <c r="ET5" i="1"/>
  <c r="EU5" i="1"/>
  <c r="EV5" i="1"/>
  <c r="EW5" i="1"/>
  <c r="EX5" i="1"/>
  <c r="EY5" i="1"/>
  <c r="EZ5" i="1"/>
  <c r="FA5" i="1"/>
  <c r="FB5" i="1"/>
  <c r="FC5" i="1"/>
  <c r="FD5" i="1"/>
  <c r="FE5" i="1"/>
  <c r="FF5" i="1"/>
  <c r="FG5" i="1"/>
  <c r="FH5" i="1"/>
  <c r="FI5" i="1"/>
  <c r="FK5" i="1"/>
  <c r="FL5" i="1"/>
  <c r="FM5" i="1"/>
  <c r="FN5" i="1"/>
  <c r="FO5" i="1"/>
  <c r="FP5" i="1"/>
  <c r="FQ5" i="1"/>
  <c r="FR5" i="1"/>
  <c r="FS5" i="1"/>
  <c r="FT5" i="1"/>
  <c r="FU5" i="1"/>
  <c r="FV5" i="1"/>
  <c r="FW5" i="1"/>
  <c r="FX5" i="1"/>
  <c r="FY5" i="1"/>
  <c r="FZ5" i="1"/>
  <c r="GA5" i="1"/>
  <c r="GB5" i="1"/>
  <c r="GC5" i="1"/>
  <c r="GD5" i="1"/>
  <c r="GE5" i="1"/>
  <c r="GF5" i="1"/>
  <c r="GG5" i="1"/>
  <c r="GH5" i="1"/>
  <c r="GI5" i="1"/>
  <c r="GJ5" i="1"/>
  <c r="GK5" i="1"/>
  <c r="GL5" i="1"/>
  <c r="GM5" i="1"/>
  <c r="GN5" i="1"/>
  <c r="GO5" i="1"/>
  <c r="GP5" i="1"/>
  <c r="GQ5" i="1"/>
  <c r="GR5" i="1"/>
  <c r="GS5" i="1"/>
  <c r="GT5" i="1"/>
  <c r="GU5" i="1"/>
  <c r="GV5" i="1"/>
  <c r="GW5" i="1"/>
  <c r="GX5" i="1"/>
  <c r="EM6" i="1"/>
  <c r="EN6" i="1"/>
  <c r="EO6" i="1"/>
  <c r="EP6" i="1"/>
  <c r="EQ6" i="1"/>
  <c r="ER6" i="1"/>
  <c r="ES6" i="1"/>
  <c r="ET6" i="1"/>
  <c r="EU6" i="1"/>
  <c r="EV6" i="1"/>
  <c r="EW6" i="1"/>
  <c r="EX6" i="1"/>
  <c r="EY6" i="1"/>
  <c r="EZ6" i="1"/>
  <c r="FA6" i="1"/>
  <c r="FB6" i="1"/>
  <c r="FC6" i="1"/>
  <c r="FD6" i="1"/>
  <c r="FE6" i="1"/>
  <c r="FF6" i="1"/>
  <c r="FG6" i="1"/>
  <c r="FH6" i="1"/>
  <c r="FK6" i="1"/>
  <c r="FL6" i="1"/>
  <c r="FM6" i="1"/>
  <c r="FN6" i="1"/>
  <c r="FO6" i="1"/>
  <c r="FP6" i="1"/>
  <c r="FQ6" i="1"/>
  <c r="FR6" i="1"/>
  <c r="FS6" i="1"/>
  <c r="FT6" i="1"/>
  <c r="FU6" i="1"/>
  <c r="FV6" i="1"/>
  <c r="FW6" i="1"/>
  <c r="FX6" i="1"/>
  <c r="FY6" i="1"/>
  <c r="FZ6" i="1"/>
  <c r="GA6" i="1"/>
  <c r="GB6" i="1"/>
  <c r="GC6" i="1"/>
  <c r="GD6" i="1"/>
  <c r="GE6" i="1"/>
  <c r="GF6" i="1"/>
  <c r="GG6" i="1"/>
  <c r="GH6" i="1"/>
  <c r="GI6" i="1"/>
  <c r="GJ6" i="1"/>
  <c r="GK6" i="1"/>
  <c r="GL6" i="1"/>
  <c r="GM6" i="1"/>
  <c r="GN6" i="1"/>
  <c r="GO6" i="1"/>
  <c r="GP6" i="1"/>
  <c r="GQ6" i="1"/>
  <c r="GR6" i="1"/>
  <c r="GS6" i="1"/>
  <c r="GT6" i="1"/>
  <c r="GU6" i="1"/>
  <c r="GV6" i="1"/>
  <c r="GW6" i="1"/>
  <c r="GX6" i="1"/>
  <c r="EM7" i="1"/>
  <c r="EN7" i="1"/>
  <c r="EO7" i="1"/>
  <c r="EP7" i="1"/>
  <c r="EQ7" i="1"/>
  <c r="ER7" i="1"/>
  <c r="ES7" i="1"/>
  <c r="ET7" i="1"/>
  <c r="EU7" i="1"/>
  <c r="EV7" i="1"/>
  <c r="EW7" i="1"/>
  <c r="EX7" i="1"/>
  <c r="EY7" i="1"/>
  <c r="EZ7" i="1"/>
  <c r="FA7" i="1"/>
  <c r="FB7" i="1"/>
  <c r="FC7" i="1"/>
  <c r="FD7" i="1"/>
  <c r="FE7" i="1"/>
  <c r="FF7" i="1"/>
  <c r="FG7" i="1"/>
  <c r="FH7" i="1"/>
  <c r="FK7" i="1"/>
  <c r="FL7" i="1"/>
  <c r="FM7" i="1"/>
  <c r="FN7" i="1"/>
  <c r="FO7" i="1"/>
  <c r="FP7" i="1"/>
  <c r="FQ7" i="1"/>
  <c r="FR7" i="1"/>
  <c r="FS7" i="1"/>
  <c r="FT7" i="1"/>
  <c r="FU7" i="1"/>
  <c r="FV7" i="1"/>
  <c r="FW7" i="1"/>
  <c r="FX7" i="1"/>
  <c r="FY7" i="1"/>
  <c r="FZ7" i="1"/>
  <c r="GA7" i="1"/>
  <c r="GB7" i="1"/>
  <c r="GC7" i="1"/>
  <c r="GD7" i="1"/>
  <c r="GE7" i="1"/>
  <c r="GF7" i="1"/>
  <c r="GG7" i="1"/>
  <c r="GH7" i="1"/>
  <c r="GI7" i="1"/>
  <c r="GJ7" i="1"/>
  <c r="GK7" i="1"/>
  <c r="GL7" i="1"/>
  <c r="GM7" i="1"/>
  <c r="GN7" i="1"/>
  <c r="GO7" i="1"/>
  <c r="GP7" i="1"/>
  <c r="GQ7" i="1"/>
  <c r="GR7" i="1"/>
  <c r="GS7" i="1"/>
  <c r="GT7" i="1"/>
  <c r="GU7" i="1"/>
  <c r="GV7" i="1"/>
  <c r="GW7" i="1"/>
  <c r="GX7" i="1"/>
  <c r="EM8" i="1"/>
  <c r="EN8" i="1"/>
  <c r="EO8" i="1"/>
  <c r="EP8" i="1"/>
  <c r="EQ8" i="1"/>
  <c r="ER8" i="1"/>
  <c r="ES8" i="1"/>
  <c r="ET8" i="1"/>
  <c r="EU8" i="1"/>
  <c r="EV8" i="1"/>
  <c r="EW8" i="1"/>
  <c r="EX8" i="1"/>
  <c r="EY8" i="1"/>
  <c r="EZ8" i="1"/>
  <c r="FA8" i="1"/>
  <c r="FB8" i="1"/>
  <c r="FC8" i="1"/>
  <c r="FD8" i="1"/>
  <c r="FE8" i="1"/>
  <c r="FF8" i="1"/>
  <c r="FG8" i="1"/>
  <c r="FH8" i="1"/>
  <c r="FJ8" i="1"/>
  <c r="FK8" i="1"/>
  <c r="FL8" i="1"/>
  <c r="FM8" i="1"/>
  <c r="FN8" i="1"/>
  <c r="FO8" i="1"/>
  <c r="FP8" i="1"/>
  <c r="FQ8" i="1"/>
  <c r="FR8" i="1"/>
  <c r="FS8" i="1"/>
  <c r="FT8" i="1"/>
  <c r="FU8" i="1"/>
  <c r="FV8" i="1"/>
  <c r="FW8" i="1"/>
  <c r="FX8" i="1"/>
  <c r="FY8" i="1"/>
  <c r="FZ8" i="1"/>
  <c r="GA8" i="1"/>
  <c r="GB8" i="1"/>
  <c r="GC8" i="1"/>
  <c r="GD8" i="1"/>
  <c r="GE8" i="1"/>
  <c r="GF8" i="1"/>
  <c r="GG8" i="1"/>
  <c r="GH8" i="1"/>
  <c r="GI8" i="1"/>
  <c r="GJ8" i="1"/>
  <c r="GK8" i="1"/>
  <c r="GL8" i="1"/>
  <c r="GM8" i="1"/>
  <c r="GN8" i="1"/>
  <c r="GO8" i="1"/>
  <c r="GP8" i="1"/>
  <c r="GQ8" i="1"/>
  <c r="GR8" i="1"/>
  <c r="GS8" i="1"/>
  <c r="GT8" i="1"/>
  <c r="GU8" i="1"/>
  <c r="GV8" i="1"/>
  <c r="GW8" i="1"/>
  <c r="GX8" i="1"/>
  <c r="EM10" i="1"/>
  <c r="EN10" i="1"/>
  <c r="EO10" i="1"/>
  <c r="EP10" i="1"/>
  <c r="EQ10" i="1"/>
  <c r="ER10" i="1"/>
  <c r="ES10" i="1"/>
  <c r="ET10" i="1"/>
  <c r="EU10" i="1"/>
  <c r="EV10" i="1"/>
  <c r="EW10" i="1"/>
  <c r="EX10" i="1"/>
  <c r="EY10" i="1"/>
  <c r="EZ10" i="1"/>
  <c r="FA10" i="1"/>
  <c r="FB10" i="1"/>
  <c r="FC10" i="1"/>
  <c r="FD10" i="1"/>
  <c r="FE10" i="1"/>
  <c r="FF10" i="1"/>
  <c r="FG10" i="1"/>
  <c r="FH10" i="1"/>
  <c r="FI10" i="1"/>
  <c r="FJ10" i="1"/>
  <c r="FK10" i="1"/>
  <c r="FL10" i="1"/>
  <c r="FM10" i="1"/>
  <c r="FN10" i="1"/>
  <c r="FO10" i="1"/>
  <c r="FP10" i="1"/>
  <c r="FQ10" i="1"/>
  <c r="FR10" i="1"/>
  <c r="FS10" i="1"/>
  <c r="FT10" i="1"/>
  <c r="FU10" i="1"/>
  <c r="FV10" i="1"/>
  <c r="FW10" i="1"/>
  <c r="FX10" i="1"/>
  <c r="FY10" i="1"/>
  <c r="FZ10" i="1"/>
  <c r="GA10" i="1"/>
  <c r="GB10" i="1"/>
  <c r="GC10" i="1"/>
  <c r="GD10" i="1"/>
  <c r="GE10" i="1"/>
  <c r="GF10" i="1"/>
  <c r="GG10" i="1"/>
  <c r="GH10" i="1"/>
  <c r="GI10" i="1"/>
  <c r="GJ10" i="1"/>
  <c r="GK10" i="1"/>
  <c r="GL10" i="1"/>
  <c r="GM10" i="1"/>
  <c r="GN10" i="1"/>
  <c r="GO10" i="1"/>
  <c r="GP10" i="1"/>
  <c r="GQ10" i="1"/>
  <c r="GR10" i="1"/>
  <c r="GS10" i="1"/>
  <c r="GT10" i="1"/>
  <c r="GU10" i="1"/>
  <c r="GV10" i="1"/>
  <c r="GW10" i="1"/>
  <c r="GX10" i="1"/>
  <c r="EM11" i="1"/>
  <c r="EN11" i="1"/>
  <c r="EO11" i="1"/>
  <c r="EP11" i="1"/>
  <c r="EQ11" i="1"/>
  <c r="ER11" i="1"/>
  <c r="ES11" i="1"/>
  <c r="ET11" i="1"/>
  <c r="EU11" i="1"/>
  <c r="EV11" i="1"/>
  <c r="EW11" i="1"/>
  <c r="EX11" i="1"/>
  <c r="EY11" i="1"/>
  <c r="EZ11" i="1"/>
  <c r="FA11" i="1"/>
  <c r="FB11" i="1"/>
  <c r="FC11" i="1"/>
  <c r="FD11" i="1"/>
  <c r="FE11" i="1"/>
  <c r="FF11" i="1"/>
  <c r="FG11" i="1"/>
  <c r="FH11" i="1"/>
  <c r="FI11" i="1"/>
  <c r="FJ11" i="1"/>
  <c r="FK11" i="1"/>
  <c r="FL11" i="1"/>
  <c r="FM11" i="1"/>
  <c r="FN11" i="1"/>
  <c r="FO11" i="1"/>
  <c r="FP11" i="1"/>
  <c r="FQ11" i="1"/>
  <c r="FR11" i="1"/>
  <c r="FS11" i="1"/>
  <c r="FT11" i="1"/>
  <c r="FU11" i="1"/>
  <c r="FV11" i="1"/>
  <c r="FW11" i="1"/>
  <c r="FX11" i="1"/>
  <c r="FY11" i="1"/>
  <c r="FZ11" i="1"/>
  <c r="GA11" i="1"/>
  <c r="GB11" i="1"/>
  <c r="GC11" i="1"/>
  <c r="GD11" i="1"/>
  <c r="GE11" i="1"/>
  <c r="GF11" i="1"/>
  <c r="GG11" i="1"/>
  <c r="GH11" i="1"/>
  <c r="GI11" i="1"/>
  <c r="GJ11" i="1"/>
  <c r="GK11" i="1"/>
  <c r="GL11" i="1"/>
  <c r="GM11" i="1"/>
  <c r="GN11" i="1"/>
  <c r="GO11" i="1"/>
  <c r="GP11" i="1"/>
  <c r="GQ11" i="1"/>
  <c r="GR11" i="1"/>
  <c r="GS11" i="1"/>
  <c r="GT11" i="1"/>
  <c r="GU11" i="1"/>
  <c r="GV11" i="1"/>
  <c r="GW11" i="1"/>
  <c r="GX11" i="1"/>
  <c r="EM12" i="1"/>
  <c r="EN12" i="1"/>
  <c r="EO12" i="1"/>
  <c r="EP12" i="1"/>
  <c r="EQ12" i="1"/>
  <c r="ER12" i="1"/>
  <c r="ES12" i="1"/>
  <c r="ET12" i="1"/>
  <c r="EU12" i="1"/>
  <c r="EV12" i="1"/>
  <c r="EW12" i="1"/>
  <c r="EX12" i="1"/>
  <c r="EY12" i="1"/>
  <c r="EZ12" i="1"/>
  <c r="FA12" i="1"/>
  <c r="FB12" i="1"/>
  <c r="FC12" i="1"/>
  <c r="FD12" i="1"/>
  <c r="FE12" i="1"/>
  <c r="FF12" i="1"/>
  <c r="FG12" i="1"/>
  <c r="FH12" i="1"/>
  <c r="FK12" i="1"/>
  <c r="FL12" i="1"/>
  <c r="FM12" i="1"/>
  <c r="FN12" i="1"/>
  <c r="FO12" i="1"/>
  <c r="FP12" i="1"/>
  <c r="FQ12" i="1"/>
  <c r="FR12" i="1"/>
  <c r="FS12" i="1"/>
  <c r="FT12" i="1"/>
  <c r="FU12" i="1"/>
  <c r="FV12" i="1"/>
  <c r="FW12" i="1"/>
  <c r="FX12" i="1"/>
  <c r="FY12" i="1"/>
  <c r="FZ12" i="1"/>
  <c r="GA12" i="1"/>
  <c r="GB12" i="1"/>
  <c r="GC12" i="1"/>
  <c r="GD12" i="1"/>
  <c r="GE12" i="1"/>
  <c r="GF12" i="1"/>
  <c r="GG12" i="1"/>
  <c r="GH12" i="1"/>
  <c r="GI12" i="1"/>
  <c r="GJ12" i="1"/>
  <c r="GK12" i="1"/>
  <c r="GL12" i="1"/>
  <c r="GM12" i="1"/>
  <c r="GN12" i="1"/>
  <c r="GO12" i="1"/>
  <c r="GP12" i="1"/>
  <c r="GQ12" i="1"/>
  <c r="GR12" i="1"/>
  <c r="GS12" i="1"/>
  <c r="GT12" i="1"/>
  <c r="GU12" i="1"/>
  <c r="GV12" i="1"/>
  <c r="GW12" i="1"/>
  <c r="GX12" i="1"/>
  <c r="BA25" i="1"/>
  <c r="FC3" i="1" l="1"/>
  <c r="GX3" i="1"/>
  <c r="GW3" i="1"/>
  <c r="GV3" i="1"/>
  <c r="GU3" i="1"/>
  <c r="GT3" i="1"/>
  <c r="GS3" i="1"/>
  <c r="GR3" i="1"/>
  <c r="GQ3" i="1"/>
  <c r="GP3" i="1"/>
  <c r="GO3" i="1"/>
  <c r="GN3" i="1"/>
  <c r="GM3" i="1"/>
  <c r="GL3" i="1"/>
  <c r="GK3" i="1"/>
  <c r="GJ3" i="1"/>
  <c r="GI3" i="1"/>
  <c r="GH3" i="1"/>
  <c r="GG3" i="1"/>
  <c r="GF3" i="1"/>
  <c r="GE3" i="1"/>
  <c r="GD3" i="1"/>
  <c r="GC3" i="1"/>
  <c r="GB3" i="1"/>
  <c r="GA3" i="1"/>
  <c r="FZ3" i="1"/>
  <c r="FY3" i="1"/>
  <c r="FX3" i="1"/>
  <c r="FW3" i="1"/>
  <c r="FV3" i="1"/>
  <c r="FU3" i="1"/>
  <c r="FT3" i="1"/>
  <c r="FS3" i="1"/>
  <c r="FR3" i="1"/>
  <c r="FQ3" i="1"/>
  <c r="FP3" i="1"/>
  <c r="FO3" i="1"/>
  <c r="FN3" i="1"/>
  <c r="FM3" i="1"/>
  <c r="FL3" i="1"/>
  <c r="FK3" i="1"/>
  <c r="FH3" i="1"/>
  <c r="FG3" i="1"/>
  <c r="FF3" i="1"/>
  <c r="FE3" i="1"/>
  <c r="FD3" i="1"/>
  <c r="FA3" i="1"/>
  <c r="FB3" i="1"/>
  <c r="EZ3" i="1"/>
  <c r="EY3" i="1"/>
  <c r="EX3" i="1"/>
  <c r="EW3" i="1"/>
  <c r="EV3" i="1"/>
  <c r="EU3" i="1"/>
  <c r="ET3" i="1"/>
  <c r="ES3" i="1"/>
  <c r="ER3" i="1"/>
  <c r="EQ3" i="1"/>
  <c r="EP3" i="1"/>
  <c r="EO3" i="1"/>
  <c r="EN3" i="1"/>
  <c r="EM3" i="1"/>
  <c r="AZ7" i="1"/>
  <c r="FI7" i="1" s="1"/>
  <c r="AZ8" i="1"/>
  <c r="FI8" i="1" s="1"/>
  <c r="AZ12" i="1"/>
  <c r="FI12" i="1" s="1"/>
  <c r="AZ15" i="1"/>
  <c r="BB4" i="1"/>
  <c r="FJ4" i="1" s="1"/>
  <c r="BB5" i="1"/>
  <c r="FJ5" i="1" s="1"/>
  <c r="BB7" i="1"/>
  <c r="BB12" i="1"/>
  <c r="BB15" i="1"/>
  <c r="BB21" i="1"/>
  <c r="BB22" i="1"/>
  <c r="FJ22" i="1" s="1"/>
  <c r="BB25" i="1"/>
  <c r="FJ25" i="1" s="1"/>
  <c r="BB3" i="1"/>
  <c r="BA6" i="1"/>
  <c r="BA7" i="1"/>
  <c r="BA12" i="1"/>
  <c r="BA15" i="1"/>
  <c r="BA21" i="1"/>
  <c r="BA23" i="1"/>
  <c r="AY6" i="1"/>
  <c r="AY15" i="1"/>
  <c r="AY21" i="1"/>
  <c r="AY23" i="1"/>
  <c r="FI21" i="1" l="1"/>
  <c r="FI15" i="1"/>
  <c r="FI23" i="1"/>
  <c r="FJ23" i="1"/>
  <c r="FJ7" i="1"/>
  <c r="FJ21" i="1"/>
  <c r="FJ12" i="1"/>
  <c r="FJ15" i="1"/>
  <c r="FI6" i="1"/>
  <c r="FJ6" i="1"/>
  <c r="FI3" i="1"/>
  <c r="FJ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 B</author>
    <author>tc={B4AC6245-6C23-45CD-8BFF-A8FC8B2923CA}</author>
    <author>tc={D28FCE7A-631A-437C-BF90-A878F91CE365}</author>
    <author>tc={73D77E4B-134B-4C66-BE49-5ED5C3BC7C44}</author>
    <author>tc={A5473E32-F391-4787-A92E-3DBEA10D68C2}</author>
    <author>tc={5A458437-9F9A-4327-B50C-A49595706C4A}</author>
    <author>tc={10AF39A0-3097-40A2-8A5D-62A4D12F140F}</author>
    <author>tc={F3DC8ABF-535E-49AA-8323-2D03C0955731}</author>
    <author>tc={A25F919B-31F3-4051-8E1D-FC1118DDD089}</author>
    <author>tc={78752FDF-2C98-4B03-B503-1DC2C2C97248}</author>
    <author>tc={712A8807-F2CE-4088-871B-B70A67032791}</author>
    <author>tc={409AE920-F9C3-4AA9-9184-E3E24CE19FB7}</author>
    <author>tc={AA229978-7DAD-4CBB-AE4B-D54BB7DDF014}</author>
    <author>tc={6F664069-3A16-4FB0-ABE3-79F7F74899AD}</author>
    <author>tc={DC8F9CB6-86E2-45C4-8879-C67FD431B0A7}</author>
    <author>tc={1EFBF891-1339-4CB4-AECD-00914DA7DA8A}</author>
    <author>tc={B872C95B-79C0-42DA-9ECB-6E0FFC6EEFB2}</author>
    <author>tc={66FEAADC-4D99-4DA6-928F-B057C59DBE06}</author>
    <author>tc={075532CB-BA67-4548-B4D2-5301F7054697}</author>
    <author>tc={B86D037B-4D43-4AE1-834B-0AB4D673FC80}</author>
    <author>tc={BD799B1F-6610-4829-A605-BF1383A49D08}</author>
    <author>tc={90ED50F0-FB3E-4BC6-9AD3-747E6DEF31BC}</author>
    <author>tc={2017F6FF-A5EB-4858-892B-3AC449A77E52}</author>
    <author>Neha G</author>
    <author>tc={3B2FA8E5-AC12-49C9-A523-6AC42F8CC469}</author>
    <author>tc={18F0FFC8-2A5E-4034-B385-C956E47DB753}</author>
    <author>tc={0D87FB41-3940-4CBC-8B77-59DA20133CBE}</author>
    <author>tc={FCCA2850-50F3-4F3C-AAFD-6FEAFEFD6648}</author>
    <author>tc={5E3ABA8B-9839-491C-9A4C-1201DBE04AB1}</author>
    <author>tc={665C1E21-371B-44FA-BEC4-A6BA79BF9885}</author>
    <author>tc={BCA3F2BB-03C6-4F4D-87BF-EAE6D94A7781}</author>
    <author>tc={3740302B-5123-4CEE-B1F3-E36BD344760F}</author>
    <author>tc={1645D374-2CC9-43E2-B860-2A49094D20A1}</author>
    <author>tc={FAD739C1-C9C2-4C47-8C07-EF34B1A25A35}</author>
    <author>tc={245E2A91-7257-4D75-894D-0BB7FF8B2231}</author>
    <author>tc={24A65134-409C-45E1-A8D0-76A72A6BC0DF}</author>
    <author>tc={44152AF2-A016-4F08-8AFE-95D3C4940B40}</author>
    <author>tc={15D8BEE0-1A1B-470C-B37F-A1161DF4836E}</author>
    <author>tc={90E25BFB-6602-4C58-AD2E-2A38BD81D50C}</author>
    <author>tc={06415C92-C53E-4326-8831-4045B4BAFAA3}</author>
    <author>tc={05279557-F3E7-4341-A46E-7444D3714183}</author>
    <author>tc={251ABE20-94CC-4999-8A3B-297883CE6FD6}</author>
    <author>tc={FE52134C-853E-4964-B424-C9974EE65B81}</author>
    <author>tc={6CE2A22E-33F1-4EBB-8193-9DAEBEB7435F}</author>
    <author>tc={67D4F972-245D-45FD-99B6-D486E06E8FD4}</author>
    <author>tc={140F0C21-9B75-4678-AFDA-0D03C5138DF6}</author>
    <author>tc={43B1213A-68DD-4A16-B371-3B9F04F7574D}</author>
    <author>tc={1E3598F2-EE56-4650-B48A-CB5B73D41077}</author>
    <author>tc={3E684F3C-E7B1-44E5-8C20-80AD725D6A52}</author>
    <author>tc={A2A80F2C-4062-4740-B8F6-62787344843C}</author>
    <author>tc={EA4A3EF5-A69F-4988-9B9C-15C858890D78}</author>
    <author>tc={A580D085-CA15-452E-A07C-2CA029A613E1}</author>
    <author>tc={824E52FA-AEED-4B55-A2B1-9308CBE78BC2}</author>
    <author>tc={637E414C-3A8B-4952-B11D-0F393BF6EA76}</author>
    <author>tc={288F9DCD-F795-4D3E-AB69-20CA2588B8CC}</author>
    <author>tc={B96E3072-9D02-4D9F-B423-B18ABFBDDADC}</author>
    <author>tc={1F8B6466-A366-4AA1-BCEB-41EBC7119981}</author>
    <author>tc={EF3FAC81-E606-4F83-9973-AC765A8A557F}</author>
    <author>tc={A76A4D27-1138-4C90-AE8D-B045BED97183}</author>
    <author>tc={15B8049D-4A54-49DA-B68A-5D760BBD9FD7}</author>
    <author>tc={59C48EA0-3893-41EF-AC71-9E3A476D272D}</author>
    <author>tc={A07EC678-33E2-49BC-941C-13206458537D}</author>
    <author>tc={A1CCEF1D-BE74-4A69-B7D8-E41112BCB589}</author>
    <author>tc={26218D16-578A-46C2-9655-481FA87C5D3B}</author>
    <author>tc={77C48134-0F1A-4C73-A584-4E5E6505427C}</author>
    <author>tc={99A101A4-CF3B-4D2E-A0D6-12B926B99990}</author>
    <author>tc={A2D03DC1-A5A0-4E31-9BBE-6BEB9648E54E}</author>
    <author>tc={4A858F2C-98AE-4666-B8DE-DC3ED0EAD609}</author>
    <author>tc={FBF1EEF9-6299-47A2-9E18-38D87C69FEE8}</author>
    <author>tc={D40BF45E-D2FB-4EF1-8FBB-756C564EA736}</author>
    <author>tc={98C7E2A4-0FEB-47E1-8065-0AA08399D6B5}</author>
    <author>tc={379F8B13-E77F-44B2-BD18-96ED30E4860E}</author>
    <author>tc={6CB0CEB8-37A7-4219-90EE-2CE7D91B53DB}</author>
    <author>tc={ADFA2D82-A4D7-48B0-A5E1-D7456D588D67}</author>
    <author>tc={8492E48E-54C5-40F9-B99C-C78AEDCEAEAE}</author>
    <author>tc={474EF95B-8945-4981-A8F8-10D89B41E985}</author>
    <author>tc={C387CB59-7D5B-4C3D-AAA3-815FBDCEDDA3}</author>
    <author>tc={55FF6EEA-C32C-4C17-9C3F-A8061020DE98}</author>
  </authors>
  <commentList>
    <comment ref="O3" authorId="0" shapeId="0" xr:uid="{B10AC8DA-04BF-4D11-8CD3-CF5F419EFB68}">
      <text>
        <r>
          <rPr>
            <b/>
            <sz val="9"/>
            <color indexed="81"/>
            <rFont val="Tahoma"/>
            <family val="2"/>
          </rPr>
          <t>R B:</t>
        </r>
        <r>
          <rPr>
            <sz val="9"/>
            <color indexed="81"/>
            <rFont val="Tahoma"/>
            <family val="2"/>
          </rPr>
          <t xml:space="preserve">
White/other</t>
        </r>
      </text>
    </comment>
    <comment ref="P3" authorId="1" shapeId="0" xr:uid="{B4AC6245-6C23-45CD-8BFF-A8FC8B2923CA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White or other </t>
      </text>
    </comment>
    <comment ref="V3" authorId="2" shapeId="0" xr:uid="{D28FCE7A-631A-437C-BF90-A878F91CE365}">
      <text>
        <t>[Threaded comment]
Your version of Excel allows you to read this threaded comment; however, any edits to it will get removed if the file is opened in a newer version of Excel. Learn more: https://go.microsoft.com/fwlink/?linkid=870924
Comment:
    psych ED</t>
      </text>
    </comment>
    <comment ref="CS3" authorId="0" shapeId="0" xr:uid="{F6BA7292-8E5A-4FA7-9E69-0E69242174C6}">
      <text>
        <r>
          <rPr>
            <b/>
            <sz val="9"/>
            <color indexed="81"/>
            <rFont val="Tahoma"/>
            <family val="2"/>
          </rPr>
          <t>R B:</t>
        </r>
        <r>
          <rPr>
            <sz val="9"/>
            <color indexed="81"/>
            <rFont val="Tahoma"/>
            <family val="2"/>
          </rPr>
          <t xml:space="preserve">
Not specified, but implied in method section "multiple data sources included […] and results of urine toxicologic screens conducted routinely on all emergency department admissions"</t>
        </r>
      </text>
    </comment>
    <comment ref="CT3" authorId="3" shapeId="0" xr:uid="{73D77E4B-134B-4C66-BE49-5ED5C3BC7C44}">
      <text>
        <t>[Threaded comment]
Your version of Excel allows you to read this threaded comment; however, any edits to it will get removed if the file is opened in a newer version of Excel. Learn more: https://go.microsoft.com/fwlink/?linkid=870924
Comment:
    Whole sample - done on admission to psychiatric emergency department</t>
      </text>
    </comment>
    <comment ref="CV3" authorId="4" shapeId="0" xr:uid="{A5473E32-F391-4787-A92E-3DBEA10D68C2}">
      <text>
        <t>[Threaded comment]
Your version of Excel allows you to read this threaded comment; however, any edits to it will get removed if the file is opened in a newer version of Excel. Learn more: https://go.microsoft.com/fwlink/?linkid=870924
Comment:
    Psychiatric assessment (DSM -5) and PRISM interview - whole sample</t>
      </text>
    </comment>
    <comment ref="CW3" authorId="0" shapeId="0" xr:uid="{95DDD017-D9FA-4D5A-8ADC-EEE8EEA6EA47}">
      <text>
        <r>
          <rPr>
            <b/>
            <sz val="9"/>
            <color indexed="81"/>
            <rFont val="Tahoma"/>
            <family val="2"/>
          </rPr>
          <t>R B:</t>
        </r>
        <r>
          <rPr>
            <sz val="9"/>
            <color indexed="81"/>
            <rFont val="Tahoma"/>
            <family val="2"/>
          </rPr>
          <t xml:space="preserve">
PRISM</t>
        </r>
      </text>
    </comment>
    <comment ref="CX3" authorId="5" shapeId="0" xr:uid="{5A458437-9F9A-4327-B50C-A49595706C4A}">
      <text>
        <t>[Threaded comment]
Your version of Excel allows you to read this threaded comment; however, any edits to it will get removed if the file is opened in a newer version of Excel. Learn more: https://go.microsoft.com/fwlink/?linkid=870924
Comment:
    PRISM</t>
      </text>
    </comment>
    <comment ref="L4" authorId="6" shapeId="0" xr:uid="{10AF39A0-3097-40A2-8A5D-62A4D12F140F}">
      <text>
        <t>[Threaded comment]
Your version of Excel allows you to read this threaded comment; however, any edits to it will get removed if the file is opened in a newer version of Excel. Learn more: https://go.microsoft.com/fwlink/?linkid=870924
Comment:
    Median age range - mean not available</t>
      </text>
    </comment>
    <comment ref="S4" authorId="0" shapeId="0" xr:uid="{F573083F-DCAE-45DE-8C3C-4A9BF417238F}">
      <text>
        <r>
          <rPr>
            <b/>
            <sz val="9"/>
            <color indexed="81"/>
            <rFont val="Tahoma"/>
            <family val="2"/>
          </rPr>
          <t>R B:</t>
        </r>
        <r>
          <rPr>
            <sz val="9"/>
            <color indexed="81"/>
            <rFont val="Tahoma"/>
            <family val="2"/>
          </rPr>
          <t xml:space="preserve">
Non-white</t>
        </r>
      </text>
    </comment>
    <comment ref="T4" authorId="7" shapeId="0" xr:uid="{F3DC8ABF-535E-49AA-8323-2D03C0955731}">
      <text>
        <t>[Threaded comment]
Your version of Excel allows you to read this threaded comment; however, any edits to it will get removed if the file is opened in a newer version of Excel. Learn more: https://go.microsoft.com/fwlink/?linkid=870924
Comment:
    Non-white but doesn't specify</t>
      </text>
    </comment>
    <comment ref="Z4" authorId="0" shapeId="0" xr:uid="{097A4E78-438E-4B6F-815A-168ECE5AA789}">
      <text>
        <r>
          <rPr>
            <b/>
            <sz val="9"/>
            <color rgb="FF000000"/>
            <rFont val="Tahoma"/>
            <family val="2"/>
          </rPr>
          <t>R B: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EIS</t>
        </r>
      </text>
    </comment>
    <comment ref="CS4" authorId="0" shapeId="0" xr:uid="{34FF8BBF-5FE7-4284-BCFD-B8E3CAAE6A01}">
      <text>
        <r>
          <rPr>
            <b/>
            <sz val="9"/>
            <color indexed="81"/>
            <rFont val="Tahoma"/>
            <family val="2"/>
          </rPr>
          <t>R B:</t>
        </r>
        <r>
          <rPr>
            <sz val="9"/>
            <color indexed="81"/>
            <rFont val="Tahoma"/>
            <family val="2"/>
          </rPr>
          <t xml:space="preserve">
Not specified but implied;"toxicological screening for cocaine and tetrahydrocannabinol metabolites"; doesn't specify urine or blood</t>
        </r>
      </text>
    </comment>
    <comment ref="CV4" authorId="8" shapeId="0" xr:uid="{A25F919B-31F3-4051-8E1D-FC1118DDD089}">
      <text>
        <t>[Threaded comment]
Your version of Excel allows you to read this threaded comment; however, any edits to it will get removed if the file is opened in a newer version of Excel. Learn more: https://go.microsoft.com/fwlink/?linkid=870924
Comment:
    SCID</t>
      </text>
    </comment>
    <comment ref="CW4" authorId="0" shapeId="0" xr:uid="{C76FDCC0-B00B-4AD4-8103-9E2EAAD260C7}">
      <text>
        <r>
          <rPr>
            <b/>
            <sz val="9"/>
            <color indexed="81"/>
            <rFont val="Tahoma"/>
            <family val="2"/>
          </rPr>
          <t>R B:</t>
        </r>
        <r>
          <rPr>
            <sz val="9"/>
            <color indexed="81"/>
            <rFont val="Tahoma"/>
            <family val="2"/>
          </rPr>
          <t xml:space="preserve">
SCID</t>
        </r>
      </text>
    </comment>
    <comment ref="CX4" authorId="9" shapeId="0" xr:uid="{78752FDF-2C98-4B03-B503-1DC2C2C97248}">
      <text>
        <t>[Threaded comment]
Your version of Excel allows you to read this threaded comment; however, any edits to it will get removed if the file is opened in a newer version of Excel. Learn more: https://go.microsoft.com/fwlink/?linkid=870924
Comment:
    SCID</t>
      </text>
    </comment>
    <comment ref="CZ4" authorId="10" shapeId="0" xr:uid="{712A8807-F2CE-4088-871B-B70A67032791}">
      <text>
        <t>[Threaded comment]
Your version of Excel allows you to read this threaded comment; however, any edits to it will get removed if the file is opened in a newer version of Excel. Learn more: https://go.microsoft.com/fwlink/?linkid=870924
Comment:
    Physical and neurological - whole cohort</t>
      </text>
    </comment>
    <comment ref="DF4" authorId="11" shapeId="0" xr:uid="{409AE920-F9C3-4AA9-9184-E3E24CE19FB7}">
      <text>
        <t>[Threaded comment]
Your version of Excel allows you to read this threaded comment; however, any edits to it will get removed if the file is opened in a newer version of Excel. Learn more: https://go.microsoft.com/fwlink/?linkid=870924
Comment:
    Brief Psychiatric Rating Scale (BPRS) and the Global Assessment of Functioning Scale (GAF)</t>
      </text>
    </comment>
    <comment ref="M5" authorId="0" shapeId="0" xr:uid="{89B69639-BD67-497D-859F-B28D768CF364}">
      <text>
        <r>
          <rPr>
            <b/>
            <sz val="9"/>
            <color indexed="81"/>
            <rFont val="Tahoma"/>
            <family val="2"/>
          </rPr>
          <t>R B:</t>
        </r>
        <r>
          <rPr>
            <sz val="9"/>
            <color indexed="81"/>
            <rFont val="Tahoma"/>
            <family val="2"/>
          </rPr>
          <t xml:space="preserve">
95 Primary/57 Secondary</t>
        </r>
      </text>
    </comment>
    <comment ref="N5" authorId="12" shapeId="0" xr:uid="{AA229978-7DAD-4CBB-AE4B-D54BB7DDF014}">
      <text>
        <t>[Threaded comment]
Your version of Excel allows you to read this threaded comment; however, any edits to it will get removed if the file is opened in a newer version of Excel. Learn more: https://go.microsoft.com/fwlink/?linkid=870924
Comment:
    95 primary, 57 secondary</t>
      </text>
    </comment>
    <comment ref="O5" authorId="0" shapeId="0" xr:uid="{CF523AB0-A2F9-481F-90C7-E66614B1D8A5}">
      <text>
        <r>
          <rPr>
            <b/>
            <sz val="9"/>
            <color indexed="81"/>
            <rFont val="Tahoma"/>
            <family val="2"/>
          </rPr>
          <t>R B:</t>
        </r>
        <r>
          <rPr>
            <sz val="9"/>
            <color indexed="81"/>
            <rFont val="Tahoma"/>
            <family val="2"/>
          </rPr>
          <t xml:space="preserve">
Primary 38/ Secondary 14
White/other</t>
        </r>
      </text>
    </comment>
    <comment ref="P5" authorId="13" shapeId="0" xr:uid="{6F664069-3A16-4FB0-ABE3-79F7F74899AD}">
      <text>
        <t>[Threaded comment]
Your version of Excel allows you to read this threaded comment; however, any edits to it will get removed if the file is opened in a newer version of Excel. Learn more: https://go.microsoft.com/fwlink/?linkid=870924
Comment:
    38 primary / 14 secondary - white / other</t>
      </text>
    </comment>
    <comment ref="S5" authorId="0" shapeId="0" xr:uid="{3A91BAED-73CC-4802-AD4C-70CC09159F8B}">
      <text>
        <r>
          <rPr>
            <b/>
            <sz val="9"/>
            <color indexed="81"/>
            <rFont val="Tahoma"/>
            <family val="2"/>
          </rPr>
          <t>R B:</t>
        </r>
        <r>
          <rPr>
            <sz val="9"/>
            <color indexed="81"/>
            <rFont val="Tahoma"/>
            <family val="2"/>
          </rPr>
          <t xml:space="preserve">
Primary 84/ Secondary 63
Hispanic</t>
        </r>
      </text>
    </comment>
    <comment ref="T5" authorId="14" shapeId="0" xr:uid="{DC8F9CB6-86E2-45C4-8879-C67FD431B0A7}">
      <text>
        <t>[Threaded comment]
Your version of Excel allows you to read this threaded comment; however, any edits to it will get removed if the file is opened in a newer version of Excel. Learn more: https://go.microsoft.com/fwlink/?linkid=870924
Comment:
    84 primary / 63 secondary - Hispanic</t>
      </text>
    </comment>
    <comment ref="V5" authorId="15" shapeId="0" xr:uid="{1EFBF891-1339-4CB4-AECD-00914DA7DA8A}">
      <text>
        <t>[Threaded comment]
Your version of Excel allows you to read this threaded comment; however, any edits to it will get removed if the file is opened in a newer version of Excel. Learn more: https://go.microsoft.com/fwlink/?linkid=870924
Comment:
    Psychiatric emergency department</t>
      </text>
    </comment>
    <comment ref="CV5" authorId="16" shapeId="0" xr:uid="{B872C95B-79C0-42DA-9ECB-6E0FFC6EEFB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And PRISM questionnaire
</t>
      </text>
    </comment>
    <comment ref="CW5" authorId="0" shapeId="0" xr:uid="{ACB28520-17FF-401C-A203-D0BB951C55EA}">
      <text>
        <r>
          <rPr>
            <b/>
            <sz val="9"/>
            <color rgb="FF000000"/>
            <rFont val="Tahoma"/>
            <family val="2"/>
          </rPr>
          <t>R B: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PRISM</t>
        </r>
      </text>
    </comment>
    <comment ref="CX5" authorId="17" shapeId="0" xr:uid="{66FEAADC-4D99-4DA6-928F-B057C59DBE06}">
      <text>
        <t>[Threaded comment]
Your version of Excel allows you to read this threaded comment; however, any edits to it will get removed if the file is opened in a newer version of Excel. Learn more: https://go.microsoft.com/fwlink/?linkid=870924
Comment:
    PRISM</t>
      </text>
    </comment>
    <comment ref="CG6" authorId="0" shapeId="0" xr:uid="{00677741-6885-41F8-B5DD-685947C51835}">
      <text>
        <r>
          <rPr>
            <b/>
            <sz val="9"/>
            <color indexed="81"/>
            <rFont val="Tahoma"/>
            <family val="2"/>
          </rPr>
          <t>R B:</t>
        </r>
        <r>
          <rPr>
            <sz val="9"/>
            <color indexed="81"/>
            <rFont val="Tahoma"/>
            <family val="2"/>
          </rPr>
          <t xml:space="preserve">
Offered to all, 74/76 completed
1.5 Tesla</t>
        </r>
      </text>
    </comment>
    <comment ref="CO6" authorId="0" shapeId="0" xr:uid="{8AE9D798-DF86-47A9-A915-B709E9AAC05D}">
      <text>
        <r>
          <rPr>
            <b/>
            <sz val="9"/>
            <color rgb="FF000000"/>
            <rFont val="Tahoma"/>
            <family val="2"/>
          </rPr>
          <t>R B: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Offered to all, 48/76 completed</t>
        </r>
      </text>
    </comment>
    <comment ref="CP6" authorId="18" shapeId="0" xr:uid="{075532CB-BA67-4548-B4D2-5301F7054697}">
      <text>
        <t>[Threaded comment]
Your version of Excel allows you to read this threaded comment; however, any edits to it will get removed if the file is opened in a newer version of Excel. Learn more: https://go.microsoft.com/fwlink/?linkid=870924
Comment:
    LP</t>
      </text>
    </comment>
    <comment ref="CQ6" authorId="0" shapeId="0" xr:uid="{04D75C36-C927-4739-9380-E3768557F89A}">
      <text>
        <r>
          <rPr>
            <b/>
            <sz val="9"/>
            <color indexed="81"/>
            <rFont val="Tahoma"/>
            <family val="2"/>
          </rPr>
          <t>R B:</t>
        </r>
        <r>
          <rPr>
            <sz val="9"/>
            <color indexed="81"/>
            <rFont val="Tahoma"/>
            <family val="2"/>
          </rPr>
          <t xml:space="preserve">
Not all parameters examined in each patient</t>
        </r>
      </text>
    </comment>
    <comment ref="CY6" authorId="0" shapeId="0" xr:uid="{114884F2-E366-46FE-8233-5C35CBDAE182}">
      <text>
        <r>
          <rPr>
            <b/>
            <sz val="9"/>
            <color indexed="81"/>
            <rFont val="Tahoma"/>
            <family val="2"/>
          </rPr>
          <t>R B:</t>
        </r>
        <r>
          <rPr>
            <sz val="9"/>
            <color indexed="81"/>
            <rFont val="Tahoma"/>
            <family val="2"/>
          </rPr>
          <t xml:space="preserve">
"Test battery for attentional performance"</t>
        </r>
      </text>
    </comment>
    <comment ref="I7" authorId="0" shapeId="0" xr:uid="{E701CFF5-9BA5-42A3-8154-868DAF28BD1D}">
      <text>
        <r>
          <rPr>
            <b/>
            <sz val="9"/>
            <color indexed="81"/>
            <rFont val="Tahoma"/>
            <family val="2"/>
          </rPr>
          <t>R B:</t>
        </r>
        <r>
          <rPr>
            <sz val="9"/>
            <color indexed="81"/>
            <rFont val="Tahoma"/>
            <family val="2"/>
          </rPr>
          <t xml:space="preserve">
Substance-induced 25.6/ Secondary 40.1</t>
        </r>
      </text>
    </comment>
    <comment ref="K7" authorId="0" shapeId="0" xr:uid="{C29D3099-5CE4-48CD-A91E-7AB329C07CDB}">
      <text>
        <r>
          <rPr>
            <b/>
            <sz val="9"/>
            <color indexed="81"/>
            <rFont val="Tahoma"/>
            <family val="2"/>
          </rPr>
          <t>R B:</t>
        </r>
        <r>
          <rPr>
            <sz val="9"/>
            <color indexed="81"/>
            <rFont val="Tahoma"/>
            <family val="2"/>
          </rPr>
          <t xml:space="preserve">
25.6/28.7/40.1 substance-induced/primary/secondary</t>
        </r>
      </text>
    </comment>
    <comment ref="M7" authorId="0" shapeId="0" xr:uid="{3BE5A001-289C-445A-AA36-61958237FF87}">
      <text>
        <r>
          <rPr>
            <b/>
            <sz val="9"/>
            <color rgb="FF000000"/>
            <rFont val="Tahoma"/>
            <family val="2"/>
          </rPr>
          <t>R B: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African</t>
        </r>
      </text>
    </comment>
    <comment ref="N7" authorId="19" shapeId="0" xr:uid="{B86D037B-4D43-4AE1-834B-0AB4D673FC80}">
      <text>
        <t>[Threaded comment]
Your version of Excel allows you to read this threaded comment; however, any edits to it will get removed if the file is opened in a newer version of Excel. Learn more: https://go.microsoft.com/fwlink/?linkid=870924
Comment:
    african</t>
      </text>
    </comment>
    <comment ref="S7" authorId="0" shapeId="0" xr:uid="{ACA189C8-6E39-4415-8158-8C7D4AD4C07B}">
      <text>
        <r>
          <rPr>
            <b/>
            <sz val="9"/>
            <color indexed="81"/>
            <rFont val="Tahoma"/>
            <family val="2"/>
          </rPr>
          <t>R B:</t>
        </r>
        <r>
          <rPr>
            <sz val="9"/>
            <color indexed="81"/>
            <rFont val="Tahoma"/>
            <family val="2"/>
          </rPr>
          <t xml:space="preserve">
Mixed race</t>
        </r>
      </text>
    </comment>
    <comment ref="CV7" authorId="20" shapeId="0" xr:uid="{BD799B1F-6610-4829-A605-BF1383A49D08}">
      <text>
        <t>[Threaded comment]
Your version of Excel allows you to read this threaded comment; however, any edits to it will get removed if the file is opened in a newer version of Excel. Learn more: https://go.microsoft.com/fwlink/?linkid=870924
Comment:
    DSM-5 diagnosis and PRISM interview</t>
      </text>
    </comment>
    <comment ref="DI7" authorId="0" shapeId="0" xr:uid="{389D4408-FE35-4ABD-90AC-F3D5A2232B8B}">
      <text>
        <r>
          <rPr>
            <b/>
            <sz val="9"/>
            <color indexed="81"/>
            <rFont val="Tahoma"/>
            <family val="2"/>
          </rPr>
          <t>R B:</t>
        </r>
        <r>
          <rPr>
            <sz val="9"/>
            <color indexed="81"/>
            <rFont val="Tahoma"/>
            <family val="2"/>
          </rPr>
          <t xml:space="preserve">
Author defined first-presentation/FEP as 1 or more psychotic symptoms</t>
        </r>
      </text>
    </comment>
    <comment ref="CV8" authorId="21" shapeId="0" xr:uid="{90ED50F0-FB3E-4BC6-9AD3-747E6DEF31BC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 Psychiatric Assessment 
</t>
      </text>
    </comment>
    <comment ref="CZ8" authorId="22" shapeId="0" xr:uid="{2017F6FF-A5EB-4858-892B-3AC449A77E52}">
      <text>
        <t>[Threaded comment]
Your version of Excel allows you to read this threaded comment; however, any edits to it will get removed if the file is opened in a newer version of Excel. Learn more: https://go.microsoft.com/fwlink/?linkid=870924
Comment:
    Neurological exam and vital signs taken</t>
      </text>
    </comment>
    <comment ref="DC8" authorId="0" shapeId="0" xr:uid="{5B99A61A-0FB5-40C5-9CB6-3B467F0157DC}">
      <text>
        <r>
          <rPr>
            <b/>
            <sz val="9"/>
            <color indexed="81"/>
            <rFont val="Tahoma"/>
            <family val="2"/>
          </rPr>
          <t>R B:</t>
        </r>
        <r>
          <rPr>
            <sz val="9"/>
            <color indexed="81"/>
            <rFont val="Tahoma"/>
            <family val="2"/>
          </rPr>
          <t xml:space="preserve">
Working memory test</t>
        </r>
      </text>
    </comment>
    <comment ref="DI8" authorId="0" shapeId="0" xr:uid="{8EB4B286-1958-4CA2-B2A5-8880CAA68A56}">
      <text>
        <r>
          <rPr>
            <b/>
            <sz val="9"/>
            <color indexed="81"/>
            <rFont val="Tahoma"/>
            <family val="2"/>
          </rPr>
          <t>R B:</t>
        </r>
        <r>
          <rPr>
            <sz val="9"/>
            <color indexed="81"/>
            <rFont val="Tahoma"/>
            <family val="2"/>
          </rPr>
          <t xml:space="preserve">
Fusar-Poli et al (2016) definition of FEP</t>
        </r>
      </text>
    </comment>
    <comment ref="AK9" authorId="0" shapeId="0" xr:uid="{E5041A00-F56D-4110-AD83-5E1D85DA54A7}">
      <text>
        <r>
          <rPr>
            <b/>
            <sz val="9"/>
            <color indexed="81"/>
            <rFont val="Tahoma"/>
            <family val="2"/>
          </rPr>
          <t>R B:</t>
        </r>
        <r>
          <rPr>
            <sz val="9"/>
            <color indexed="81"/>
            <rFont val="Tahoma"/>
            <family val="2"/>
          </rPr>
          <t xml:space="preserve">
Not specified but likely as focusing on children/adolescents</t>
        </r>
      </text>
    </comment>
    <comment ref="CN9" authorId="23" shapeId="0" xr:uid="{3D8C69E4-2373-4352-91FF-4DD7D1D11624}">
      <text>
        <r>
          <rPr>
            <b/>
            <sz val="9"/>
            <color indexed="81"/>
            <rFont val="Tahoma"/>
            <family val="2"/>
          </rPr>
          <t>Neha G:</t>
        </r>
        <r>
          <rPr>
            <sz val="9"/>
            <color indexed="81"/>
            <rFont val="Tahoma"/>
            <family val="2"/>
          </rPr>
          <t xml:space="preserve">
frequency unknown</t>
        </r>
      </text>
    </comment>
    <comment ref="DE9" authorId="0" shapeId="0" xr:uid="{5872A462-4B7E-42BA-ADAD-C94C42807390}">
      <text>
        <r>
          <rPr>
            <b/>
            <sz val="9"/>
            <color indexed="81"/>
            <rFont val="Tahoma"/>
            <family val="2"/>
          </rPr>
          <t>R B:</t>
        </r>
        <r>
          <rPr>
            <sz val="9"/>
            <color indexed="81"/>
            <rFont val="Tahoma"/>
            <family val="2"/>
          </rPr>
          <t xml:space="preserve">
"Comprehensive medical workup"</t>
        </r>
      </text>
    </comment>
    <comment ref="K10" authorId="0" shapeId="0" xr:uid="{E1CA01F1-7E5B-4457-AA56-EF64EB423DA0}">
      <text>
        <r>
          <rPr>
            <b/>
            <sz val="9"/>
            <color indexed="81"/>
            <rFont val="Tahoma"/>
            <family val="2"/>
          </rPr>
          <t>R B:</t>
        </r>
        <r>
          <rPr>
            <sz val="9"/>
            <color indexed="81"/>
            <rFont val="Tahoma"/>
            <family val="2"/>
          </rPr>
          <t xml:space="preserve">
Median 30 (14-75)</t>
        </r>
      </text>
    </comment>
    <comment ref="CN10" authorId="23" shapeId="0" xr:uid="{FA323ED1-D06E-4834-B571-019541C6562F}">
      <text>
        <r>
          <rPr>
            <b/>
            <sz val="9"/>
            <color indexed="81"/>
            <rFont val="Tahoma"/>
            <family val="2"/>
          </rPr>
          <t>Neha G: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CZ10" authorId="24" shapeId="0" xr:uid="{3B2FA8E5-AC12-49C9-A523-6AC42F8CC469}">
      <text>
        <t>[Threaded comment]
Your version of Excel allows you to read this threaded comment; however, any edits to it will get removed if the file is opened in a newer version of Excel. Learn more: https://go.microsoft.com/fwlink/?linkid=870924
Comment:
    Neurological evaluation, blood cell count, electrolytes, liver and renal function tests, toxicology screening</t>
      </text>
    </comment>
    <comment ref="CH11" authorId="25" shapeId="0" xr:uid="{18F0FFC8-2A5E-4034-B385-C956E47DB753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Used with two patients with potential organic cause
</t>
      </text>
    </comment>
    <comment ref="CJ11" authorId="26" shapeId="0" xr:uid="{0D87FB41-3940-4CBC-8B77-59DA20133CBE}">
      <text>
        <t>[Threaded comment]
Your version of Excel allows you to read this threaded comment; however, any edits to it will get removed if the file is opened in a newer version of Excel. Learn more: https://go.microsoft.com/fwlink/?linkid=870924
Comment:
    Used in whole sample</t>
      </text>
    </comment>
    <comment ref="CL11" authorId="27" shapeId="0" xr:uid="{FCCA2850-50F3-4F3C-AAFD-6FEAFEFD6648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Used for one patient
</t>
      </text>
    </comment>
    <comment ref="CN11" authorId="28" shapeId="0" xr:uid="{5E3ABA8B-9839-491C-9A4C-1201DBE04AB1}">
      <text>
        <t>[Threaded comment]
Your version of Excel allows you to read this threaded comment; however, any edits to it will get removed if the file is opened in a newer version of Excel. Learn more: https://go.microsoft.com/fwlink/?linkid=870924
Comment:
    Used for one patient</t>
      </text>
    </comment>
    <comment ref="CP11" authorId="29" shapeId="0" xr:uid="{665C1E21-371B-44FA-BEC4-A6BA79BF9885}">
      <text>
        <t>[Threaded comment]
Your version of Excel allows you to read this threaded comment; however, any edits to it will get removed if the file is opened in a newer version of Excel. Learn more: https://go.microsoft.com/fwlink/?linkid=870924
Comment:
    Used for one patient - LP</t>
      </text>
    </comment>
    <comment ref="CR11" authorId="30" shapeId="0" xr:uid="{BCA3F2BB-03C6-4F4D-87BF-EAE6D94A7781}">
      <text>
        <t>[Threaded comment]
Your version of Excel allows you to read this threaded comment; however, any edits to it will get removed if the file is opened in a newer version of Excel. Learn more: https://go.microsoft.com/fwlink/?linkid=870924
Comment:
    Used for one patient</t>
      </text>
    </comment>
    <comment ref="CV12" authorId="31" shapeId="0" xr:uid="{3740302B-5123-4CEE-B1F3-E36BD344760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Psych and neurological assessment and physical eg poor visual activity
</t>
      </text>
    </comment>
    <comment ref="CZ12" authorId="32" shapeId="0" xr:uid="{1645D374-2CC9-43E2-B860-2A49094D20A1}">
      <text>
        <t>[Threaded comment]
Your version of Excel allows you to read this threaded comment; however, any edits to it will get removed if the file is opened in a newer version of Excel. Learn more: https://go.microsoft.com/fwlink/?linkid=870924
Comment:
    Neurological examination - as and when  needed</t>
      </text>
    </comment>
    <comment ref="CN13" authorId="23" shapeId="0" xr:uid="{633BF0AB-DD65-4F12-B29E-4EEB8C6D87A5}">
      <text>
        <r>
          <rPr>
            <b/>
            <sz val="9"/>
            <color indexed="81"/>
            <rFont val="Tahoma"/>
            <family val="2"/>
          </rPr>
          <t>Neha G:</t>
        </r>
        <r>
          <rPr>
            <sz val="9"/>
            <color indexed="81"/>
            <rFont val="Tahoma"/>
            <family val="2"/>
          </rPr>
          <t xml:space="preserve">
frequency unknown</t>
        </r>
      </text>
    </comment>
    <comment ref="H14" authorId="33" shapeId="0" xr:uid="{FAD739C1-C9C2-4C47-8C07-EF34B1A25A35}">
      <text>
        <t>[Threaded comment]
Your version of Excel allows you to read this threaded comment; however, any edits to it will get removed if the file is opened in a newer version of Excel. Learn more: https://go.microsoft.com/fwlink/?linkid=870924
Comment:
    33 FEP, 45 TRS Cohort</t>
      </text>
    </comment>
    <comment ref="J14" authorId="34" shapeId="0" xr:uid="{245E2A91-7257-4D75-894D-0BB7FF8B2231}">
      <text>
        <t>[Threaded comment]
Your version of Excel allows you to read this threaded comment; however, any edits to it will get removed if the file is opened in a newer version of Excel. Learn more: https://go.microsoft.com/fwlink/?linkid=870924
Comment:
    33 FEP, 45 TRS Cohort</t>
      </text>
    </comment>
    <comment ref="K14" authorId="0" shapeId="0" xr:uid="{26C8DC49-079C-4113-B56A-2C5261561AB7}">
      <text>
        <r>
          <rPr>
            <b/>
            <sz val="9"/>
            <color rgb="FF000000"/>
            <rFont val="Tahoma"/>
            <family val="2"/>
          </rPr>
          <t>R B: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33/45 FEP/chronic cohorts</t>
        </r>
      </text>
    </comment>
    <comment ref="N14" authorId="35" shapeId="0" xr:uid="{24A65134-409C-45E1-A8D0-76A72A6BC0DF}">
      <text>
        <t>[Threaded comment]
Your version of Excel allows you to read this threaded comment; however, any edits to it will get removed if the file is opened in a newer version of Excel. Learn more: https://go.microsoft.com/fwlink/?linkid=870924
Comment:
    4 FEP, 1 TRS</t>
      </text>
    </comment>
    <comment ref="P14" authorId="36" shapeId="0" xr:uid="{44152AF2-A016-4F08-8AFE-95D3C4940B40}">
      <text>
        <t>[Threaded comment]
Your version of Excel allows you to read this threaded comment; however, any edits to it will get removed if the file is opened in a newer version of Excel. Learn more: https://go.microsoft.com/fwlink/?linkid=870924
Comment:
    106 FEP, 97 TRS</t>
      </text>
    </comment>
    <comment ref="R14" authorId="37" shapeId="0" xr:uid="{15D8BEE0-1A1B-470C-B37F-A1161DF4836E}">
      <text>
        <t>[Threaded comment]
Your version of Excel allows you to read this threaded comment; however, any edits to it will get removed if the file is opened in a newer version of Excel. Learn more: https://go.microsoft.com/fwlink/?linkid=870924
Comment:
    2 FEP, 2 TRS</t>
      </text>
    </comment>
    <comment ref="AT14" authorId="38" shapeId="0" xr:uid="{90E25BFB-6602-4C58-AD2E-2A38BD81D50C}">
      <text>
        <t>[Threaded comment]
Your version of Excel allows you to read this threaded comment; however, any edits to it will get removed if the file is opened in a newer version of Excel. Learn more: https://go.microsoft.com/fwlink/?linkid=870924
Comment:
     (112 FEP), 100 (TRS)</t>
      </text>
    </comment>
    <comment ref="CD14" authorId="0" shapeId="0" xr:uid="{D20A9A23-7B03-435D-8EDB-73022F1BE582}">
      <text>
        <r>
          <rPr>
            <b/>
            <sz val="9"/>
            <color rgb="FF000000"/>
            <rFont val="Tahoma"/>
            <family val="2"/>
          </rPr>
          <t>R B: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Non-causative findings</t>
        </r>
      </text>
    </comment>
    <comment ref="CH14" authorId="39" shapeId="0" xr:uid="{06415C92-C53E-4326-8831-4045B4BAFAA3}">
      <text>
        <t>[Threaded comment]
Your version of Excel allows you to read this threaded comment; however, any edits to it will get removed if the file is opened in a newer version of Excel. Learn more: https://go.microsoft.com/fwlink/?linkid=870924
Comment:
    Seropositive cases</t>
      </text>
    </comment>
    <comment ref="CN14" authorId="40" shapeId="0" xr:uid="{05279557-F3E7-4341-A46E-7444D3714183}">
      <text>
        <t>[Threaded comment]
Your version of Excel allows you to read this threaded comment; however, any edits to it will get removed if the file is opened in a newer version of Excel. Learn more: https://go.microsoft.com/fwlink/?linkid=870924
Comment:
    Seropositive cases</t>
      </text>
    </comment>
    <comment ref="CP14" authorId="41" shapeId="0" xr:uid="{251ABE20-94CC-4999-8A3B-297883CE6FD6}">
      <text>
        <t>[Threaded comment]
Your version of Excel allows you to read this threaded comment; however, any edits to it will get removed if the file is opened in a newer version of Excel. Learn more: https://go.microsoft.com/fwlink/?linkid=870924
Comment:
    Seropositive cases</t>
      </text>
    </comment>
    <comment ref="CR14" authorId="42" shapeId="0" xr:uid="{FE52134C-853E-4964-B424-C9974EE65B81}">
      <text>
        <t>[Threaded comment]
Your version of Excel allows you to read this threaded comment; however, any edits to it will get removed if the file is opened in a newer version of Excel. Learn more: https://go.microsoft.com/fwlink/?linkid=870924
Comment:
    all
Reply:
    Requested from all patients in one of the two institutions only</t>
      </text>
    </comment>
    <comment ref="CV14" authorId="43" shapeId="0" xr:uid="{6CE2A22E-33F1-4EBB-8193-9DAEBEB7435F}">
      <text>
        <t>[Threaded comment]
Your version of Excel allows you to read this threaded comment; however, any edits to it will get removed if the file is opened in a newer version of Excel. Learn more: https://go.microsoft.com/fwlink/?linkid=870924
Comment:
    Whole sample</t>
      </text>
    </comment>
    <comment ref="CW14" authorId="0" shapeId="0" xr:uid="{9E8475A7-8F32-424D-BCED-1CCA83669E4E}">
      <text>
        <r>
          <rPr>
            <b/>
            <sz val="9"/>
            <color indexed="81"/>
            <rFont val="Tahoma"/>
            <family val="2"/>
          </rPr>
          <t>R B:</t>
        </r>
        <r>
          <rPr>
            <sz val="9"/>
            <color indexed="81"/>
            <rFont val="Tahoma"/>
            <family val="2"/>
          </rPr>
          <t xml:space="preserve">
SCID</t>
        </r>
      </text>
    </comment>
    <comment ref="CX14" authorId="44" shapeId="0" xr:uid="{67D4F972-245D-45FD-99B6-D486E06E8FD4}">
      <text>
        <t>[Threaded comment]
Your version of Excel allows you to read this threaded comment; however, any edits to it will get removed if the file is opened in a newer version of Excel. Learn more: https://go.microsoft.com/fwlink/?linkid=870924
Comment:
    SCID</t>
      </text>
    </comment>
    <comment ref="CZ14" authorId="45" shapeId="0" xr:uid="{140F0C21-9B75-4678-AFDA-0D03C5138DF6}">
      <text>
        <t>[Threaded comment]
Your version of Excel allows you to read this threaded comment; however, any edits to it will get removed if the file is opened in a newer version of Excel. Learn more: https://go.microsoft.com/fwlink/?linkid=870924
Comment:
    Seropositive cases were reviewed and clinically examined by a consultant neurologist</t>
      </text>
    </comment>
    <comment ref="DE14" authorId="0" shapeId="0" xr:uid="{FF07FE72-DDD8-4FD7-A326-8F13B0FAFE68}">
      <text>
        <r>
          <rPr>
            <b/>
            <sz val="9"/>
            <color indexed="81"/>
            <rFont val="Tahoma"/>
            <family val="2"/>
          </rPr>
          <t>R B:</t>
        </r>
        <r>
          <rPr>
            <sz val="9"/>
            <color indexed="81"/>
            <rFont val="Tahoma"/>
            <family val="2"/>
          </rPr>
          <t xml:space="preserve">
Ultrasound, X-ray</t>
        </r>
      </text>
    </comment>
    <comment ref="DF14" authorId="46" shapeId="0" xr:uid="{43B1213A-68DD-4A16-B371-3B9F04F7574D}">
      <text>
        <t>[Threaded comment]
Your version of Excel allows you to read this threaded comment; however, any edits to it will get removed if the file is opened in a newer version of Excel. Learn more: https://go.microsoft.com/fwlink/?linkid=870924
Comment:
    malignancy screen (pelvic or testicular
ultrasound &amp; chest x-ray) for those who were seropositive</t>
      </text>
    </comment>
    <comment ref="O15" authorId="0" shapeId="0" xr:uid="{9D25B736-048E-4B65-A086-8FAD83373F54}">
      <text>
        <r>
          <rPr>
            <b/>
            <sz val="9"/>
            <color indexed="81"/>
            <rFont val="Tahoma"/>
            <family val="2"/>
          </rPr>
          <t>R B:</t>
        </r>
        <r>
          <rPr>
            <sz val="9"/>
            <color indexed="81"/>
            <rFont val="Tahoma"/>
            <family val="2"/>
          </rPr>
          <t xml:space="preserve">
European Portuguese</t>
        </r>
      </text>
    </comment>
    <comment ref="P15" authorId="47" shapeId="0" xr:uid="{1E3598F2-EE56-4650-B48A-CB5B73D41077}">
      <text>
        <t>[Threaded comment]
Your version of Excel allows you to read this threaded comment; however, any edits to it will get removed if the file is opened in a newer version of Excel. Learn more: https://go.microsoft.com/fwlink/?linkid=870924
Comment:
    European Portuguese</t>
      </text>
    </comment>
    <comment ref="CD15" authorId="0" shapeId="0" xr:uid="{72034D8C-C6D6-4392-89C5-DDFDBC12471D}">
      <text>
        <r>
          <rPr>
            <b/>
            <sz val="9"/>
            <color indexed="81"/>
            <rFont val="Tahoma"/>
            <family val="2"/>
          </rPr>
          <t>R B:</t>
        </r>
        <r>
          <rPr>
            <sz val="9"/>
            <color indexed="81"/>
            <rFont val="Tahoma"/>
            <family val="2"/>
          </rPr>
          <t xml:space="preserve">
7 brain mass, 4 stroke, 1 encephalitis related</t>
        </r>
      </text>
    </comment>
    <comment ref="DA15" authorId="0" shapeId="0" xr:uid="{A020F17A-C15F-43C9-A422-E5803D90481B}">
      <text>
        <r>
          <rPr>
            <b/>
            <sz val="9"/>
            <color indexed="81"/>
            <rFont val="Tahoma"/>
            <family val="2"/>
          </rPr>
          <t>R B:</t>
        </r>
        <r>
          <rPr>
            <sz val="9"/>
            <color indexed="81"/>
            <rFont val="Tahoma"/>
            <family val="2"/>
          </rPr>
          <t xml:space="preserve">
Neuropsychological assessment</t>
        </r>
      </text>
    </comment>
    <comment ref="DN16" authorId="48" shapeId="0" xr:uid="{3E684F3C-E7B1-44E5-8C20-80AD725D6A52}">
      <text>
        <t>[Threaded comment]
Your version of Excel allows you to read this threaded comment; however, any edits to it will get removed if the file is opened in a newer version of Excel. Learn more: https://go.microsoft.com/fwlink/?linkid=870924
Comment:
    DSM-IV TR Criteria</t>
      </text>
    </comment>
    <comment ref="CV18" authorId="49" shapeId="0" xr:uid="{A2A80F2C-4062-4740-B8F6-62787344843C}">
      <text>
        <t>[Threaded comment]
Your version of Excel allows you to read this threaded comment; however, any edits to it will get removed if the file is opened in a newer version of Excel. Learn more: https://go.microsoft.com/fwlink/?linkid=870924
Comment:
    Whole sample</t>
      </text>
    </comment>
    <comment ref="CW18" authorId="0" shapeId="0" xr:uid="{30733C89-7FF5-434F-ACFE-6F0B91E330DF}">
      <text>
        <r>
          <rPr>
            <b/>
            <sz val="9"/>
            <color indexed="81"/>
            <rFont val="Tahoma"/>
            <family val="2"/>
          </rPr>
          <t>R B:</t>
        </r>
        <r>
          <rPr>
            <sz val="9"/>
            <color indexed="81"/>
            <rFont val="Tahoma"/>
            <family val="2"/>
          </rPr>
          <t xml:space="preserve">
SCID</t>
        </r>
      </text>
    </comment>
    <comment ref="DB18" authorId="50" shapeId="0" xr:uid="{EA4A3EF5-A69F-4988-9B9C-15C858890D78}">
      <text>
        <t>[Threaded comment]
Your version of Excel allows you to read this threaded comment; however, any edits to it will get removed if the file is opened in a newer version of Excel. Learn more: https://go.microsoft.com/fwlink/?linkid=870924
Comment:
    PANSS AND MMSE (used for neurological evaluation) - whole sample</t>
      </text>
    </comment>
    <comment ref="DC18" authorId="0" shapeId="0" xr:uid="{8C7A2139-18E4-4036-9F93-35EF4D7B3FBC}">
      <text>
        <r>
          <rPr>
            <b/>
            <sz val="9"/>
            <color indexed="81"/>
            <rFont val="Tahoma"/>
            <family val="2"/>
          </rPr>
          <t>R B:</t>
        </r>
        <r>
          <rPr>
            <sz val="9"/>
            <color indexed="81"/>
            <rFont val="Tahoma"/>
            <family val="2"/>
          </rPr>
          <t xml:space="preserve">
MMSE/EXIT</t>
        </r>
      </text>
    </comment>
    <comment ref="DD18" authorId="51" shapeId="0" xr:uid="{A580D085-CA15-452E-A07C-2CA029A613E1}">
      <text>
        <t>[Threaded comment]
Your version of Excel allows you to read this threaded comment; however, any edits to it will get removed if the file is opened in a newer version of Excel. Learn more: https://go.microsoft.com/fwlink/?linkid=870924
Comment:
    PANSS AND MMSE (used for neurological evaluation) - whole sample</t>
      </text>
    </comment>
    <comment ref="C19" authorId="0" shapeId="0" xr:uid="{390060B9-02C6-41FD-BD34-28E1588DD003}">
      <text>
        <r>
          <rPr>
            <b/>
            <sz val="9"/>
            <color indexed="81"/>
            <rFont val="Tahoma"/>
            <family val="2"/>
          </rPr>
          <t>R B:</t>
        </r>
        <r>
          <rPr>
            <sz val="9"/>
            <color indexed="81"/>
            <rFont val="Tahoma"/>
            <family val="2"/>
          </rPr>
          <t xml:space="preserve">
3 "missing"</t>
        </r>
      </text>
    </comment>
    <comment ref="E19" authorId="0" shapeId="0" xr:uid="{022EA218-E8F0-4655-A7E0-056D58030011}">
      <text>
        <r>
          <rPr>
            <b/>
            <sz val="9"/>
            <color indexed="81"/>
            <rFont val="Tahoma"/>
            <family val="2"/>
          </rPr>
          <t>R B:</t>
        </r>
        <r>
          <rPr>
            <sz val="9"/>
            <color indexed="81"/>
            <rFont val="Tahoma"/>
            <family val="2"/>
          </rPr>
          <t xml:space="preserve">
3 "missing"</t>
        </r>
      </text>
    </comment>
    <comment ref="M19" authorId="0" shapeId="0" xr:uid="{E794D784-0E89-40E5-8ABB-55427D06BDE2}">
      <text>
        <r>
          <rPr>
            <b/>
            <sz val="9"/>
            <color indexed="81"/>
            <rFont val="Tahoma"/>
            <family val="2"/>
          </rPr>
          <t>R B:</t>
        </r>
        <r>
          <rPr>
            <sz val="9"/>
            <color indexed="81"/>
            <rFont val="Tahoma"/>
            <family val="2"/>
          </rPr>
          <t xml:space="preserve">
Yoruba</t>
        </r>
      </text>
    </comment>
    <comment ref="N19" authorId="52" shapeId="0" xr:uid="{824E52FA-AEED-4B55-A2B1-9308CBE78BC2}">
      <text>
        <t>[Threaded comment]
Your version of Excel allows you to read this threaded comment; however, any edits to it will get removed if the file is opened in a newer version of Excel. Learn more: https://go.microsoft.com/fwlink/?linkid=870924
Comment:
    Yoruba</t>
      </text>
    </comment>
    <comment ref="S19" authorId="0" shapeId="0" xr:uid="{1E5144CA-84F7-431B-8F19-808831D32440}">
      <text>
        <r>
          <rPr>
            <b/>
            <sz val="9"/>
            <color indexed="81"/>
            <rFont val="Tahoma"/>
            <family val="2"/>
          </rPr>
          <t>R B:</t>
        </r>
        <r>
          <rPr>
            <sz val="9"/>
            <color indexed="81"/>
            <rFont val="Tahoma"/>
            <family val="2"/>
          </rPr>
          <t xml:space="preserve">
Other</t>
        </r>
      </text>
    </comment>
    <comment ref="AK19" authorId="0" shapeId="0" xr:uid="{48973BE9-7B79-4B24-BA87-DB13CF63BE2F}">
      <text>
        <r>
          <rPr>
            <b/>
            <sz val="9"/>
            <color indexed="81"/>
            <rFont val="Tahoma"/>
            <family val="2"/>
          </rPr>
          <t>R B:</t>
        </r>
        <r>
          <rPr>
            <sz val="9"/>
            <color indexed="81"/>
            <rFont val="Tahoma"/>
            <family val="2"/>
          </rPr>
          <t xml:space="preserve">
Doesn't explicitly say, but childhood-onset</t>
        </r>
      </text>
    </comment>
    <comment ref="DK19" authorId="0" shapeId="0" xr:uid="{62AE5A26-2352-47CD-8B56-328F4349E9D7}">
      <text>
        <r>
          <rPr>
            <b/>
            <sz val="9"/>
            <color indexed="81"/>
            <rFont val="Tahoma"/>
            <family val="2"/>
          </rPr>
          <t>R B:</t>
        </r>
        <r>
          <rPr>
            <sz val="9"/>
            <color indexed="81"/>
            <rFont val="Tahoma"/>
            <family val="2"/>
          </rPr>
          <t xml:space="preserve">
Using ICD/DSM</t>
        </r>
      </text>
    </comment>
    <comment ref="CV20" authorId="53" shapeId="0" xr:uid="{637E414C-3A8B-4952-B11D-0F393BF6EA76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Psych </t>
      </text>
    </comment>
    <comment ref="CW20" authorId="0" shapeId="0" xr:uid="{7A1834BC-D932-4506-BD71-CFC8BFFE2F5E}">
      <text>
        <r>
          <rPr>
            <b/>
            <sz val="9"/>
            <color indexed="81"/>
            <rFont val="Tahoma"/>
            <family val="2"/>
          </rPr>
          <t>R B:</t>
        </r>
        <r>
          <rPr>
            <sz val="9"/>
            <color indexed="81"/>
            <rFont val="Tahoma"/>
            <family val="2"/>
          </rPr>
          <t xml:space="preserve">
SCID</t>
        </r>
      </text>
    </comment>
    <comment ref="CZ20" authorId="54" shapeId="0" xr:uid="{288F9DCD-F795-4D3E-AB69-20CA2588B8CC}">
      <text>
        <t>[Threaded comment]
Your version of Excel allows you to read this threaded comment; however, any edits to it will get removed if the file is opened in a newer version of Excel. Learn more: https://go.microsoft.com/fwlink/?linkid=870924
Comment:
    Neurological assessment</t>
      </text>
    </comment>
    <comment ref="K21" authorId="0" shapeId="0" xr:uid="{AE1EF3B0-F04C-420B-B067-C0837115222A}">
      <text>
        <r>
          <rPr>
            <b/>
            <sz val="9"/>
            <color indexed="81"/>
            <rFont val="Tahoma"/>
            <family val="2"/>
          </rPr>
          <t>R B:</t>
        </r>
        <r>
          <rPr>
            <sz val="9"/>
            <color indexed="81"/>
            <rFont val="Tahoma"/>
            <family val="2"/>
          </rPr>
          <t xml:space="preserve">
Given as those with probable autoimmune/F2, F1/F3-F6, "No reliable classification"; unable to combine</t>
        </r>
      </text>
    </comment>
    <comment ref="CD21" authorId="0" shapeId="0" xr:uid="{3C5B5907-5DDD-4B3E-B4F5-B30A1D7B20ED}">
      <text>
        <r>
          <rPr>
            <b/>
            <sz val="9"/>
            <color rgb="FF000000"/>
            <rFont val="Tahoma"/>
            <family val="2"/>
          </rPr>
          <t>R B: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Non-causative findings</t>
        </r>
      </text>
    </comment>
    <comment ref="CH21" authorId="55" shapeId="0" xr:uid="{B96E3072-9D02-4D9F-B423-B18ABFBDDADC}">
      <text>
        <t>[Threaded comment]
Your version of Excel allows you to read this threaded comment; however, any edits to it will get removed if the file is opened in a newer version of Excel. Learn more: https://go.microsoft.com/fwlink/?linkid=870924
Comment:
    Only probable autoimmune psychosis group</t>
      </text>
    </comment>
    <comment ref="CJ21" authorId="56" shapeId="0" xr:uid="{1F8B6466-A366-4AA1-BCEB-41EBC7119981}">
      <text>
        <t>[Threaded comment]
Your version of Excel allows you to read this threaded comment; however, any edits to it will get removed if the file is opened in a newer version of Excel. Learn more: https://go.microsoft.com/fwlink/?linkid=870924
Comment:
    Whole sample</t>
      </text>
    </comment>
    <comment ref="CP21" authorId="57" shapeId="0" xr:uid="{EF3FAC81-E606-4F83-9973-AC765A8A557F}">
      <text>
        <t>[Threaded comment]
Your version of Excel allows you to read this threaded comment; however, any edits to it will get removed if the file is opened in a newer version of Excel. Learn more: https://go.microsoft.com/fwlink/?linkid=870924
Comment:
    Whole sample</t>
      </text>
    </comment>
    <comment ref="CR21" authorId="58" shapeId="0" xr:uid="{A76A4D27-1138-4C90-AE8D-B045BED97183}">
      <text>
        <t>[Threaded comment]
Your version of Excel allows you to read this threaded comment; however, any edits to it will get removed if the file is opened in a newer version of Excel. Learn more: https://go.microsoft.com/fwlink/?linkid=870924
Comment:
    Whole sample</t>
      </text>
    </comment>
    <comment ref="CV21" authorId="59" shapeId="0" xr:uid="{15B8049D-4A54-49DA-B68A-5D760BBD9FD7}">
      <text>
        <t>[Threaded comment]
Your version of Excel allows you to read this threaded comment; however, any edits to it will get removed if the file is opened in a newer version of Excel. Learn more: https://go.microsoft.com/fwlink/?linkid=870924
Comment:
    Psych assessment and neurological examination - whole sample</t>
      </text>
    </comment>
    <comment ref="DI21" authorId="0" shapeId="0" xr:uid="{73D73E23-43BC-406C-80D4-19B22B6C4690}">
      <text>
        <r>
          <rPr>
            <b/>
            <sz val="9"/>
            <color indexed="81"/>
            <rFont val="Tahoma"/>
            <family val="2"/>
          </rPr>
          <t>R B:</t>
        </r>
        <r>
          <rPr>
            <sz val="9"/>
            <color indexed="81"/>
            <rFont val="Tahoma"/>
            <family val="2"/>
          </rPr>
          <t xml:space="preserve">
Diagnosis also given when appropriate</t>
        </r>
      </text>
    </comment>
    <comment ref="DK21" authorId="0" shapeId="0" xr:uid="{BD38A69B-DCF9-44BD-8207-B531FFAED898}">
      <text>
        <r>
          <rPr>
            <b/>
            <sz val="9"/>
            <color indexed="81"/>
            <rFont val="Tahoma"/>
            <family val="2"/>
          </rPr>
          <t>R B:</t>
        </r>
        <r>
          <rPr>
            <sz val="9"/>
            <color indexed="81"/>
            <rFont val="Tahoma"/>
            <family val="2"/>
          </rPr>
          <t xml:space="preserve">
Using ICD</t>
        </r>
      </text>
    </comment>
    <comment ref="O22" authorId="0" shapeId="0" xr:uid="{8242C308-35EF-40FC-A235-C3EC2ABB68A5}">
      <text>
        <r>
          <rPr>
            <b/>
            <sz val="9"/>
            <color indexed="81"/>
            <rFont val="Tahoma"/>
            <family val="2"/>
          </rPr>
          <t>R B:</t>
        </r>
        <r>
          <rPr>
            <sz val="9"/>
            <color indexed="81"/>
            <rFont val="Tahoma"/>
            <family val="2"/>
          </rPr>
          <t xml:space="preserve">
99% Caucasian</t>
        </r>
      </text>
    </comment>
    <comment ref="DK22" authorId="0" shapeId="0" xr:uid="{C2C03854-D231-41AE-A802-E180C4552FAF}">
      <text>
        <r>
          <rPr>
            <b/>
            <sz val="9"/>
            <color indexed="81"/>
            <rFont val="Tahoma"/>
            <family val="2"/>
          </rPr>
          <t>R B:</t>
        </r>
        <r>
          <rPr>
            <sz val="9"/>
            <color indexed="81"/>
            <rFont val="Tahoma"/>
            <family val="2"/>
          </rPr>
          <t xml:space="preserve">
Using ICD</t>
        </r>
      </text>
    </comment>
    <comment ref="N23" authorId="60" shapeId="0" xr:uid="{59C48EA0-3893-41EF-AC71-9E3A476D272D}">
      <text>
        <t>[Threaded comment]
Your version of Excel allows you to read this threaded comment; however, any edits to it will get removed if the file is opened in a newer version of Excel. Learn more: https://go.microsoft.com/fwlink/?linkid=870924
Comment:
    Indigineous South African Males</t>
      </text>
    </comment>
    <comment ref="BG23" authorId="0" shapeId="0" xr:uid="{0732130A-6C1D-41AB-804B-C229956F838E}">
      <text>
        <r>
          <rPr>
            <b/>
            <sz val="9"/>
            <color indexed="81"/>
            <rFont val="Tahoma"/>
            <family val="2"/>
          </rPr>
          <t>R B:</t>
        </r>
        <r>
          <rPr>
            <sz val="9"/>
            <color indexed="81"/>
            <rFont val="Tahoma"/>
            <family val="2"/>
          </rPr>
          <t xml:space="preserve">
Included 1 with phenytoin toxicity</t>
        </r>
      </text>
    </comment>
    <comment ref="CN23" authorId="61" shapeId="0" xr:uid="{A07EC678-33E2-49BC-941C-13206458537D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whole sample</t>
      </text>
    </comment>
    <comment ref="CT23" authorId="62" shapeId="0" xr:uid="{A1CCEF1D-BE74-4A69-B7D8-E41112BCB589}">
      <text>
        <t>[Threaded comment]
Your version of Excel allows you to read this threaded comment; however, any edits to it will get removed if the file is opened in a newer version of Excel. Learn more: https://go.microsoft.com/fwlink/?linkid=870924
Comment:
    Whole sample</t>
      </text>
    </comment>
    <comment ref="CV23" authorId="63" shapeId="0" xr:uid="{26218D16-578A-46C2-9655-481FA87C5D3B}">
      <text>
        <t>[Threaded comment]
Your version of Excel allows you to read this threaded comment; however, any edits to it will get removed if the file is opened in a newer version of Excel. Learn more: https://go.microsoft.com/fwlink/?linkid=870924
Comment:
    Whole sample</t>
      </text>
    </comment>
    <comment ref="K24" authorId="0" shapeId="0" xr:uid="{50BAC0D7-5462-4D36-A01D-1BA3A836459A}">
      <text>
        <r>
          <rPr>
            <b/>
            <sz val="9"/>
            <color indexed="81"/>
            <rFont val="Tahoma"/>
            <family val="2"/>
          </rPr>
          <t>R B:</t>
        </r>
        <r>
          <rPr>
            <sz val="9"/>
            <color indexed="81"/>
            <rFont val="Tahoma"/>
            <family val="2"/>
          </rPr>
          <t xml:space="preserve">
Mixed into ANA positive/negative but not necessarily dx and mixed by site</t>
        </r>
      </text>
    </comment>
    <comment ref="CD24" authorId="0" shapeId="0" xr:uid="{7731E80C-C22F-4B8B-A402-7608CEC303EA}">
      <text>
        <r>
          <rPr>
            <b/>
            <sz val="9"/>
            <color indexed="81"/>
            <rFont val="Tahoma"/>
            <family val="2"/>
          </rPr>
          <t>R B:</t>
        </r>
        <r>
          <rPr>
            <sz val="9"/>
            <color indexed="81"/>
            <rFont val="Tahoma"/>
            <family val="2"/>
          </rPr>
          <t xml:space="preserve">
Non-causative findings</t>
        </r>
      </text>
    </comment>
    <comment ref="CH24" authorId="64" shapeId="0" xr:uid="{77C48134-0F1A-4C73-A584-4E5E6505427C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whole sample</t>
      </text>
    </comment>
    <comment ref="CJ24" authorId="65" shapeId="0" xr:uid="{99A101A4-CF3B-4D2E-A0D6-12B926B99990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whole sample</t>
      </text>
    </comment>
    <comment ref="CR24" authorId="66" shapeId="0" xr:uid="{A2D03DC1-A5A0-4E31-9BBE-6BEB9648E54E}">
      <text>
        <t>[Threaded comment]
Your version of Excel allows you to read this threaded comment; however, any edits to it will get removed if the file is opened in a newer version of Excel. Learn more: https://go.microsoft.com/fwlink/?linkid=870924
Comment:
    Whole sample</t>
      </text>
    </comment>
    <comment ref="CV24" authorId="67" shapeId="0" xr:uid="{4A858F2C-98AE-4666-B8DE-DC3ED0EAD609}">
      <text>
        <t>[Threaded comment]
Your version of Excel allows you to read this threaded comment; however, any edits to it will get removed if the file is opened in a newer version of Excel. Learn more: https://go.microsoft.com/fwlink/?linkid=870924
Comment:
    Whole sample</t>
      </text>
    </comment>
    <comment ref="J25" authorId="68" shapeId="0" xr:uid="{FBF1EEF9-6299-47A2-9E18-38D87C69FEE8}">
      <text>
        <t>[Threaded comment]
Your version of Excel allows you to read this threaded comment; however, any edits to it will get removed if the file is opened in a newer version of Excel. Learn more: https://go.microsoft.com/fwlink/?linkid=870924
Comment:
    Combined</t>
      </text>
    </comment>
    <comment ref="S25" authorId="0" shapeId="0" xr:uid="{073C043A-0C93-4666-9F2E-211693AF44CC}">
      <text>
        <r>
          <rPr>
            <b/>
            <sz val="9"/>
            <color indexed="81"/>
            <rFont val="Tahoma"/>
            <family val="2"/>
          </rPr>
          <t>R B:</t>
        </r>
        <r>
          <rPr>
            <sz val="9"/>
            <color indexed="81"/>
            <rFont val="Tahoma"/>
            <family val="2"/>
          </rPr>
          <t xml:space="preserve">
Mixed 39/7 Other</t>
        </r>
      </text>
    </comment>
    <comment ref="T25" authorId="69" shapeId="0" xr:uid="{D40BF45E-D2FB-4EF1-8FBB-756C564EA736}">
      <text>
        <t>[Threaded comment]
Your version of Excel allows you to read this threaded comment; however, any edits to it will get removed if the file is opened in a newer version of Excel. Learn more: https://go.microsoft.com/fwlink/?linkid=870924
Comment:
    39 Mixed, 7 Other</t>
      </text>
    </comment>
    <comment ref="CV25" authorId="70" shapeId="0" xr:uid="{98C7E2A4-0FEB-47E1-8065-0AA08399D6B5}">
      <text>
        <t>[Threaded comment]
Your version of Excel allows you to read this threaded comment; however, any edits to it will get removed if the file is opened in a newer version of Excel. Learn more: https://go.microsoft.com/fwlink/?linkid=870924
Comment:
    Whole sample</t>
      </text>
    </comment>
    <comment ref="CW25" authorId="0" shapeId="0" xr:uid="{8210210F-202E-4503-9ADB-9887E27A01F7}">
      <text>
        <r>
          <rPr>
            <b/>
            <sz val="9"/>
            <color indexed="81"/>
            <rFont val="Tahoma"/>
            <family val="2"/>
          </rPr>
          <t>R B:</t>
        </r>
        <r>
          <rPr>
            <sz val="9"/>
            <color indexed="81"/>
            <rFont val="Tahoma"/>
            <family val="2"/>
          </rPr>
          <t xml:space="preserve">
PANSS</t>
        </r>
      </text>
    </comment>
    <comment ref="CX25" authorId="71" shapeId="0" xr:uid="{379F8B13-E77F-44B2-BD18-96ED30E4860E}">
      <text>
        <t>[Threaded comment]
Your version of Excel allows you to read this threaded comment; however, any edits to it will get removed if the file is opened in a newer version of Excel. Learn more: https://go.microsoft.com/fwlink/?linkid=870924
Comment:
    PANSS</t>
      </text>
    </comment>
    <comment ref="DK25" authorId="0" shapeId="0" xr:uid="{B09C8215-CB6C-45C9-8E0D-B37CF1C448DB}">
      <text>
        <r>
          <rPr>
            <b/>
            <sz val="9"/>
            <color indexed="81"/>
            <rFont val="Tahoma"/>
            <family val="2"/>
          </rPr>
          <t>R B:</t>
        </r>
        <r>
          <rPr>
            <sz val="9"/>
            <color indexed="81"/>
            <rFont val="Tahoma"/>
            <family val="2"/>
          </rPr>
          <t xml:space="preserve">
Using ICD</t>
        </r>
      </text>
    </comment>
    <comment ref="O26" authorId="0" shapeId="0" xr:uid="{15FEB93F-8077-4647-9ABD-0ACED3198238}">
      <text>
        <r>
          <rPr>
            <b/>
            <sz val="9"/>
            <color rgb="FF000000"/>
            <rFont val="Tahoma"/>
            <family val="2"/>
          </rPr>
          <t>R B: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116 New Zealand European/16 European</t>
        </r>
      </text>
    </comment>
    <comment ref="P26" authorId="72" shapeId="0" xr:uid="{6CB0CEB8-37A7-4219-90EE-2CE7D91B53DB}">
      <text>
        <t>[Threaded comment]
Your version of Excel allows you to read this threaded comment; however, any edits to it will get removed if the file is opened in a newer version of Excel. Learn more: https://go.microsoft.com/fwlink/?linkid=870924
Comment:
    116 New Zealand European, 16 European</t>
      </text>
    </comment>
    <comment ref="S26" authorId="0" shapeId="0" xr:uid="{0A1FD58A-2E3F-439A-B6F6-F6CAE3C85E8F}">
      <text>
        <r>
          <rPr>
            <b/>
            <sz val="9"/>
            <color indexed="81"/>
            <rFont val="Tahoma"/>
            <family val="2"/>
          </rPr>
          <t>R B:</t>
        </r>
        <r>
          <rPr>
            <sz val="9"/>
            <color indexed="81"/>
            <rFont val="Tahoma"/>
            <family val="2"/>
          </rPr>
          <t xml:space="preserve">
29 Maori, 9 Pacific Islander, 2 Other</t>
        </r>
      </text>
    </comment>
    <comment ref="T26" authorId="73" shapeId="0" xr:uid="{ADFA2D82-A4D7-48B0-A5E1-D7456D588D67}">
      <text>
        <t>[Threaded comment]
Your version of Excel allows you to read this threaded comment; however, any edits to it will get removed if the file is opened in a newer version of Excel. Learn more: https://go.microsoft.com/fwlink/?linkid=870924
Comment:
    29 Maori, 9 Pacific Islander, 2 other</t>
      </text>
    </comment>
    <comment ref="AA26" authorId="0" shapeId="0" xr:uid="{6201B8BD-907E-42D4-AB19-B5162C1FCDD0}">
      <text>
        <r>
          <rPr>
            <b/>
            <sz val="9"/>
            <color indexed="81"/>
            <rFont val="Tahoma"/>
            <family val="2"/>
          </rPr>
          <t>R B:</t>
        </r>
        <r>
          <rPr>
            <sz val="9"/>
            <color indexed="81"/>
            <rFont val="Tahoma"/>
            <family val="2"/>
          </rPr>
          <t xml:space="preserve">
18 missing</t>
        </r>
      </text>
    </comment>
    <comment ref="CV26" authorId="74" shapeId="0" xr:uid="{8492E48E-54C5-40F9-B99C-C78AEDCEAEAE}">
      <text>
        <t>[Threaded comment]
Your version of Excel allows you to read this threaded comment; however, any edits to it will get removed if the file is opened in a newer version of Excel. Learn more: https://go.microsoft.com/fwlink/?linkid=870924
Comment:
    Whole sample</t>
      </text>
    </comment>
    <comment ref="CW26" authorId="0" shapeId="0" xr:uid="{BF8AAD8A-C6E2-4019-AC53-3B9978FB410D}">
      <text>
        <r>
          <rPr>
            <b/>
            <sz val="9"/>
            <color indexed="81"/>
            <rFont val="Tahoma"/>
            <family val="2"/>
          </rPr>
          <t>R B:</t>
        </r>
        <r>
          <rPr>
            <sz val="9"/>
            <color indexed="81"/>
            <rFont val="Tahoma"/>
            <family val="2"/>
          </rPr>
          <t xml:space="preserve">
PANSS</t>
        </r>
      </text>
    </comment>
    <comment ref="CX26" authorId="75" shapeId="0" xr:uid="{474EF95B-8945-4981-A8F8-10D89B41E985}">
      <text>
        <t>[Threaded comment]
Your version of Excel allows you to read this threaded comment; however, any edits to it will get removed if the file is opened in a newer version of Excel. Learn more: https://go.microsoft.com/fwlink/?linkid=870924
Comment:
    PANSS</t>
      </text>
    </comment>
    <comment ref="DK26" authorId="0" shapeId="0" xr:uid="{9B56B44E-3477-46A0-86E2-7FC80EE98419}">
      <text>
        <r>
          <rPr>
            <b/>
            <sz val="9"/>
            <color indexed="81"/>
            <rFont val="Tahoma"/>
            <family val="2"/>
          </rPr>
          <t>R B:</t>
        </r>
        <r>
          <rPr>
            <sz val="9"/>
            <color indexed="81"/>
            <rFont val="Tahoma"/>
            <family val="2"/>
          </rPr>
          <t xml:space="preserve">
Using DSM</t>
        </r>
      </text>
    </comment>
    <comment ref="O27" authorId="0" shapeId="0" xr:uid="{3F1D636E-BE02-4A38-A8F3-F7E3656DAB75}">
      <text>
        <r>
          <rPr>
            <b/>
            <sz val="9"/>
            <color rgb="FF000000"/>
            <rFont val="Tahoma"/>
            <family val="2"/>
          </rPr>
          <t>R B: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116 New Zealand European/16 European</t>
        </r>
      </text>
    </comment>
    <comment ref="P27" authorId="76" shapeId="0" xr:uid="{C387CB59-7D5B-4C3D-AAA3-815FBDCEDDA3}">
      <text>
        <t>[Threaded comment]
Your version of Excel allows you to read this threaded comment; however, any edits to it will get removed if the file is opened in a newer version of Excel. Learn more: https://go.microsoft.com/fwlink/?linkid=870924
Comment:
    116 New Zealand European, 16 European</t>
      </text>
    </comment>
    <comment ref="S27" authorId="0" shapeId="0" xr:uid="{044E5127-68F3-4F5D-9F35-5C539206EBA5}">
      <text>
        <r>
          <rPr>
            <b/>
            <sz val="9"/>
            <color indexed="81"/>
            <rFont val="Tahoma"/>
            <family val="2"/>
          </rPr>
          <t>R B:</t>
        </r>
        <r>
          <rPr>
            <sz val="9"/>
            <color indexed="81"/>
            <rFont val="Tahoma"/>
            <family val="2"/>
          </rPr>
          <t xml:space="preserve">
29 Maori, 9 Pacific Islander, 2 Other</t>
        </r>
      </text>
    </comment>
    <comment ref="T27" authorId="77" shapeId="0" xr:uid="{55FF6EEA-C32C-4C17-9C3F-A8061020DE98}">
      <text>
        <t>[Threaded comment]
Your version of Excel allows you to read this threaded comment; however, any edits to it will get removed if the file is opened in a newer version of Excel. Learn more: https://go.microsoft.com/fwlink/?linkid=870924
Comment:
    29 Maori, 9 Pacific Islander, 2 other</t>
      </text>
    </comment>
    <comment ref="AA27" authorId="0" shapeId="0" xr:uid="{2ACB9520-49F9-460C-ADDE-C2222B440E0E}">
      <text>
        <r>
          <rPr>
            <b/>
            <sz val="9"/>
            <color indexed="81"/>
            <rFont val="Tahoma"/>
            <family val="2"/>
          </rPr>
          <t>R B:</t>
        </r>
        <r>
          <rPr>
            <sz val="9"/>
            <color indexed="81"/>
            <rFont val="Tahoma"/>
            <family val="2"/>
          </rPr>
          <t xml:space="preserve">
18 missing</t>
        </r>
      </text>
    </comment>
  </commentList>
</comments>
</file>

<file path=xl/sharedStrings.xml><?xml version="1.0" encoding="utf-8"?>
<sst xmlns="http://schemas.openxmlformats.org/spreadsheetml/2006/main" count="2514" uniqueCount="314">
  <si>
    <t>First Author</t>
  </si>
  <si>
    <t>Date</t>
  </si>
  <si>
    <t>Gender (Male)</t>
  </si>
  <si>
    <t>Gender (Female)</t>
  </si>
  <si>
    <t>Mean Age (Primary)</t>
  </si>
  <si>
    <t>Mean Age (Secondary)</t>
  </si>
  <si>
    <t>Mean Age (Total)</t>
  </si>
  <si>
    <t>Ethnicity (Black)</t>
  </si>
  <si>
    <t>Ethnicity (White)</t>
  </si>
  <si>
    <t>Ethnicity (Asian)</t>
  </si>
  <si>
    <t>Ethnicity (Other)</t>
  </si>
  <si>
    <t>Accident and Emergency / Urgent Care</t>
  </si>
  <si>
    <t>Inpatient Psychiatric Service</t>
  </si>
  <si>
    <t>Outpatient Psychiatric Service</t>
  </si>
  <si>
    <t>GP /non-Urgent Physical Care</t>
  </si>
  <si>
    <t>setting</t>
  </si>
  <si>
    <t>Country</t>
  </si>
  <si>
    <t>Continant</t>
  </si>
  <si>
    <t>Retrospective</t>
  </si>
  <si>
    <t>Prospective</t>
  </si>
  <si>
    <t xml:space="preserve">FEP Only </t>
  </si>
  <si>
    <t>First Episode Cohort</t>
  </si>
  <si>
    <t>Chronic Psychosis Cohort</t>
  </si>
  <si>
    <t>Mixed Cohort</t>
  </si>
  <si>
    <t>Total Sample Size</t>
  </si>
  <si>
    <t>Total Secondary Causes</t>
  </si>
  <si>
    <t>Was the study looking at multiple causes?</t>
  </si>
  <si>
    <t>Endogenous</t>
  </si>
  <si>
    <t>Exogenous</t>
  </si>
  <si>
    <t>Autoimmune Disorders</t>
  </si>
  <si>
    <t>Cytogenic / Congenital</t>
  </si>
  <si>
    <t>Toxic / Substance-Induced</t>
  </si>
  <si>
    <t>Iatrogenic</t>
  </si>
  <si>
    <t>Cerebrovascular</t>
  </si>
  <si>
    <t>Space-Occupying</t>
  </si>
  <si>
    <t>Metabolic</t>
  </si>
  <si>
    <t>Dietary</t>
  </si>
  <si>
    <t>Sepsis / Infectious</t>
  </si>
  <si>
    <t>Degenerative</t>
  </si>
  <si>
    <t>Demyelinating</t>
  </si>
  <si>
    <t>Seizure</t>
  </si>
  <si>
    <t>Endocrine</t>
  </si>
  <si>
    <t>Other</t>
  </si>
  <si>
    <t>Unknown</t>
  </si>
  <si>
    <t>MRI (freq)</t>
  </si>
  <si>
    <t>CT (freq)</t>
  </si>
  <si>
    <t>SPECT/PET (freq)</t>
  </si>
  <si>
    <t>EEG (freq)</t>
  </si>
  <si>
    <t>CSF (freq)</t>
  </si>
  <si>
    <t>Blood (freq)</t>
  </si>
  <si>
    <t>Urine (freq)</t>
  </si>
  <si>
    <t>Psychiatric Assessment (freq)</t>
  </si>
  <si>
    <t>Psychiatric Assessment Standardised Tool (y/n)</t>
  </si>
  <si>
    <t>Physical Exam (including neurological, vital signs) (freq)</t>
  </si>
  <si>
    <t>Cognitive Assessment (freq)</t>
  </si>
  <si>
    <t>Cognitive Assessment-standardised tool</t>
  </si>
  <si>
    <t>Other (add detail)</t>
  </si>
  <si>
    <t>NS</t>
  </si>
  <si>
    <t>Diagnosis</t>
  </si>
  <si>
    <t>Diagnostic Tool</t>
  </si>
  <si>
    <t>Classification System</t>
  </si>
  <si>
    <t>Item 1</t>
  </si>
  <si>
    <t>Item 2</t>
  </si>
  <si>
    <t>Item 3</t>
  </si>
  <si>
    <t>Item 4</t>
  </si>
  <si>
    <t>Item 5</t>
  </si>
  <si>
    <t>Item 6</t>
  </si>
  <si>
    <t>Item 7</t>
  </si>
  <si>
    <t>Item 8</t>
  </si>
  <si>
    <t>Item 9</t>
  </si>
  <si>
    <t>Item 10</t>
  </si>
  <si>
    <t>Overall Score</t>
  </si>
  <si>
    <t>Geographic Location</t>
  </si>
  <si>
    <t>Comments - endogenous causesnot reported at most granual level</t>
  </si>
  <si>
    <t>includes endogenous NOS as "other"/"unknown"</t>
  </si>
  <si>
    <t>Rater 1</t>
  </si>
  <si>
    <t>Rater 2</t>
  </si>
  <si>
    <t xml:space="preserve">Rater 2 </t>
  </si>
  <si>
    <t>Caton</t>
  </si>
  <si>
    <t>A_and_E</t>
  </si>
  <si>
    <t>USA</t>
  </si>
  <si>
    <t>n_am</t>
  </si>
  <si>
    <t>no</t>
  </si>
  <si>
    <t>yes</t>
  </si>
  <si>
    <t>Single</t>
  </si>
  <si>
    <t>NA</t>
  </si>
  <si>
    <t>all</t>
  </si>
  <si>
    <t>Psychotic Disorder</t>
  </si>
  <si>
    <t>PRISM</t>
  </si>
  <si>
    <t>DSM-IV</t>
  </si>
  <si>
    <t>Correa-Oliveira</t>
  </si>
  <si>
    <t>outpat_psych</t>
  </si>
  <si>
    <t>Brazil</t>
  </si>
  <si>
    <t>s_am</t>
  </si>
  <si>
    <t>Multiple</t>
  </si>
  <si>
    <t>multiple</t>
  </si>
  <si>
    <t>SCID</t>
  </si>
  <si>
    <t>DSM-5</t>
  </si>
  <si>
    <t>Drake</t>
  </si>
  <si>
    <t>single</t>
  </si>
  <si>
    <t>Endres</t>
  </si>
  <si>
    <t>inpat_psych</t>
  </si>
  <si>
    <t>Germany</t>
  </si>
  <si>
    <t>euro</t>
  </si>
  <si>
    <t>ICD-10</t>
  </si>
  <si>
    <t>Etlouba</t>
  </si>
  <si>
    <t>South Africa</t>
  </si>
  <si>
    <t>afri</t>
  </si>
  <si>
    <t>yes - NS</t>
  </si>
  <si>
    <t>X-ray (yes-NS)</t>
  </si>
  <si>
    <t>Psychotic Symptoms</t>
  </si>
  <si>
    <t xml:space="preserve">Psychotic symptoms </t>
  </si>
  <si>
    <t>Funayama</t>
  </si>
  <si>
    <t>Japan</t>
  </si>
  <si>
    <t>asia</t>
  </si>
  <si>
    <t>Giannitelli</t>
  </si>
  <si>
    <t>France</t>
  </si>
  <si>
    <t>Guasp</t>
  </si>
  <si>
    <t>Spain</t>
  </si>
  <si>
    <t>some</t>
  </si>
  <si>
    <t>Psychotics disorder</t>
  </si>
  <si>
    <t>SCID and PANSS</t>
  </si>
  <si>
    <t>Harris</t>
  </si>
  <si>
    <t>Australia</t>
  </si>
  <si>
    <t>aus</t>
  </si>
  <si>
    <t>Johnstone</t>
  </si>
  <si>
    <t>UK</t>
  </si>
  <si>
    <t>X-ray (Unspecified freq)</t>
  </si>
  <si>
    <t>Psychotic disorder</t>
  </si>
  <si>
    <t xml:space="preserve">Kanbayashi </t>
  </si>
  <si>
    <t>DSM-IV and ICD-10</t>
  </si>
  <si>
    <t>Kelleher</t>
  </si>
  <si>
    <t>33 FEP, 45 TRS Cohort</t>
  </si>
  <si>
    <t>mixture</t>
  </si>
  <si>
    <t>Marques</t>
  </si>
  <si>
    <t>Portugal</t>
  </si>
  <si>
    <t>Clinical Assessment</t>
  </si>
  <si>
    <t>ICD-9</t>
  </si>
  <si>
    <t>ICD-9, 10, 11</t>
  </si>
  <si>
    <t>Mauri</t>
  </si>
  <si>
    <t>Italy</t>
  </si>
  <si>
    <t>BPRS</t>
  </si>
  <si>
    <t>Misselbrook</t>
  </si>
  <si>
    <t>2017 </t>
  </si>
  <si>
    <t>Nkire</t>
  </si>
  <si>
    <t>Ireland</t>
  </si>
  <si>
    <t>Okewole</t>
  </si>
  <si>
    <t>Nigeria</t>
  </si>
  <si>
    <t>ICD-10 and DSM-IV</t>
  </si>
  <si>
    <t>Perala</t>
  </si>
  <si>
    <t>Finland</t>
  </si>
  <si>
    <t>Rattay</t>
  </si>
  <si>
    <t>Mixed</t>
  </si>
  <si>
    <t>Psychotic symptoms</t>
  </si>
  <si>
    <t>clinical Assessment</t>
  </si>
  <si>
    <t>Reay</t>
  </si>
  <si>
    <t>Solomons</t>
  </si>
  <si>
    <t>DSM-III</t>
  </si>
  <si>
    <t>Spies</t>
  </si>
  <si>
    <t>Thompson</t>
  </si>
  <si>
    <t>OPCRIT, Clinical Assessment</t>
  </si>
  <si>
    <t xml:space="preserve"> Clinical Assessmnet </t>
  </si>
  <si>
    <t>Turner</t>
  </si>
  <si>
    <t>New Zealand</t>
  </si>
  <si>
    <t>variable name</t>
  </si>
  <si>
    <t>variable descrition</t>
  </si>
  <si>
    <t>coding</t>
  </si>
  <si>
    <t>author_year</t>
  </si>
  <si>
    <t>first author and year</t>
  </si>
  <si>
    <t>character</t>
  </si>
  <si>
    <t>author</t>
  </si>
  <si>
    <t>year</t>
  </si>
  <si>
    <t>year of publication</t>
  </si>
  <si>
    <t>numeric</t>
  </si>
  <si>
    <t>gender_male_freq</t>
  </si>
  <si>
    <t>number of males</t>
  </si>
  <si>
    <t>gender_female_freq</t>
  </si>
  <si>
    <t>number of females</t>
  </si>
  <si>
    <t>mean_age_pri</t>
  </si>
  <si>
    <t>mean age: primary psychosis subsample</t>
  </si>
  <si>
    <t>mean_age_sec</t>
  </si>
  <si>
    <t>mean age:  secondary psychosis subsample</t>
  </si>
  <si>
    <t>mean_age</t>
  </si>
  <si>
    <t>mean age of entire sample (if reported)</t>
  </si>
  <si>
    <t>eth_black</t>
  </si>
  <si>
    <t>number of patients of black ethnicity</t>
  </si>
  <si>
    <t>eth_white</t>
  </si>
  <si>
    <t>number of patients of white ethnicity</t>
  </si>
  <si>
    <t>eth_asian</t>
  </si>
  <si>
    <t>number of patients of asian ethnicity</t>
  </si>
  <si>
    <t>eth_other</t>
  </si>
  <si>
    <t>number of patients of other ethnicity</t>
  </si>
  <si>
    <t>number of patients: Accident and Emergency / Urgent Care</t>
  </si>
  <si>
    <t>number of patients: Inpatient Psychiatric Service</t>
  </si>
  <si>
    <t>number of patients: outpatient patient Psychiatric Service</t>
  </si>
  <si>
    <t>GP</t>
  </si>
  <si>
    <t>number of patients: GP / Non-Urgent Physical Care</t>
  </si>
  <si>
    <t>country</t>
  </si>
  <si>
    <t>Geographic Location by country (eg USA)</t>
  </si>
  <si>
    <t>catergorical</t>
  </si>
  <si>
    <t>design</t>
  </si>
  <si>
    <t>retropsective (retro) or prospective (pros)</t>
  </si>
  <si>
    <t>cohort</t>
  </si>
  <si>
    <t>First Episode Cohort (FEP), chronic (chr) or mixed (mixed)</t>
  </si>
  <si>
    <t>tot_sample</t>
  </si>
  <si>
    <t>total included sample in analysis (primary and secondary)</t>
  </si>
  <si>
    <t>tot_sec_psych</t>
  </si>
  <si>
    <t>total subsample of patients with secondary psychosis</t>
  </si>
  <si>
    <t>multiple_sec_psych_types</t>
  </si>
  <si>
    <t>were more than type of secondary psychosis included?</t>
  </si>
  <si>
    <t>binary</t>
  </si>
  <si>
    <t>Endo_freq</t>
  </si>
  <si>
    <t>number of patients with secondary psychosis:endogenous (ie medical)</t>
  </si>
  <si>
    <t>Exo_freq</t>
  </si>
  <si>
    <t>number of patients with secondary psychosis:exogenous (ie substance, medication, iatrogenic)</t>
  </si>
  <si>
    <t>auto_freq</t>
  </si>
  <si>
    <t>number of patients with secondary psychosis: autoimmune disorder (e.g. autoimmune encephalitis)</t>
  </si>
  <si>
    <t>congen_freq</t>
  </si>
  <si>
    <t>number of patients with secondary psychosis: Cytogenic / Congenital (e.g. genetic disorder)</t>
  </si>
  <si>
    <t>toxic_freq</t>
  </si>
  <si>
    <t>number of patients with secondary psychosis:Toxic / Substance-Induced (e.g. cannabis)</t>
  </si>
  <si>
    <t>iatrogenic__freq</t>
  </si>
  <si>
    <t>number of patients with secondary psychosis:Iatrogenic (e.g. medication induced)</t>
  </si>
  <si>
    <t>cerebrovas_freq</t>
  </si>
  <si>
    <t>number of patients with secondary psychosis: Cerebrovascular (eg stroke)</t>
  </si>
  <si>
    <t>space_oc_freq</t>
  </si>
  <si>
    <t>number of patients with secondary psychosis: Space-Occupying eg stroke</t>
  </si>
  <si>
    <t>metabolic_freq</t>
  </si>
  <si>
    <t>number of patients with secondary psychosis:Metabolic (eg thyroid disease)</t>
  </si>
  <si>
    <t>dietary_freq</t>
  </si>
  <si>
    <t>number of patients with secondary psychosis:Dietary (eg thiamine deficiency)</t>
  </si>
  <si>
    <t>infec_freq</t>
  </si>
  <si>
    <t>number of patients with secondary psychosis:  Infectious (eg sepsis)</t>
  </si>
  <si>
    <t>degen_freq</t>
  </si>
  <si>
    <t>number of patients with secondary psychosis: Degenerative (eg Alzheimer's)</t>
  </si>
  <si>
    <t>demye_freq</t>
  </si>
  <si>
    <t>number of patients with secondary psychosis: Demyelinating (e.g. multiple sclerosis)</t>
  </si>
  <si>
    <t>seizure_freq</t>
  </si>
  <si>
    <t>number of patients with secondary psychosis: Seizure (eg epilepsy)</t>
  </si>
  <si>
    <t>endocrine_freq</t>
  </si>
  <si>
    <t>number of patients with secondary psychosis: Endocrine (eg thyoid disease)</t>
  </si>
  <si>
    <t>other_sub_freq</t>
  </si>
  <si>
    <t>number of patients with secondary psychosis: other (does not fall into above specified categories)</t>
  </si>
  <si>
    <t>unknown_sub_freq</t>
  </si>
  <si>
    <t>number of patients with secondary psychosis: not specified (unable to classify)</t>
  </si>
  <si>
    <t>mri</t>
  </si>
  <si>
    <t>Patients underwent MRI: all/some/none</t>
  </si>
  <si>
    <t>ct</t>
  </si>
  <si>
    <t>Patients underwent CT: all/some/none</t>
  </si>
  <si>
    <t>nuclear</t>
  </si>
  <si>
    <t>Patients underwentSPECT/PET: all/some/none</t>
  </si>
  <si>
    <t>eeg</t>
  </si>
  <si>
    <t>Patients underwent EEG: all/some/none</t>
  </si>
  <si>
    <t>csf</t>
  </si>
  <si>
    <t>Patients underwent LP (CSF analysi): all/some/none</t>
  </si>
  <si>
    <t>blood</t>
  </si>
  <si>
    <t>Patients underwent venepunction (blood analysis): all/some/none</t>
  </si>
  <si>
    <t>urine</t>
  </si>
  <si>
    <t>Patients underwent urine dip (unrine analysis): all/some/none</t>
  </si>
  <si>
    <t>psych_assess</t>
  </si>
  <si>
    <t>psych_assess_stan_tool</t>
  </si>
  <si>
    <t>physical_exam</t>
  </si>
  <si>
    <t>cog_assess</t>
  </si>
  <si>
    <t>cog_assess_stan_tool</t>
  </si>
  <si>
    <t>other_assess_freq</t>
  </si>
  <si>
    <t>not_spec_assess_freq</t>
  </si>
  <si>
    <t>rob_1</t>
  </si>
  <si>
    <t>1=feature present (higher quality), 0=feature absent (lower quality)</t>
  </si>
  <si>
    <t>rob_2</t>
  </si>
  <si>
    <t>rob_3</t>
  </si>
  <si>
    <t>rob_4</t>
  </si>
  <si>
    <t>rob_5</t>
  </si>
  <si>
    <t>rob_6</t>
  </si>
  <si>
    <t>rob_7</t>
  </si>
  <si>
    <t>rob_8</t>
  </si>
  <si>
    <t>rob_9</t>
  </si>
  <si>
    <t>rob_10</t>
  </si>
  <si>
    <t>tot_rob_score</t>
  </si>
  <si>
    <t>total score (higher score indicated higher quality study)</t>
  </si>
  <si>
    <t>Key</t>
  </si>
  <si>
    <t>Not Specified (data was not reported directly in the paper)</t>
  </si>
  <si>
    <t>Not Applicable</t>
  </si>
  <si>
    <t>All</t>
  </si>
  <si>
    <t>All of the sample had the value of interest (e.g., all of the sample received a specific test)</t>
  </si>
  <si>
    <t>Some</t>
  </si>
  <si>
    <t>Some of the sample had the value of interest (e.g., a specific test was administered only to a portion of the sample)</t>
  </si>
  <si>
    <t>None</t>
  </si>
  <si>
    <t>None of the sample had the value of interest</t>
  </si>
  <si>
    <t>Yes - NS</t>
  </si>
  <si>
    <t>The value of interest was present, though the frequency was not specified (e.g., the paper reports that a test was administered but did not specify whether it was to all or only some)</t>
  </si>
  <si>
    <t>A single value was not reported in the paper in a way that could be divided into the relevant columns (e.g., the mean age of a sample was presented in ways other than secondary/primary psychosis, such as male/female)</t>
  </si>
  <si>
    <t>ethnicity_freq</t>
  </si>
  <si>
    <t>continent</t>
  </si>
  <si>
    <t>FEP</t>
  </si>
  <si>
    <t>endo</t>
  </si>
  <si>
    <t>exo</t>
  </si>
  <si>
    <t>iatrogenic_freq</t>
  </si>
  <si>
    <t>mri_freq</t>
  </si>
  <si>
    <t>ct_freq</t>
  </si>
  <si>
    <t>nuclear_freq</t>
  </si>
  <si>
    <t>eeg_freq</t>
  </si>
  <si>
    <t>csf_freq</t>
  </si>
  <si>
    <t>blood_freq</t>
  </si>
  <si>
    <t>urine_freq</t>
  </si>
  <si>
    <t>psych_assess_freq</t>
  </si>
  <si>
    <t>psych_assess_stan_tool_freq</t>
  </si>
  <si>
    <t>physical_exam_freq</t>
  </si>
  <si>
    <t>cog_assess_freq</t>
  </si>
  <si>
    <t>cog_assess_stan_tool_freq</t>
  </si>
  <si>
    <t>disorder</t>
  </si>
  <si>
    <t>diagnostic_tool</t>
  </si>
  <si>
    <t>class_system</t>
  </si>
  <si>
    <t>Mulriple</t>
  </si>
  <si>
    <t>Yaxley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</si>
</sst>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_-;\-* #,##0.00_-;_-* &quot;-&quot;??_-;_-@_-"/>
  </numFmts>
  <fonts count="1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11"/>
      <color rgb="FFCC00CC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sz val="9"/>
      <color rgb="FF000000"/>
      <name val="Tahoma"/>
      <family val="2"/>
    </font>
    <font>
      <sz val="9"/>
      <color rgb="FF000000"/>
      <name val="Tahoma"/>
      <family val="2"/>
    </font>
    <font>
      <sz val="11"/>
      <color theme="1"/>
      <name val="Calibri"/>
      <family val="2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theme="1"/>
      <name val="Calibri"/>
      <family val="2"/>
      <scheme val="minor"/>
    </font>
  </fonts>
  <fills count="26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EAA4E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757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CC00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C6E0B4"/>
        <bgColor rgb="FF000000"/>
      </patternFill>
    </fill>
    <fill>
      <patternFill patternType="solid">
        <fgColor rgb="FFFFE699"/>
        <bgColor rgb="FF000000"/>
      </patternFill>
    </fill>
    <fill>
      <patternFill patternType="solid">
        <fgColor rgb="FFB4C6E7"/>
        <bgColor rgb="FF000000"/>
      </patternFill>
    </fill>
    <fill>
      <patternFill patternType="solid">
        <fgColor rgb="FFBFBFBF"/>
        <bgColor rgb="FF000000"/>
      </patternFill>
    </fill>
    <fill>
      <patternFill patternType="solid">
        <fgColor rgb="FFF4B08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CC00CC"/>
        <bgColor rgb="FF000000"/>
      </patternFill>
    </fill>
    <fill>
      <patternFill patternType="solid">
        <fgColor rgb="FFEAA4E0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8CBAD"/>
        <bgColor rgb="FF000000"/>
      </patternFill>
    </fill>
    <fill>
      <patternFill patternType="solid">
        <fgColor rgb="FFFF7575"/>
        <bgColor rgb="FF000000"/>
      </patternFill>
    </fill>
    <fill>
      <patternFill patternType="solid">
        <fgColor theme="0" tint="-4.9989318521683403E-2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164" fontId="12" fillId="0" borderId="0" applyFont="0" applyFill="0" applyBorder="0" applyAlignment="0" applyProtection="0"/>
  </cellStyleXfs>
  <cellXfs count="109">
    <xf numFmtId="0" fontId="0" fillId="0" borderId="0" xfId="0"/>
    <xf numFmtId="0" fontId="1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9" xfId="0" applyBorder="1" applyAlignment="1">
      <alignment horizontal="center"/>
    </xf>
    <xf numFmtId="0" fontId="1" fillId="2" borderId="10" xfId="0" applyFont="1" applyFill="1" applyBorder="1" applyAlignment="1">
      <alignment horizontal="center" wrapText="1"/>
    </xf>
    <xf numFmtId="0" fontId="1" fillId="2" borderId="5" xfId="0" applyFont="1" applyFill="1" applyBorder="1" applyAlignment="1">
      <alignment horizontal="center" wrapText="1"/>
    </xf>
    <xf numFmtId="0" fontId="1" fillId="0" borderId="8" xfId="0" applyFont="1" applyBorder="1" applyAlignment="1">
      <alignment horizontal="center"/>
    </xf>
    <xf numFmtId="0" fontId="1" fillId="0" borderId="0" xfId="0" applyFont="1" applyAlignment="1">
      <alignment horizontal="left"/>
    </xf>
    <xf numFmtId="0" fontId="0" fillId="0" borderId="0" xfId="0" applyAlignment="1">
      <alignment horizontal="left"/>
    </xf>
    <xf numFmtId="0" fontId="0" fillId="2" borderId="1" xfId="0" applyFill="1" applyBorder="1" applyAlignment="1">
      <alignment horizontal="left" vertical="center" wrapText="1"/>
    </xf>
    <xf numFmtId="0" fontId="0" fillId="3" borderId="14" xfId="0" applyFill="1" applyBorder="1" applyAlignment="1">
      <alignment horizontal="left" vertical="center" wrapText="1"/>
    </xf>
    <xf numFmtId="0" fontId="0" fillId="3" borderId="1" xfId="0" applyFill="1" applyBorder="1" applyAlignment="1">
      <alignment horizontal="left" vertical="center" wrapText="1"/>
    </xf>
    <xf numFmtId="0" fontId="0" fillId="3" borderId="11" xfId="0" applyFill="1" applyBorder="1" applyAlignment="1">
      <alignment horizontal="left" wrapText="1"/>
    </xf>
    <xf numFmtId="0" fontId="0" fillId="3" borderId="5" xfId="0" applyFill="1" applyBorder="1" applyAlignment="1">
      <alignment horizontal="left" wrapText="1"/>
    </xf>
    <xf numFmtId="0" fontId="0" fillId="4" borderId="1" xfId="0" applyFill="1" applyBorder="1" applyAlignment="1">
      <alignment horizontal="left" vertical="center" wrapText="1"/>
    </xf>
    <xf numFmtId="0" fontId="0" fillId="4" borderId="5" xfId="0" applyFill="1" applyBorder="1" applyAlignment="1">
      <alignment horizontal="left" wrapText="1"/>
    </xf>
    <xf numFmtId="0" fontId="0" fillId="5" borderId="1" xfId="0" applyFill="1" applyBorder="1" applyAlignment="1">
      <alignment horizontal="left" vertical="center" wrapText="1"/>
    </xf>
    <xf numFmtId="0" fontId="0" fillId="6" borderId="1" xfId="0" applyFill="1" applyBorder="1" applyAlignment="1">
      <alignment horizontal="left" vertical="center" wrapText="1"/>
    </xf>
    <xf numFmtId="0" fontId="0" fillId="11" borderId="14" xfId="0" applyFill="1" applyBorder="1" applyAlignment="1">
      <alignment horizontal="left" vertical="center" wrapText="1"/>
    </xf>
    <xf numFmtId="0" fontId="6" fillId="12" borderId="11" xfId="0" applyFont="1" applyFill="1" applyBorder="1" applyAlignment="1">
      <alignment horizontal="left" wrapText="1"/>
    </xf>
    <xf numFmtId="0" fontId="0" fillId="7" borderId="1" xfId="0" applyFill="1" applyBorder="1" applyAlignment="1">
      <alignment horizontal="left" vertical="center" wrapText="1"/>
    </xf>
    <xf numFmtId="0" fontId="0" fillId="7" borderId="1" xfId="0" applyFill="1" applyBorder="1" applyAlignment="1">
      <alignment horizontal="left" vertical="center"/>
    </xf>
    <xf numFmtId="0" fontId="0" fillId="2" borderId="1" xfId="0" applyFill="1" applyBorder="1" applyAlignment="1">
      <alignment horizontal="left" vertical="center"/>
    </xf>
    <xf numFmtId="0" fontId="0" fillId="8" borderId="1" xfId="0" applyFill="1" applyBorder="1" applyAlignment="1">
      <alignment horizontal="left" vertical="center"/>
    </xf>
    <xf numFmtId="0" fontId="0" fillId="9" borderId="1" xfId="0" applyFill="1" applyBorder="1" applyAlignment="1">
      <alignment horizontal="left" vertical="center" wrapText="1"/>
    </xf>
    <xf numFmtId="0" fontId="0" fillId="10" borderId="1" xfId="0" applyFill="1" applyBorder="1" applyAlignment="1">
      <alignment horizontal="left" vertical="center" wrapText="1"/>
    </xf>
    <xf numFmtId="0" fontId="0" fillId="0" borderId="9" xfId="0" applyBorder="1" applyAlignment="1">
      <alignment horizontal="center" wrapText="1"/>
    </xf>
    <xf numFmtId="0" fontId="0" fillId="0" borderId="1" xfId="0" applyBorder="1" applyAlignment="1">
      <alignment horizontal="center" wrapText="1"/>
    </xf>
    <xf numFmtId="0" fontId="1" fillId="0" borderId="9" xfId="0" applyFont="1" applyBorder="1" applyAlignment="1">
      <alignment horizontal="center" wrapText="1"/>
    </xf>
    <xf numFmtId="0" fontId="1" fillId="0" borderId="1" xfId="0" applyFont="1" applyBorder="1" applyAlignment="1">
      <alignment horizontal="center" wrapText="1"/>
    </xf>
    <xf numFmtId="0" fontId="0" fillId="0" borderId="13" xfId="0" applyBorder="1" applyAlignment="1">
      <alignment horizontal="center" wrapText="1"/>
    </xf>
    <xf numFmtId="0" fontId="10" fillId="14" borderId="0" xfId="0" applyFont="1" applyFill="1" applyAlignment="1">
      <alignment horizontal="left" wrapText="1"/>
    </xf>
    <xf numFmtId="0" fontId="10" fillId="15" borderId="0" xfId="0" applyFont="1" applyFill="1" applyAlignment="1">
      <alignment horizontal="left" wrapText="1"/>
    </xf>
    <xf numFmtId="0" fontId="10" fillId="16" borderId="0" xfId="0" applyFont="1" applyFill="1" applyAlignment="1">
      <alignment horizontal="left" wrapText="1"/>
    </xf>
    <xf numFmtId="0" fontId="10" fillId="17" borderId="0" xfId="0" applyFont="1" applyFill="1" applyAlignment="1">
      <alignment horizontal="left" wrapText="1"/>
    </xf>
    <xf numFmtId="0" fontId="10" fillId="18" borderId="0" xfId="0" applyFont="1" applyFill="1" applyAlignment="1">
      <alignment horizontal="left" wrapText="1"/>
    </xf>
    <xf numFmtId="0" fontId="10" fillId="19" borderId="0" xfId="0" applyFont="1" applyFill="1" applyAlignment="1">
      <alignment horizontal="left" wrapText="1"/>
    </xf>
    <xf numFmtId="0" fontId="10" fillId="20" borderId="0" xfId="0" applyFont="1" applyFill="1" applyAlignment="1">
      <alignment horizontal="left" wrapText="1"/>
    </xf>
    <xf numFmtId="0" fontId="10" fillId="21" borderId="0" xfId="0" applyFont="1" applyFill="1" applyAlignment="1">
      <alignment horizontal="left" wrapText="1"/>
    </xf>
    <xf numFmtId="0" fontId="10" fillId="21" borderId="0" xfId="0" applyFont="1" applyFill="1" applyAlignment="1">
      <alignment horizontal="left"/>
    </xf>
    <xf numFmtId="0" fontId="10" fillId="14" borderId="0" xfId="0" applyFont="1" applyFill="1" applyAlignment="1">
      <alignment horizontal="left"/>
    </xf>
    <xf numFmtId="0" fontId="10" fillId="22" borderId="0" xfId="0" applyFont="1" applyFill="1" applyAlignment="1">
      <alignment horizontal="left"/>
    </xf>
    <xf numFmtId="0" fontId="10" fillId="23" borderId="0" xfId="0" applyFont="1" applyFill="1" applyAlignment="1">
      <alignment horizontal="left" wrapText="1"/>
    </xf>
    <xf numFmtId="0" fontId="10" fillId="24" borderId="0" xfId="0" applyFont="1" applyFill="1" applyAlignment="1">
      <alignment horizontal="left" wrapText="1"/>
    </xf>
    <xf numFmtId="0" fontId="0" fillId="0" borderId="1" xfId="0" applyBorder="1" applyAlignment="1">
      <alignment horizontal="left"/>
    </xf>
    <xf numFmtId="0" fontId="11" fillId="0" borderId="1" xfId="0" applyFont="1" applyBorder="1" applyAlignment="1">
      <alignment horizontal="left" wrapText="1"/>
    </xf>
    <xf numFmtId="0" fontId="1" fillId="13" borderId="11" xfId="0" applyFont="1" applyFill="1" applyBorder="1" applyAlignment="1">
      <alignment wrapText="1"/>
    </xf>
    <xf numFmtId="0" fontId="1" fillId="13" borderId="12" xfId="0" applyFont="1" applyFill="1" applyBorder="1" applyAlignment="1">
      <alignment wrapText="1"/>
    </xf>
    <xf numFmtId="0" fontId="11" fillId="0" borderId="0" xfId="0" applyFont="1" applyAlignment="1">
      <alignment vertical="center"/>
    </xf>
    <xf numFmtId="0" fontId="0" fillId="0" borderId="14" xfId="0" applyBorder="1" applyAlignment="1">
      <alignment horizontal="center"/>
    </xf>
    <xf numFmtId="0" fontId="0" fillId="0" borderId="1" xfId="0" applyBorder="1"/>
    <xf numFmtId="0" fontId="0" fillId="25" borderId="1" xfId="0" applyFill="1" applyBorder="1"/>
    <xf numFmtId="0" fontId="0" fillId="25" borderId="14" xfId="0" applyFill="1" applyBorder="1"/>
    <xf numFmtId="0" fontId="0" fillId="0" borderId="14" xfId="0" applyBorder="1"/>
    <xf numFmtId="0" fontId="1" fillId="4" borderId="5" xfId="0" applyFont="1" applyFill="1" applyBorder="1" applyAlignment="1">
      <alignment horizontal="center" wrapText="1"/>
    </xf>
    <xf numFmtId="0" fontId="1" fillId="5" borderId="5" xfId="0" applyFont="1" applyFill="1" applyBorder="1" applyAlignment="1">
      <alignment horizontal="center" wrapText="1"/>
    </xf>
    <xf numFmtId="0" fontId="1" fillId="8" borderId="5" xfId="0" applyFont="1" applyFill="1" applyBorder="1" applyAlignment="1">
      <alignment horizontal="center"/>
    </xf>
    <xf numFmtId="0" fontId="11" fillId="0" borderId="0" xfId="0" applyFont="1" applyAlignment="1">
      <alignment horizontal="center" wrapText="1"/>
    </xf>
    <xf numFmtId="0" fontId="11" fillId="0" borderId="1" xfId="0" applyFont="1" applyBorder="1" applyAlignment="1">
      <alignment horizontal="center" wrapText="1"/>
    </xf>
    <xf numFmtId="0" fontId="11" fillId="0" borderId="2" xfId="0" applyFont="1" applyBorder="1" applyAlignment="1">
      <alignment horizontal="center" wrapText="1"/>
    </xf>
    <xf numFmtId="164" fontId="0" fillId="0" borderId="1" xfId="1" applyFont="1" applyFill="1" applyBorder="1" applyAlignment="1">
      <alignment horizontal="center" wrapText="1"/>
    </xf>
    <xf numFmtId="0" fontId="0" fillId="0" borderId="1" xfId="1" applyNumberFormat="1" applyFont="1" applyFill="1" applyBorder="1" applyAlignment="1">
      <alignment horizontal="center" wrapText="1"/>
    </xf>
    <xf numFmtId="0" fontId="6" fillId="0" borderId="1" xfId="0" applyFont="1" applyBorder="1" applyAlignment="1">
      <alignment horizontal="center" wrapText="1"/>
    </xf>
    <xf numFmtId="0" fontId="9" fillId="0" borderId="0" xfId="0" applyFont="1" applyAlignment="1">
      <alignment horizontal="left"/>
    </xf>
    <xf numFmtId="0" fontId="11" fillId="0" borderId="0" xfId="0" applyFont="1" applyAlignment="1">
      <alignment horizontal="left"/>
    </xf>
    <xf numFmtId="0" fontId="1" fillId="10" borderId="11" xfId="0" applyFont="1" applyFill="1" applyBorder="1" applyAlignment="1">
      <alignment horizontal="center" wrapText="1"/>
    </xf>
    <xf numFmtId="0" fontId="1" fillId="10" borderId="14" xfId="0" applyFont="1" applyFill="1" applyBorder="1" applyAlignment="1">
      <alignment horizontal="center" wrapText="1"/>
    </xf>
    <xf numFmtId="0" fontId="1" fillId="3" borderId="5" xfId="0" applyFont="1" applyFill="1" applyBorder="1" applyAlignment="1">
      <alignment horizontal="center" wrapText="1"/>
    </xf>
    <xf numFmtId="0" fontId="1" fillId="3" borderId="1" xfId="0" applyFont="1" applyFill="1" applyBorder="1" applyAlignment="1">
      <alignment horizontal="center" wrapText="1"/>
    </xf>
    <xf numFmtId="0" fontId="1" fillId="4" borderId="5" xfId="0" applyFont="1" applyFill="1" applyBorder="1" applyAlignment="1">
      <alignment horizontal="center" wrapText="1"/>
    </xf>
    <xf numFmtId="0" fontId="1" fillId="4" borderId="1" xfId="0" applyFont="1" applyFill="1" applyBorder="1" applyAlignment="1">
      <alignment horizontal="center" wrapText="1"/>
    </xf>
    <xf numFmtId="0" fontId="1" fillId="5" borderId="5" xfId="0" applyFont="1" applyFill="1" applyBorder="1" applyAlignment="1">
      <alignment horizontal="center" wrapText="1"/>
    </xf>
    <xf numFmtId="0" fontId="1" fillId="5" borderId="1" xfId="0" applyFont="1" applyFill="1" applyBorder="1" applyAlignment="1">
      <alignment horizontal="center" wrapText="1"/>
    </xf>
    <xf numFmtId="0" fontId="1" fillId="6" borderId="5" xfId="0" applyFont="1" applyFill="1" applyBorder="1" applyAlignment="1">
      <alignment horizontal="center" wrapText="1"/>
    </xf>
    <xf numFmtId="0" fontId="1" fillId="6" borderId="1" xfId="0" applyFont="1" applyFill="1" applyBorder="1" applyAlignment="1">
      <alignment horizontal="center" wrapText="1"/>
    </xf>
    <xf numFmtId="0" fontId="1" fillId="7" borderId="5" xfId="0" applyFont="1" applyFill="1" applyBorder="1" applyAlignment="1">
      <alignment horizontal="center" wrapText="1"/>
    </xf>
    <xf numFmtId="0" fontId="1" fillId="7" borderId="1" xfId="0" applyFont="1" applyFill="1" applyBorder="1" applyAlignment="1">
      <alignment horizontal="center" wrapText="1"/>
    </xf>
    <xf numFmtId="0" fontId="1" fillId="3" borderId="11" xfId="0" applyFont="1" applyFill="1" applyBorder="1" applyAlignment="1">
      <alignment horizontal="center" wrapText="1"/>
    </xf>
    <xf numFmtId="0" fontId="1" fillId="3" borderId="12" xfId="0" applyFont="1" applyFill="1" applyBorder="1" applyAlignment="1">
      <alignment horizontal="center" wrapText="1"/>
    </xf>
    <xf numFmtId="0" fontId="1" fillId="8" borderId="5" xfId="0" applyFont="1" applyFill="1" applyBorder="1" applyAlignment="1">
      <alignment horizontal="center"/>
    </xf>
    <xf numFmtId="0" fontId="1" fillId="2" borderId="5" xfId="0" applyFont="1" applyFill="1" applyBorder="1" applyAlignment="1">
      <alignment horizontal="center"/>
    </xf>
    <xf numFmtId="0" fontId="1" fillId="11" borderId="11" xfId="0" applyFont="1" applyFill="1" applyBorder="1" applyAlignment="1">
      <alignment horizontal="center" wrapText="1"/>
    </xf>
    <xf numFmtId="0" fontId="1" fillId="11" borderId="12" xfId="0" applyFont="1" applyFill="1" applyBorder="1" applyAlignment="1">
      <alignment horizontal="center" wrapText="1"/>
    </xf>
    <xf numFmtId="0" fontId="5" fillId="12" borderId="11" xfId="0" applyFont="1" applyFill="1" applyBorder="1" applyAlignment="1">
      <alignment horizontal="center" wrapText="1"/>
    </xf>
    <xf numFmtId="0" fontId="5" fillId="12" borderId="12" xfId="0" applyFont="1" applyFill="1" applyBorder="1" applyAlignment="1">
      <alignment horizontal="center" wrapText="1"/>
    </xf>
    <xf numFmtId="0" fontId="4" fillId="12" borderId="12" xfId="0" applyFont="1" applyFill="1" applyBorder="1" applyAlignment="1">
      <alignment horizontal="center" wrapText="1"/>
    </xf>
    <xf numFmtId="0" fontId="1" fillId="7" borderId="5" xfId="0" applyFont="1" applyFill="1" applyBorder="1" applyAlignment="1">
      <alignment horizontal="center"/>
    </xf>
    <xf numFmtId="0" fontId="5" fillId="5" borderId="11" xfId="0" applyFont="1" applyFill="1" applyBorder="1" applyAlignment="1">
      <alignment horizontal="center" wrapText="1"/>
    </xf>
    <xf numFmtId="0" fontId="5" fillId="5" borderId="12" xfId="0" applyFont="1" applyFill="1" applyBorder="1" applyAlignment="1">
      <alignment horizontal="center" wrapText="1"/>
    </xf>
    <xf numFmtId="0" fontId="1" fillId="10" borderId="5" xfId="0" applyFont="1" applyFill="1" applyBorder="1" applyAlignment="1">
      <alignment horizontal="center" wrapText="1"/>
    </xf>
    <xf numFmtId="0" fontId="1" fillId="10" borderId="6" xfId="0" applyFont="1" applyFill="1" applyBorder="1" applyAlignment="1">
      <alignment horizontal="center" wrapText="1"/>
    </xf>
    <xf numFmtId="0" fontId="1" fillId="10" borderId="5" xfId="0" applyFont="1" applyFill="1" applyBorder="1" applyAlignment="1">
      <alignment horizontal="center"/>
    </xf>
    <xf numFmtId="0" fontId="1" fillId="9" borderId="5" xfId="0" applyFont="1" applyFill="1" applyBorder="1" applyAlignment="1">
      <alignment horizontal="center" wrapText="1"/>
    </xf>
    <xf numFmtId="0" fontId="1" fillId="13" borderId="11" xfId="0" applyFont="1" applyFill="1" applyBorder="1" applyAlignment="1">
      <alignment horizontal="center" wrapText="1"/>
    </xf>
    <xf numFmtId="0" fontId="1" fillId="13" borderId="12" xfId="0" applyFont="1" applyFill="1" applyBorder="1" applyAlignment="1">
      <alignment horizontal="center" wrapText="1"/>
    </xf>
    <xf numFmtId="0" fontId="1" fillId="11" borderId="5" xfId="0" applyFont="1" applyFill="1" applyBorder="1" applyAlignment="1">
      <alignment horizontal="center" wrapText="1"/>
    </xf>
    <xf numFmtId="0" fontId="1" fillId="11" borderId="1" xfId="0" applyFont="1" applyFill="1" applyBorder="1" applyAlignment="1">
      <alignment horizontal="center" wrapText="1"/>
    </xf>
    <xf numFmtId="0" fontId="5" fillId="12" borderId="5" xfId="0" applyFont="1" applyFill="1" applyBorder="1" applyAlignment="1">
      <alignment horizontal="center" wrapText="1"/>
    </xf>
    <xf numFmtId="0" fontId="5" fillId="12" borderId="1" xfId="0" applyFont="1" applyFill="1" applyBorder="1" applyAlignment="1">
      <alignment horizontal="center" wrapText="1"/>
    </xf>
    <xf numFmtId="0" fontId="1" fillId="2" borderId="3" xfId="0" applyFont="1" applyFill="1" applyBorder="1" applyAlignment="1">
      <alignment horizontal="center" wrapText="1"/>
    </xf>
    <xf numFmtId="0" fontId="1" fillId="2" borderId="7" xfId="0" applyFont="1" applyFill="1" applyBorder="1" applyAlignment="1">
      <alignment horizontal="center" wrapText="1"/>
    </xf>
    <xf numFmtId="0" fontId="1" fillId="2" borderId="4" xfId="0" applyFont="1" applyFill="1" applyBorder="1" applyAlignment="1">
      <alignment horizontal="center" wrapText="1"/>
    </xf>
    <xf numFmtId="0" fontId="1" fillId="2" borderId="2" xfId="0" applyFont="1" applyFill="1" applyBorder="1" applyAlignment="1">
      <alignment horizontal="center" wrapText="1"/>
    </xf>
    <xf numFmtId="0" fontId="1" fillId="7" borderId="1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8" borderId="1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/>
    </xf>
    <xf numFmtId="0" fontId="1" fillId="9" borderId="1" xfId="0" applyFont="1" applyFill="1" applyBorder="1" applyAlignment="1">
      <alignment horizontal="center" wrapText="1"/>
    </xf>
    <xf numFmtId="0" fontId="1" fillId="10" borderId="1" xfId="0" applyFont="1" applyFill="1" applyBorder="1" applyAlignment="1">
      <alignment horizontal="center" wrapText="1"/>
    </xf>
  </cellXfs>
  <cellStyles count="2">
    <cellStyle name="Comma" xfId="1" builtinId="3"/>
    <cellStyle name="Normal" xfId="0" builtinId="0"/>
  </cellStyles>
  <dxfs count="83">
    <dxf>
      <font>
        <strike val="0"/>
      </font>
      <fill>
        <patternFill>
          <bgColor rgb="FFFF7171"/>
        </patternFill>
      </fill>
    </dxf>
    <dxf>
      <font>
        <strike val="0"/>
      </font>
      <fill>
        <patternFill>
          <bgColor rgb="FFFF7171"/>
        </patternFill>
      </fill>
    </dxf>
    <dxf>
      <font>
        <strike val="0"/>
      </font>
      <fill>
        <patternFill>
          <bgColor rgb="FFFF7171"/>
        </patternFill>
      </fill>
    </dxf>
    <dxf>
      <font>
        <strike val="0"/>
      </font>
      <fill>
        <patternFill>
          <bgColor rgb="FFFF7171"/>
        </patternFill>
      </fill>
    </dxf>
    <dxf>
      <font>
        <strike val="0"/>
      </font>
      <fill>
        <patternFill>
          <bgColor rgb="FFFF7171"/>
        </patternFill>
      </fill>
    </dxf>
    <dxf>
      <font>
        <strike val="0"/>
      </font>
      <fill>
        <patternFill>
          <bgColor rgb="FFFF7171"/>
        </patternFill>
      </fill>
    </dxf>
    <dxf>
      <font>
        <strike val="0"/>
      </font>
      <fill>
        <patternFill>
          <bgColor rgb="FFFF7171"/>
        </patternFill>
      </fill>
    </dxf>
    <dxf>
      <font>
        <strike val="0"/>
      </font>
      <fill>
        <patternFill>
          <bgColor rgb="FFFF7171"/>
        </patternFill>
      </fill>
    </dxf>
    <dxf>
      <font>
        <strike val="0"/>
      </font>
      <fill>
        <patternFill>
          <bgColor rgb="FFFF7171"/>
        </patternFill>
      </fill>
    </dxf>
    <dxf>
      <font>
        <strike val="0"/>
      </font>
      <fill>
        <patternFill>
          <bgColor rgb="FFFF7171"/>
        </patternFill>
      </fill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strike val="0"/>
      </font>
      <fill>
        <patternFill>
          <bgColor rgb="FFFF7171"/>
        </patternFill>
      </fill>
    </dxf>
    <dxf>
      <font>
        <strike val="0"/>
      </font>
      <fill>
        <patternFill>
          <bgColor rgb="FFFF7171"/>
        </patternFill>
      </fill>
    </dxf>
    <dxf>
      <font>
        <strike val="0"/>
      </font>
      <fill>
        <patternFill>
          <bgColor rgb="FFFF7171"/>
        </patternFill>
      </fill>
    </dxf>
    <dxf>
      <font>
        <strike val="0"/>
      </font>
      <fill>
        <patternFill>
          <bgColor rgb="FFFF7171"/>
        </patternFill>
      </fill>
    </dxf>
    <dxf>
      <font>
        <strike val="0"/>
      </font>
      <fill>
        <patternFill>
          <bgColor rgb="FFFF7171"/>
        </patternFill>
      </fill>
    </dxf>
    <dxf>
      <font>
        <strike val="0"/>
      </font>
      <fill>
        <patternFill>
          <bgColor rgb="FFFF7171"/>
        </patternFill>
      </fill>
    </dxf>
    <dxf>
      <font>
        <strike val="0"/>
      </font>
      <fill>
        <patternFill>
          <bgColor rgb="FFFF7171"/>
        </patternFill>
      </fill>
    </dxf>
    <dxf>
      <font>
        <strike val="0"/>
      </font>
      <fill>
        <patternFill>
          <bgColor rgb="FFFF7171"/>
        </patternFill>
      </fill>
    </dxf>
    <dxf>
      <font>
        <strike val="0"/>
      </font>
      <fill>
        <patternFill>
          <bgColor rgb="FFFF7171"/>
        </patternFill>
      </fill>
    </dxf>
    <dxf>
      <font>
        <strike val="0"/>
      </font>
      <fill>
        <patternFill>
          <bgColor rgb="FFFF7171"/>
        </patternFill>
      </fill>
    </dxf>
    <dxf>
      <font>
        <strike val="0"/>
      </font>
      <fill>
        <patternFill>
          <bgColor rgb="FFFF7171"/>
        </patternFill>
      </fill>
    </dxf>
    <dxf>
      <font>
        <strike val="0"/>
      </font>
      <fill>
        <patternFill>
          <bgColor rgb="FFFF7171"/>
        </patternFill>
      </fill>
    </dxf>
    <dxf>
      <font>
        <strike val="0"/>
      </font>
      <fill>
        <patternFill>
          <bgColor rgb="FFFF7171"/>
        </patternFill>
      </fill>
    </dxf>
    <dxf>
      <font>
        <strike val="0"/>
      </font>
      <fill>
        <patternFill>
          <bgColor rgb="FFFF7171"/>
        </patternFill>
      </fill>
    </dxf>
    <dxf>
      <font>
        <strike val="0"/>
      </font>
      <fill>
        <patternFill>
          <bgColor rgb="FFFF7171"/>
        </patternFill>
      </fill>
    </dxf>
    <dxf>
      <font>
        <strike val="0"/>
      </font>
      <fill>
        <patternFill>
          <bgColor rgb="FFFF7171"/>
        </patternFill>
      </fill>
    </dxf>
    <dxf>
      <font>
        <strike val="0"/>
      </font>
      <fill>
        <patternFill>
          <bgColor rgb="FFFF7171"/>
        </patternFill>
      </fill>
    </dxf>
    <dxf>
      <font>
        <strike val="0"/>
      </font>
      <fill>
        <patternFill>
          <bgColor rgb="FFFF7171"/>
        </patternFill>
      </fill>
    </dxf>
    <dxf>
      <font>
        <strike val="0"/>
      </font>
      <fill>
        <patternFill>
          <bgColor rgb="FFFF7171"/>
        </patternFill>
      </fill>
    </dxf>
    <dxf>
      <font>
        <strike val="0"/>
      </font>
      <fill>
        <patternFill>
          <bgColor rgb="FFFF7171"/>
        </patternFill>
      </fill>
    </dxf>
    <dxf>
      <font>
        <strike val="0"/>
      </font>
      <fill>
        <patternFill>
          <bgColor rgb="FFFF7171"/>
        </patternFill>
      </fill>
    </dxf>
    <dxf>
      <font>
        <strike val="0"/>
      </font>
      <fill>
        <patternFill>
          <bgColor rgb="FFFF7171"/>
        </patternFill>
      </fill>
    </dxf>
    <dxf>
      <font>
        <strike val="0"/>
      </font>
      <fill>
        <patternFill>
          <bgColor rgb="FFFF7171"/>
        </patternFill>
      </fill>
    </dxf>
    <dxf>
      <font>
        <strike val="0"/>
      </font>
      <fill>
        <patternFill>
          <bgColor rgb="FFFF7171"/>
        </patternFill>
      </fill>
    </dxf>
    <dxf>
      <font>
        <strike val="0"/>
      </font>
      <fill>
        <patternFill>
          <bgColor rgb="FFFF7171"/>
        </patternFill>
      </fill>
    </dxf>
    <dxf>
      <font>
        <strike val="0"/>
      </font>
      <fill>
        <patternFill>
          <bgColor rgb="FFFF7171"/>
        </patternFill>
      </fill>
    </dxf>
    <dxf>
      <font>
        <strike val="0"/>
      </font>
      <fill>
        <patternFill>
          <bgColor rgb="FFFF7171"/>
        </patternFill>
      </fill>
    </dxf>
    <dxf>
      <font>
        <strike val="0"/>
      </font>
      <fill>
        <patternFill>
          <bgColor rgb="FFFF7171"/>
        </patternFill>
      </fill>
    </dxf>
    <dxf>
      <font>
        <strike val="0"/>
      </font>
      <fill>
        <patternFill>
          <bgColor rgb="FFFF7171"/>
        </patternFill>
      </fill>
    </dxf>
    <dxf>
      <font>
        <strike val="0"/>
      </font>
      <fill>
        <patternFill>
          <bgColor rgb="FFFF7171"/>
        </patternFill>
      </fill>
    </dxf>
    <dxf>
      <font>
        <strike val="0"/>
      </font>
      <fill>
        <patternFill>
          <bgColor rgb="FFFF7171"/>
        </patternFill>
      </fill>
    </dxf>
    <dxf>
      <font>
        <strike val="0"/>
      </font>
      <fill>
        <patternFill>
          <bgColor rgb="FFFF7171"/>
        </patternFill>
      </fill>
    </dxf>
    <dxf>
      <font>
        <strike val="0"/>
      </font>
      <fill>
        <patternFill>
          <bgColor rgb="FFFF7171"/>
        </patternFill>
      </fill>
    </dxf>
    <dxf>
      <font>
        <strike val="0"/>
      </font>
      <fill>
        <patternFill>
          <bgColor rgb="FFFF7171"/>
        </patternFill>
      </fill>
    </dxf>
    <dxf>
      <font>
        <strike val="0"/>
      </font>
      <fill>
        <patternFill>
          <bgColor rgb="FFFF7171"/>
        </patternFill>
      </fill>
    </dxf>
    <dxf>
      <font>
        <strike val="0"/>
      </font>
      <fill>
        <patternFill>
          <bgColor rgb="FFFF7171"/>
        </patternFill>
      </fill>
    </dxf>
    <dxf>
      <font>
        <strike val="0"/>
      </font>
      <fill>
        <patternFill>
          <bgColor rgb="FFFF7171"/>
        </patternFill>
      </fill>
    </dxf>
    <dxf>
      <font>
        <strike val="0"/>
      </font>
      <fill>
        <patternFill>
          <bgColor rgb="FFFF7171"/>
        </patternFill>
      </fill>
    </dxf>
    <dxf>
      <font>
        <strike val="0"/>
      </font>
      <fill>
        <patternFill>
          <bgColor rgb="FFFF7171"/>
        </patternFill>
      </fill>
    </dxf>
    <dxf>
      <font>
        <strike val="0"/>
      </font>
      <fill>
        <patternFill>
          <bgColor rgb="FFFF7171"/>
        </patternFill>
      </fill>
    </dxf>
    <dxf>
      <font>
        <strike val="0"/>
      </font>
      <fill>
        <patternFill>
          <bgColor rgb="FFFF7171"/>
        </patternFill>
      </fill>
    </dxf>
    <dxf>
      <font>
        <strike val="0"/>
      </font>
      <fill>
        <patternFill>
          <bgColor rgb="FFFF7171"/>
        </patternFill>
      </fill>
    </dxf>
    <dxf>
      <font>
        <strike val="0"/>
      </font>
      <fill>
        <patternFill>
          <bgColor rgb="FFFF7171"/>
        </patternFill>
      </fill>
    </dxf>
    <dxf>
      <font>
        <strike val="0"/>
      </font>
      <fill>
        <patternFill>
          <bgColor rgb="FFFF7171"/>
        </patternFill>
      </fill>
    </dxf>
    <dxf>
      <font>
        <strike val="0"/>
      </font>
      <fill>
        <patternFill>
          <bgColor rgb="FFFF7171"/>
        </patternFill>
      </fill>
    </dxf>
    <dxf>
      <font>
        <strike val="0"/>
      </font>
      <fill>
        <patternFill>
          <bgColor rgb="FFFF7171"/>
        </patternFill>
      </fill>
    </dxf>
    <dxf>
      <font>
        <strike val="0"/>
      </font>
      <fill>
        <patternFill>
          <bgColor rgb="FFFF7171"/>
        </patternFill>
      </fill>
    </dxf>
    <dxf>
      <font>
        <strike val="0"/>
      </font>
      <fill>
        <patternFill>
          <bgColor rgb="FFFF7171"/>
        </patternFill>
      </fill>
    </dxf>
    <dxf>
      <font>
        <strike val="0"/>
      </font>
      <fill>
        <patternFill>
          <bgColor rgb="FFFF7171"/>
        </patternFill>
      </fill>
    </dxf>
    <dxf>
      <font>
        <strike val="0"/>
      </font>
      <fill>
        <patternFill>
          <bgColor rgb="FFFF7171"/>
        </patternFill>
      </fill>
    </dxf>
    <dxf>
      <font>
        <strike val="0"/>
      </font>
      <fill>
        <patternFill>
          <bgColor rgb="FFFF7171"/>
        </patternFill>
      </fill>
    </dxf>
    <dxf>
      <font>
        <strike val="0"/>
      </font>
      <fill>
        <patternFill>
          <bgColor rgb="FFFF7171"/>
        </patternFill>
      </fill>
    </dxf>
    <dxf>
      <font>
        <strike val="0"/>
      </font>
      <fill>
        <patternFill>
          <bgColor rgb="FFFF7171"/>
        </patternFill>
      </fill>
    </dxf>
    <dxf>
      <font>
        <strike val="0"/>
      </font>
      <fill>
        <patternFill>
          <bgColor rgb="FFFF7171"/>
        </patternFill>
      </fill>
    </dxf>
    <dxf>
      <font>
        <strike val="0"/>
      </font>
      <fill>
        <patternFill>
          <bgColor rgb="FFFF7171"/>
        </patternFill>
      </fill>
    </dxf>
    <dxf>
      <font>
        <strike val="0"/>
      </font>
      <fill>
        <patternFill>
          <bgColor rgb="FFFF7171"/>
        </patternFill>
      </fill>
    </dxf>
    <dxf>
      <font>
        <strike val="0"/>
      </font>
      <fill>
        <patternFill>
          <bgColor rgb="FFFF7171"/>
        </patternFill>
      </fill>
    </dxf>
    <dxf>
      <font>
        <strike val="0"/>
      </font>
      <fill>
        <patternFill>
          <bgColor rgb="FFFF7171"/>
        </patternFill>
      </fill>
    </dxf>
    <dxf>
      <font>
        <strike val="0"/>
      </font>
      <fill>
        <patternFill>
          <bgColor rgb="FFFF7171"/>
        </patternFill>
      </fill>
    </dxf>
    <dxf>
      <font>
        <strike val="0"/>
      </font>
      <fill>
        <patternFill>
          <bgColor rgb="FFFF7171"/>
        </patternFill>
      </fill>
    </dxf>
    <dxf>
      <font>
        <strike val="0"/>
      </font>
      <fill>
        <patternFill>
          <bgColor rgb="FFFF7171"/>
        </patternFill>
      </fill>
    </dxf>
    <dxf>
      <font>
        <strike val="0"/>
      </font>
      <fill>
        <patternFill>
          <bgColor rgb="FFFF7171"/>
        </patternFill>
      </fill>
    </dxf>
    <dxf>
      <font>
        <strike val="0"/>
      </font>
      <fill>
        <patternFill>
          <bgColor rgb="FFFF7171"/>
        </patternFill>
      </fill>
    </dxf>
    <dxf>
      <font>
        <strike val="0"/>
      </font>
      <fill>
        <patternFill>
          <bgColor rgb="FFFF7171"/>
        </patternFill>
      </fill>
    </dxf>
    <dxf>
      <font>
        <strike val="0"/>
      </font>
      <fill>
        <patternFill>
          <bgColor rgb="FFFF7171"/>
        </patternFill>
      </fill>
    </dxf>
    <dxf>
      <font>
        <strike val="0"/>
      </font>
      <fill>
        <patternFill>
          <bgColor rgb="FFFF7171"/>
        </patternFill>
      </fill>
    </dxf>
    <dxf>
      <font>
        <strike val="0"/>
      </font>
      <fill>
        <patternFill>
          <bgColor rgb="FFFF7171"/>
        </patternFill>
      </fill>
    </dxf>
    <dxf>
      <font>
        <strike val="0"/>
      </font>
      <fill>
        <patternFill>
          <bgColor rgb="FFFF7171"/>
        </patternFill>
      </fill>
    </dxf>
    <dxf>
      <font>
        <strike val="0"/>
      </font>
      <fill>
        <patternFill>
          <bgColor rgb="FFFF7171"/>
        </patternFill>
      </fill>
    </dxf>
  </dxfs>
  <tableStyles count="0" defaultTableStyle="TableStyleMedium2" defaultPivotStyle="PivotStyleLight16"/>
  <colors>
    <mruColors>
      <color rgb="FFCC00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Byrne, Ronan" id="{16C1B9DA-1D49-4C83-8290-8BC736837727}" userId="Byrne, Ronan" providerId="None"/>
  <person displayName="Neha Gill" id="{040EE45B-690A-4C0A-A6E6-8AB48A3E4501}" userId="50a562b49dfdfaed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P3" dT="2023-01-06T19:46:51.89" personId="{040EE45B-690A-4C0A-A6E6-8AB48A3E4501}" id="{B4AC6245-6C23-45CD-8BFF-A8FC8B2923CA}">
    <text xml:space="preserve">White or other </text>
  </threadedComment>
  <threadedComment ref="V3" dT="2022-12-05T19:53:43.21" personId="{16C1B9DA-1D49-4C83-8290-8BC736837727}" id="{D28FCE7A-631A-437C-BF90-A878F91CE365}">
    <text>psych ED</text>
  </threadedComment>
  <threadedComment ref="CT3" dT="2022-12-01T19:44:26.88" personId="{040EE45B-690A-4C0A-A6E6-8AB48A3E4501}" id="{73D77E4B-134B-4C66-BE49-5ED5C3BC7C44}">
    <text>Whole sample - done on admission to psychiatric emergency department</text>
  </threadedComment>
  <threadedComment ref="CV3" dT="2022-11-06T16:41:11.26" personId="{040EE45B-690A-4C0A-A6E6-8AB48A3E4501}" id="{A5473E32-F391-4787-A92E-3DBEA10D68C2}">
    <text>Psychiatric assessment (DSM -5) and PRISM interview - whole sample</text>
  </threadedComment>
  <threadedComment ref="CX3" dT="2023-01-05T20:36:43.80" personId="{040EE45B-690A-4C0A-A6E6-8AB48A3E4501}" id="{5A458437-9F9A-4327-B50C-A49595706C4A}">
    <text>PRISM</text>
  </threadedComment>
  <threadedComment ref="L4" dT="2023-01-12T19:25:22.84" personId="{040EE45B-690A-4C0A-A6E6-8AB48A3E4501}" id="{10AF39A0-3097-40A2-8A5D-62A4D12F140F}">
    <text>Median age range - mean not available</text>
  </threadedComment>
  <threadedComment ref="T4" dT="2023-01-06T19:49:28.11" personId="{040EE45B-690A-4C0A-A6E6-8AB48A3E4501}" id="{F3DC8ABF-535E-49AA-8323-2D03C0955731}">
    <text>Non-white but doesn't specify</text>
  </threadedComment>
  <threadedComment ref="CV4" dT="2023-01-05T20:36:59.27" personId="{040EE45B-690A-4C0A-A6E6-8AB48A3E4501}" id="{A25F919B-31F3-4051-8E1D-FC1118DDD089}">
    <text>SCID</text>
  </threadedComment>
  <threadedComment ref="CX4" dT="2023-01-05T20:37:10.96" personId="{040EE45B-690A-4C0A-A6E6-8AB48A3E4501}" id="{78752FDF-2C98-4B03-B503-1DC2C2C97248}">
    <text>SCID</text>
  </threadedComment>
  <threadedComment ref="CZ4" dT="2022-12-01T20:29:57.78" personId="{040EE45B-690A-4C0A-A6E6-8AB48A3E4501}" id="{712A8807-F2CE-4088-871B-B70A67032791}">
    <text>Physical and neurological - whole cohort</text>
  </threadedComment>
  <threadedComment ref="DF4" dT="2022-12-01T20:30:46.86" personId="{040EE45B-690A-4C0A-A6E6-8AB48A3E4501}" id="{409AE920-F9C3-4AA9-9184-E3E24CE19FB7}">
    <text>Brief Psychiatric Rating Scale (BPRS) and the Global Assessment of Functioning Scale (GAF)</text>
  </threadedComment>
  <threadedComment ref="N5" dT="2023-01-06T19:51:28.13" personId="{040EE45B-690A-4C0A-A6E6-8AB48A3E4501}" id="{AA229978-7DAD-4CBB-AE4B-D54BB7DDF014}">
    <text>95 primary, 57 secondary</text>
  </threadedComment>
  <threadedComment ref="P5" dT="2023-01-06T19:54:18.45" personId="{040EE45B-690A-4C0A-A6E6-8AB48A3E4501}" id="{6F664069-3A16-4FB0-ABE3-79F7F74899AD}">
    <text>38 primary / 14 secondary - white / other</text>
  </threadedComment>
  <threadedComment ref="T5" dT="2023-01-06T19:54:58.20" personId="{040EE45B-690A-4C0A-A6E6-8AB48A3E4501}" id="{DC8F9CB6-86E2-45C4-8879-C67FD431B0A7}">
    <text>84 primary / 63 secondary - Hispanic</text>
  </threadedComment>
  <threadedComment ref="V5" dT="2023-01-15T17:04:00.64" personId="{040EE45B-690A-4C0A-A6E6-8AB48A3E4501}" id="{1EFBF891-1339-4CB4-AECD-00914DA7DA8A}">
    <text>Psychiatric emergency department</text>
  </threadedComment>
  <threadedComment ref="CV5" dT="2022-11-20T15:03:59.69" personId="{040EE45B-690A-4C0A-A6E6-8AB48A3E4501}" id="{B872C95B-79C0-42DA-9ECB-6E0FFC6EEFB2}">
    <text xml:space="preserve">And PRISM questionnaire
</text>
  </threadedComment>
  <threadedComment ref="CX5" dT="2023-01-05T20:37:24.76" personId="{040EE45B-690A-4C0A-A6E6-8AB48A3E4501}" id="{66FEAADC-4D99-4DA6-928F-B057C59DBE06}">
    <text>PRISM</text>
  </threadedComment>
  <threadedComment ref="CP6" dT="2023-01-02T18:00:20.04" personId="{040EE45B-690A-4C0A-A6E6-8AB48A3E4501}" id="{075532CB-BA67-4548-B4D2-5301F7054697}">
    <text>LP</text>
  </threadedComment>
  <threadedComment ref="N7" dT="2023-01-06T19:55:42.54" personId="{040EE45B-690A-4C0A-A6E6-8AB48A3E4501}" id="{B86D037B-4D43-4AE1-834B-0AB4D673FC80}">
    <text>african</text>
  </threadedComment>
  <threadedComment ref="CV7" dT="2022-11-23T19:43:15.85" personId="{040EE45B-690A-4C0A-A6E6-8AB48A3E4501}" id="{BD799B1F-6610-4829-A605-BF1383A49D08}">
    <text>DSM-5 diagnosis and PRISM interview</text>
  </threadedComment>
  <threadedComment ref="CV8" dT="2022-11-23T20:04:34.27" personId="{040EE45B-690A-4C0A-A6E6-8AB48A3E4501}" id="{90ED50F0-FB3E-4BC6-9AD3-747E6DEF31BC}">
    <text xml:space="preserve"> Psychiatric Assessment 
</text>
  </threadedComment>
  <threadedComment ref="CZ8" dT="2022-12-04T16:28:29.85" personId="{040EE45B-690A-4C0A-A6E6-8AB48A3E4501}" id="{2017F6FF-A5EB-4858-892B-3AC449A77E52}">
    <text>Neurological exam and vital signs taken</text>
  </threadedComment>
  <threadedComment ref="CZ10" dT="2023-01-12T18:50:56.39" personId="{040EE45B-690A-4C0A-A6E6-8AB48A3E4501}" id="{3B2FA8E5-AC12-49C9-A523-6AC42F8CC469}">
    <text>Neurological evaluation, blood cell count, electrolytes, liver and renal function tests, toxicology screening</text>
  </threadedComment>
  <threadedComment ref="CH11" dT="2022-12-03T20:51:23.92" personId="{040EE45B-690A-4C0A-A6E6-8AB48A3E4501}" id="{18F0FFC8-2A5E-4034-B385-C956E47DB753}">
    <text xml:space="preserve">Used with two patients with potential organic cause
</text>
  </threadedComment>
  <threadedComment ref="CJ11" dT="2022-12-03T20:51:35.83" personId="{040EE45B-690A-4C0A-A6E6-8AB48A3E4501}" id="{0D87FB41-3940-4CBC-8B77-59DA20133CBE}">
    <text>Used in whole sample</text>
  </threadedComment>
  <threadedComment ref="CL11" dT="2022-12-03T20:51:49.15" personId="{040EE45B-690A-4C0A-A6E6-8AB48A3E4501}" id="{FCCA2850-50F3-4F3C-AAFD-6FEAFEFD6648}">
    <text xml:space="preserve">Used for one patient
</text>
  </threadedComment>
  <threadedComment ref="CN11" dT="2022-12-03T20:52:07.90" personId="{040EE45B-690A-4C0A-A6E6-8AB48A3E4501}" id="{5E3ABA8B-9839-491C-9A4C-1201DBE04AB1}">
    <text>Used for one patient</text>
  </threadedComment>
  <threadedComment ref="CP11" dT="2022-12-03T20:52:44.10" personId="{040EE45B-690A-4C0A-A6E6-8AB48A3E4501}" id="{665C1E21-371B-44FA-BEC4-A6BA79BF9885}">
    <text>Used for one patient - LP</text>
  </threadedComment>
  <threadedComment ref="CR11" dT="2022-12-03T20:52:58.58" personId="{040EE45B-690A-4C0A-A6E6-8AB48A3E4501}" id="{BCA3F2BB-03C6-4F4D-87BF-EAE6D94A7781}">
    <text>Used for one patient</text>
  </threadedComment>
  <threadedComment ref="CV12" dT="2022-11-27T18:11:01.75" personId="{040EE45B-690A-4C0A-A6E6-8AB48A3E4501}" id="{3740302B-5123-4CEE-B1F3-E36BD344760F}">
    <text xml:space="preserve">Psych and neurological assessment and physical eg poor visual activity
</text>
  </threadedComment>
  <threadedComment ref="CZ12" dT="2022-12-04T15:09:20.14" personId="{040EE45B-690A-4C0A-A6E6-8AB48A3E4501}" id="{1645D374-2CC9-43E2-B860-2A49094D20A1}">
    <text>Neurological examination - as and when  needed</text>
  </threadedComment>
  <threadedComment ref="H14" dT="2023-01-12T19:28:29.74" personId="{040EE45B-690A-4C0A-A6E6-8AB48A3E4501}" id="{FAD739C1-C9C2-4C47-8C07-EF34B1A25A35}">
    <text>33 FEP, 45 TRS Cohort</text>
  </threadedComment>
  <threadedComment ref="J14" dT="2022-12-04T19:01:57.33" personId="{040EE45B-690A-4C0A-A6E6-8AB48A3E4501}" id="{245E2A91-7257-4D75-894D-0BB7FF8B2231}">
    <text>33 FEP, 45 TRS Cohort</text>
  </threadedComment>
  <threadedComment ref="N14" dT="2023-01-06T20:13:33.35" personId="{040EE45B-690A-4C0A-A6E6-8AB48A3E4501}" id="{24A65134-409C-45E1-A8D0-76A72A6BC0DF}">
    <text>4 FEP, 1 TRS</text>
  </threadedComment>
  <threadedComment ref="P14" dT="2023-01-06T20:13:54.24" personId="{040EE45B-690A-4C0A-A6E6-8AB48A3E4501}" id="{44152AF2-A016-4F08-8AFE-95D3C4940B40}">
    <text>106 FEP, 97 TRS</text>
  </threadedComment>
  <threadedComment ref="R14" dT="2023-01-06T20:17:30.00" personId="{040EE45B-690A-4C0A-A6E6-8AB48A3E4501}" id="{15D8BEE0-1A1B-470C-B37F-A1161DF4836E}">
    <text>2 FEP, 2 TRS</text>
  </threadedComment>
  <threadedComment ref="AT14" dT="2022-12-05T19:58:58.90" personId="{16C1B9DA-1D49-4C83-8290-8BC736837727}" id="{90E25BFB-6602-4C58-AD2E-2A38BD81D50C}">
    <text xml:space="preserve"> (112 FEP), 100 (TRS)</text>
  </threadedComment>
  <threadedComment ref="CH14" dT="2022-12-04T16:27:17.40" personId="{040EE45B-690A-4C0A-A6E6-8AB48A3E4501}" id="{06415C92-C53E-4326-8831-4045B4BAFAA3}">
    <text>Seropositive cases</text>
  </threadedComment>
  <threadedComment ref="CN14" dT="2022-12-04T16:26:32.97" personId="{040EE45B-690A-4C0A-A6E6-8AB48A3E4501}" id="{05279557-F3E7-4341-A46E-7444D3714183}">
    <text>Seropositive cases</text>
  </threadedComment>
  <threadedComment ref="CP14" dT="2022-12-04T16:25:22.66" personId="{040EE45B-690A-4C0A-A6E6-8AB48A3E4501}" id="{251ABE20-94CC-4999-8A3B-297883CE6FD6}">
    <text>Seropositive cases</text>
  </threadedComment>
  <threadedComment ref="CR14" dT="2022-12-04T16:23:51.81" personId="{040EE45B-690A-4C0A-A6E6-8AB48A3E4501}" id="{FE52134C-853E-4964-B424-C9974EE65B81}">
    <text>all</text>
  </threadedComment>
  <threadedComment ref="CR14" dT="2023-01-12T18:53:26.16" personId="{040EE45B-690A-4C0A-A6E6-8AB48A3E4501}" id="{853A6579-B285-4C21-BFAC-51309A265A83}" parentId="{FE52134C-853E-4964-B424-C9974EE65B81}">
    <text>Requested from all patients in one of the two institutions only</text>
  </threadedComment>
  <threadedComment ref="CV14" dT="2022-11-27T18:31:37.20" personId="{040EE45B-690A-4C0A-A6E6-8AB48A3E4501}" id="{6CE2A22E-33F1-4EBB-8193-9DAEBEB7435F}">
    <text>Whole sample</text>
  </threadedComment>
  <threadedComment ref="CX14" dT="2023-01-05T20:42:54.01" personId="{040EE45B-690A-4C0A-A6E6-8AB48A3E4501}" id="{67D4F972-245D-45FD-99B6-D486E06E8FD4}">
    <text>SCID</text>
  </threadedComment>
  <threadedComment ref="CZ14" dT="2022-12-04T16:29:12.69" personId="{040EE45B-690A-4C0A-A6E6-8AB48A3E4501}" id="{140F0C21-9B75-4678-AFDA-0D03C5138DF6}">
    <text>Seropositive cases were reviewed and clinically examined by a consultant neurologist</text>
  </threadedComment>
  <threadedComment ref="DF14" dT="2022-12-04T16:26:09.19" personId="{040EE45B-690A-4C0A-A6E6-8AB48A3E4501}" id="{43B1213A-68DD-4A16-B371-3B9F04F7574D}">
    <text>malignancy screen (pelvic or testicular
ultrasound &amp; chest x-ray) for those who were seropositive</text>
  </threadedComment>
  <threadedComment ref="P15" dT="2023-01-06T20:17:54.83" personId="{040EE45B-690A-4C0A-A6E6-8AB48A3E4501}" id="{1E3598F2-EE56-4650-B48A-CB5B73D41077}">
    <text>European Portuguese</text>
  </threadedComment>
  <threadedComment ref="DN16" dT="2023-02-14T14:02:34.20" personId="{040EE45B-690A-4C0A-A6E6-8AB48A3E4501}" id="{3E684F3C-E7B1-44E5-8C20-80AD725D6A52}">
    <text>DSM-IV TR Criteria</text>
  </threadedComment>
  <threadedComment ref="CV18" dT="2022-12-04T16:51:10.15" personId="{040EE45B-690A-4C0A-A6E6-8AB48A3E4501}" id="{A2A80F2C-4062-4740-B8F6-62787344843C}">
    <text>Whole sample</text>
  </threadedComment>
  <threadedComment ref="DB18" dT="2022-11-27T19:34:16.83" personId="{040EE45B-690A-4C0A-A6E6-8AB48A3E4501}" id="{EA4A3EF5-A69F-4988-9B9C-15C858890D78}">
    <text>PANSS AND MMSE (used for neurological evaluation) - whole sample</text>
  </threadedComment>
  <threadedComment ref="DD18" dT="2023-01-05T20:07:21.27" personId="{040EE45B-690A-4C0A-A6E6-8AB48A3E4501}" id="{A580D085-CA15-452E-A07C-2CA029A613E1}">
    <text>PANSS AND MMSE (used for neurological evaluation) - whole sample</text>
  </threadedComment>
  <threadedComment ref="N19" dT="2023-01-06T20:24:07.22" personId="{040EE45B-690A-4C0A-A6E6-8AB48A3E4501}" id="{824E52FA-AEED-4B55-A2B1-9308CBE78BC2}">
    <text>Yoruba</text>
  </threadedComment>
  <threadedComment ref="CV20" dT="2022-11-27T19:42:09.81" personId="{040EE45B-690A-4C0A-A6E6-8AB48A3E4501}" id="{637E414C-3A8B-4952-B11D-0F393BF6EA76}">
    <text xml:space="preserve">Psych </text>
  </threadedComment>
  <threadedComment ref="CZ20" dT="2022-12-04T16:52:52.08" personId="{040EE45B-690A-4C0A-A6E6-8AB48A3E4501}" id="{288F9DCD-F795-4D3E-AB69-20CA2588B8CC}">
    <text>Neurological assessment</text>
  </threadedComment>
  <threadedComment ref="CH21" dT="2022-12-04T17:02:01.47" personId="{040EE45B-690A-4C0A-A6E6-8AB48A3E4501}" id="{B96E3072-9D02-4D9F-B423-B18ABFBDDADC}">
    <text>Only probable autoimmune psychosis group</text>
  </threadedComment>
  <threadedComment ref="CJ21" dT="2022-12-04T17:02:45.94" personId="{040EE45B-690A-4C0A-A6E6-8AB48A3E4501}" id="{1F8B6466-A366-4AA1-BCEB-41EBC7119981}">
    <text>Whole sample</text>
  </threadedComment>
  <threadedComment ref="CP21" dT="2022-12-04T17:03:10.18" personId="{040EE45B-690A-4C0A-A6E6-8AB48A3E4501}" id="{EF3FAC81-E606-4F83-9973-AC765A8A557F}">
    <text>Whole sample</text>
  </threadedComment>
  <threadedComment ref="CR21" dT="2022-12-04T17:57:38.47" personId="{040EE45B-690A-4C0A-A6E6-8AB48A3E4501}" id="{A76A4D27-1138-4C90-AE8D-B045BED97183}">
    <text>Whole sample</text>
  </threadedComment>
  <threadedComment ref="CV21" dT="2022-11-27T19:49:11.06" personId="{040EE45B-690A-4C0A-A6E6-8AB48A3E4501}" id="{15B8049D-4A54-49DA-B68A-5D760BBD9FD7}">
    <text>Psych assessment and neurological examination - whole sample</text>
  </threadedComment>
  <threadedComment ref="N23" dT="2023-01-06T20:27:34.42" personId="{040EE45B-690A-4C0A-A6E6-8AB48A3E4501}" id="{59C48EA0-3893-41EF-AC71-9E3A476D272D}">
    <text>Indigineous South African Males</text>
  </threadedComment>
  <threadedComment ref="CN23" dT="2022-12-04T18:42:52.82" personId="{040EE45B-690A-4C0A-A6E6-8AB48A3E4501}" id="{A07EC678-33E2-49BC-941C-13206458537D}">
    <text>Not whole sample</text>
  </threadedComment>
  <threadedComment ref="CT23" dT="2022-12-04T18:41:15.31" personId="{040EE45B-690A-4C0A-A6E6-8AB48A3E4501}" id="{A1CCEF1D-BE74-4A69-B7D8-E41112BCB589}">
    <text>Whole sample</text>
  </threadedComment>
  <threadedComment ref="CV23" dT="2022-12-04T18:41:29.44" personId="{040EE45B-690A-4C0A-A6E6-8AB48A3E4501}" id="{26218D16-578A-46C2-9655-481FA87C5D3B}">
    <text>Whole sample</text>
  </threadedComment>
  <threadedComment ref="CH24" dT="2022-12-04T18:49:32.19" personId="{040EE45B-690A-4C0A-A6E6-8AB48A3E4501}" id="{77C48134-0F1A-4C73-A584-4E5E6505427C}">
    <text>Not whole sample</text>
  </threadedComment>
  <threadedComment ref="CJ24" dT="2022-12-04T18:49:21.45" personId="{040EE45B-690A-4C0A-A6E6-8AB48A3E4501}" id="{99A101A4-CF3B-4D2E-A0D6-12B926B99990}">
    <text>Not whole sample</text>
  </threadedComment>
  <threadedComment ref="CR24" dT="2022-12-04T18:49:05.64" personId="{040EE45B-690A-4C0A-A6E6-8AB48A3E4501}" id="{A2D03DC1-A5A0-4E31-9BBE-6BEB9648E54E}">
    <text>Whole sample</text>
  </threadedComment>
  <threadedComment ref="CV24" dT="2022-12-04T18:49:48.68" personId="{040EE45B-690A-4C0A-A6E6-8AB48A3E4501}" id="{4A858F2C-98AE-4666-B8DE-DC3ED0EAD609}">
    <text>Whole sample</text>
  </threadedComment>
  <threadedComment ref="J25" dT="2022-12-04T19:14:43.95" personId="{040EE45B-690A-4C0A-A6E6-8AB48A3E4501}" id="{FBF1EEF9-6299-47A2-9E18-38D87C69FEE8}">
    <text>Combined</text>
  </threadedComment>
  <threadedComment ref="T25" dT="2023-01-06T20:29:54.31" personId="{040EE45B-690A-4C0A-A6E6-8AB48A3E4501}" id="{D40BF45E-D2FB-4EF1-8FBB-756C564EA736}">
    <text>39 Mixed, 7 Other</text>
  </threadedComment>
  <threadedComment ref="CV25" dT="2022-12-04T18:52:48.26" personId="{040EE45B-690A-4C0A-A6E6-8AB48A3E4501}" id="{98C7E2A4-0FEB-47E1-8065-0AA08399D6B5}">
    <text>Whole sample</text>
  </threadedComment>
  <threadedComment ref="CX25" dT="2023-01-05T20:45:10.52" personId="{040EE45B-690A-4C0A-A6E6-8AB48A3E4501}" id="{379F8B13-E77F-44B2-BD18-96ED30E4860E}">
    <text>PANSS</text>
  </threadedComment>
  <threadedComment ref="P26" dT="2023-01-06T20:31:39.66" personId="{040EE45B-690A-4C0A-A6E6-8AB48A3E4501}" id="{6CB0CEB8-37A7-4219-90EE-2CE7D91B53DB}">
    <text>116 New Zealand European, 16 European</text>
  </threadedComment>
  <threadedComment ref="T26" dT="2023-01-06T20:32:38.57" personId="{040EE45B-690A-4C0A-A6E6-8AB48A3E4501}" id="{ADFA2D82-A4D7-48B0-A5E1-D7456D588D67}">
    <text>29 Maori, 9 Pacific Islander, 2 other</text>
  </threadedComment>
  <threadedComment ref="CV26" dT="2022-12-04T18:53:53.16" personId="{040EE45B-690A-4C0A-A6E6-8AB48A3E4501}" id="{8492E48E-54C5-40F9-B99C-C78AEDCEAEAE}">
    <text>Whole sample</text>
  </threadedComment>
  <threadedComment ref="CX26" dT="2023-01-05T20:45:20.13" personId="{040EE45B-690A-4C0A-A6E6-8AB48A3E4501}" id="{474EF95B-8945-4981-A8F8-10D89B41E985}">
    <text>PANSS</text>
  </threadedComment>
  <threadedComment ref="P27" dT="2023-01-06T20:31:39.66" personId="{040EE45B-690A-4C0A-A6E6-8AB48A3E4501}" id="{C387CB59-7D5B-4C3D-AAA3-815FBDCEDDA3}">
    <text>116 New Zealand European, 16 European</text>
  </threadedComment>
  <threadedComment ref="T27" dT="2023-01-06T20:32:38.57" personId="{040EE45B-690A-4C0A-A6E6-8AB48A3E4501}" id="{55FF6EEA-C32C-4C17-9C3F-A8061020DE98}">
    <text>29 Maori, 9 Pacific Islander, 2 other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8F782-3112-499B-AF93-D72B9C0855A9}">
  <dimension ref="A1:GZ47"/>
  <sheetViews>
    <sheetView zoomScale="60" zoomScaleNormal="60" workbookViewId="0">
      <pane xSplit="1" topLeftCell="BR1" activePane="topRight" state="frozen"/>
      <selection pane="topRight" activeCell="BC3" sqref="BC3"/>
    </sheetView>
  </sheetViews>
  <sheetFormatPr baseColWidth="10" defaultColWidth="8.83203125" defaultRowHeight="15" x14ac:dyDescent="0.2"/>
  <cols>
    <col min="1" max="1" width="12.6640625" customWidth="1"/>
    <col min="5" max="5" width="9" customWidth="1"/>
    <col min="12" max="12" width="11.33203125" customWidth="1"/>
    <col min="24" max="24" width="13.6640625" customWidth="1"/>
    <col min="28" max="29" width="11.83203125" customWidth="1"/>
    <col min="123" max="123" width="8.83203125" customWidth="1"/>
    <col min="207" max="207" width="14.83203125" customWidth="1"/>
    <col min="208" max="208" width="17.6640625" customWidth="1"/>
  </cols>
  <sheetData>
    <row r="1" spans="1:208" ht="99.75" customHeight="1" x14ac:dyDescent="0.2">
      <c r="A1" s="4" t="s">
        <v>0</v>
      </c>
      <c r="B1" s="5" t="s">
        <v>1</v>
      </c>
      <c r="C1" s="77" t="s">
        <v>2</v>
      </c>
      <c r="D1" s="78"/>
      <c r="E1" s="67" t="s">
        <v>3</v>
      </c>
      <c r="F1" s="67"/>
      <c r="G1" s="77" t="s">
        <v>4</v>
      </c>
      <c r="H1" s="78"/>
      <c r="I1" s="77" t="s">
        <v>5</v>
      </c>
      <c r="J1" s="78"/>
      <c r="K1" s="67" t="s">
        <v>6</v>
      </c>
      <c r="L1" s="67"/>
      <c r="M1" s="77" t="s">
        <v>7</v>
      </c>
      <c r="N1" s="78"/>
      <c r="O1" s="77" t="s">
        <v>8</v>
      </c>
      <c r="P1" s="78"/>
      <c r="Q1" s="77" t="s">
        <v>9</v>
      </c>
      <c r="R1" s="78"/>
      <c r="S1" s="67" t="s">
        <v>10</v>
      </c>
      <c r="T1" s="67"/>
      <c r="U1" s="69" t="s">
        <v>11</v>
      </c>
      <c r="V1" s="69"/>
      <c r="W1" s="69" t="s">
        <v>12</v>
      </c>
      <c r="X1" s="69"/>
      <c r="Y1" s="69" t="s">
        <v>13</v>
      </c>
      <c r="Z1" s="69"/>
      <c r="AA1" s="69" t="s">
        <v>14</v>
      </c>
      <c r="AB1" s="69"/>
      <c r="AC1" s="54" t="s">
        <v>15</v>
      </c>
      <c r="AD1" s="71" t="s">
        <v>16</v>
      </c>
      <c r="AE1" s="71"/>
      <c r="AF1" s="55" t="s">
        <v>17</v>
      </c>
      <c r="AG1" s="71" t="s">
        <v>18</v>
      </c>
      <c r="AH1" s="71"/>
      <c r="AI1" s="71" t="s">
        <v>19</v>
      </c>
      <c r="AJ1" s="71"/>
      <c r="AK1" s="87" t="s">
        <v>20</v>
      </c>
      <c r="AL1" s="88"/>
      <c r="AM1" s="71" t="s">
        <v>21</v>
      </c>
      <c r="AN1" s="71"/>
      <c r="AO1" s="71" t="s">
        <v>22</v>
      </c>
      <c r="AP1" s="71"/>
      <c r="AQ1" s="71" t="s">
        <v>23</v>
      </c>
      <c r="AR1" s="71"/>
      <c r="AS1" s="73" t="s">
        <v>24</v>
      </c>
      <c r="AT1" s="73"/>
      <c r="AU1" s="73" t="s">
        <v>25</v>
      </c>
      <c r="AV1" s="73"/>
      <c r="AW1" s="81" t="s">
        <v>26</v>
      </c>
      <c r="AX1" s="82"/>
      <c r="AY1" s="83" t="s">
        <v>27</v>
      </c>
      <c r="AZ1" s="85"/>
      <c r="BA1" s="83" t="s">
        <v>28</v>
      </c>
      <c r="BB1" s="84"/>
      <c r="BC1" s="75" t="s">
        <v>29</v>
      </c>
      <c r="BD1" s="75"/>
      <c r="BE1" s="75" t="s">
        <v>30</v>
      </c>
      <c r="BF1" s="75"/>
      <c r="BG1" s="75" t="s">
        <v>31</v>
      </c>
      <c r="BH1" s="75"/>
      <c r="BI1" s="75" t="s">
        <v>32</v>
      </c>
      <c r="BJ1" s="75"/>
      <c r="BK1" s="75" t="s">
        <v>33</v>
      </c>
      <c r="BL1" s="75"/>
      <c r="BM1" s="75" t="s">
        <v>34</v>
      </c>
      <c r="BN1" s="75"/>
      <c r="BO1" s="75" t="s">
        <v>35</v>
      </c>
      <c r="BP1" s="75"/>
      <c r="BQ1" s="75" t="s">
        <v>36</v>
      </c>
      <c r="BR1" s="75"/>
      <c r="BS1" s="75" t="s">
        <v>37</v>
      </c>
      <c r="BT1" s="75"/>
      <c r="BU1" s="75" t="s">
        <v>38</v>
      </c>
      <c r="BV1" s="75"/>
      <c r="BW1" s="75" t="s">
        <v>39</v>
      </c>
      <c r="BX1" s="75"/>
      <c r="BY1" s="75" t="s">
        <v>40</v>
      </c>
      <c r="BZ1" s="75"/>
      <c r="CA1" s="75" t="s">
        <v>41</v>
      </c>
      <c r="CB1" s="75"/>
      <c r="CC1" s="86" t="s">
        <v>42</v>
      </c>
      <c r="CD1" s="86"/>
      <c r="CE1" s="86" t="s">
        <v>43</v>
      </c>
      <c r="CF1" s="86"/>
      <c r="CG1" s="80" t="s">
        <v>44</v>
      </c>
      <c r="CH1" s="80"/>
      <c r="CI1" s="80" t="s">
        <v>45</v>
      </c>
      <c r="CJ1" s="80"/>
      <c r="CK1" s="80" t="s">
        <v>46</v>
      </c>
      <c r="CL1" s="80"/>
      <c r="CM1" s="80" t="s">
        <v>47</v>
      </c>
      <c r="CN1" s="80"/>
      <c r="CO1" s="79" t="s">
        <v>48</v>
      </c>
      <c r="CP1" s="79"/>
      <c r="CQ1" s="56" t="s">
        <v>49</v>
      </c>
      <c r="CR1" s="56"/>
      <c r="CS1" s="56" t="s">
        <v>50</v>
      </c>
      <c r="CT1" s="56"/>
      <c r="CU1" s="67" t="s">
        <v>51</v>
      </c>
      <c r="CV1" s="67"/>
      <c r="CW1" s="67" t="s">
        <v>52</v>
      </c>
      <c r="CX1" s="67"/>
      <c r="CY1" s="67" t="s">
        <v>53</v>
      </c>
      <c r="CZ1" s="67"/>
      <c r="DA1" s="67" t="s">
        <v>54</v>
      </c>
      <c r="DB1" s="67"/>
      <c r="DC1" s="67" t="s">
        <v>55</v>
      </c>
      <c r="DD1" s="67"/>
      <c r="DE1" s="92" t="s">
        <v>56</v>
      </c>
      <c r="DF1" s="92"/>
      <c r="DG1" s="92" t="s">
        <v>57</v>
      </c>
      <c r="DH1" s="92"/>
      <c r="DI1" s="93" t="s">
        <v>58</v>
      </c>
      <c r="DJ1" s="94"/>
      <c r="DK1" s="93" t="s">
        <v>59</v>
      </c>
      <c r="DL1" s="94"/>
      <c r="DM1" s="93" t="s">
        <v>60</v>
      </c>
      <c r="DN1" s="94"/>
      <c r="DO1" s="89" t="s">
        <v>61</v>
      </c>
      <c r="DP1" s="89"/>
      <c r="DQ1" s="91" t="s">
        <v>62</v>
      </c>
      <c r="DR1" s="91"/>
      <c r="DS1" s="91" t="s">
        <v>63</v>
      </c>
      <c r="DT1" s="91"/>
      <c r="DU1" s="91" t="s">
        <v>64</v>
      </c>
      <c r="DV1" s="91"/>
      <c r="DW1" s="91" t="s">
        <v>65</v>
      </c>
      <c r="DX1" s="91"/>
      <c r="DY1" s="91" t="s">
        <v>66</v>
      </c>
      <c r="DZ1" s="91"/>
      <c r="EA1" s="91" t="s">
        <v>67</v>
      </c>
      <c r="EB1" s="91"/>
      <c r="EC1" s="91" t="s">
        <v>68</v>
      </c>
      <c r="ED1" s="91"/>
      <c r="EE1" s="91" t="s">
        <v>69</v>
      </c>
      <c r="EF1" s="91"/>
      <c r="EG1" s="91" t="s">
        <v>70</v>
      </c>
      <c r="EH1" s="91"/>
      <c r="EI1" s="89" t="s">
        <v>71</v>
      </c>
      <c r="EJ1" s="90"/>
      <c r="EK1" s="99" t="s">
        <v>0</v>
      </c>
      <c r="EL1" s="101" t="s">
        <v>1</v>
      </c>
      <c r="EM1" s="67" t="s">
        <v>2</v>
      </c>
      <c r="EN1" s="67" t="s">
        <v>3</v>
      </c>
      <c r="EO1" s="67" t="s">
        <v>4</v>
      </c>
      <c r="EP1" s="67" t="s">
        <v>5</v>
      </c>
      <c r="EQ1" s="67" t="s">
        <v>6</v>
      </c>
      <c r="ER1" s="67" t="s">
        <v>7</v>
      </c>
      <c r="ES1" s="67" t="s">
        <v>8</v>
      </c>
      <c r="ET1" s="67" t="s">
        <v>9</v>
      </c>
      <c r="EU1" s="67" t="s">
        <v>10</v>
      </c>
      <c r="EV1" s="69" t="s">
        <v>11</v>
      </c>
      <c r="EW1" s="69" t="s">
        <v>12</v>
      </c>
      <c r="EX1" s="69" t="s">
        <v>13</v>
      </c>
      <c r="EY1" s="69" t="s">
        <v>14</v>
      </c>
      <c r="EZ1" s="71" t="s">
        <v>72</v>
      </c>
      <c r="FA1" s="71" t="s">
        <v>18</v>
      </c>
      <c r="FB1" s="71" t="s">
        <v>19</v>
      </c>
      <c r="FC1" s="71" t="s">
        <v>21</v>
      </c>
      <c r="FD1" s="71" t="s">
        <v>22</v>
      </c>
      <c r="FE1" s="71" t="s">
        <v>23</v>
      </c>
      <c r="FF1" s="73" t="s">
        <v>24</v>
      </c>
      <c r="FG1" s="73" t="s">
        <v>25</v>
      </c>
      <c r="FH1" s="95" t="s">
        <v>26</v>
      </c>
      <c r="FI1" s="97" t="s">
        <v>27</v>
      </c>
      <c r="FJ1" s="97" t="s">
        <v>28</v>
      </c>
      <c r="FK1" s="75" t="s">
        <v>29</v>
      </c>
      <c r="FL1" s="75" t="s">
        <v>30</v>
      </c>
      <c r="FM1" s="75" t="s">
        <v>31</v>
      </c>
      <c r="FN1" s="75" t="s">
        <v>32</v>
      </c>
      <c r="FO1" s="75" t="s">
        <v>33</v>
      </c>
      <c r="FP1" s="75" t="s">
        <v>34</v>
      </c>
      <c r="FQ1" s="75" t="s">
        <v>35</v>
      </c>
      <c r="FR1" s="75" t="s">
        <v>36</v>
      </c>
      <c r="FS1" s="75" t="s">
        <v>37</v>
      </c>
      <c r="FT1" s="75" t="s">
        <v>38</v>
      </c>
      <c r="FU1" s="75" t="s">
        <v>39</v>
      </c>
      <c r="FV1" s="75" t="s">
        <v>40</v>
      </c>
      <c r="FW1" s="75" t="s">
        <v>41</v>
      </c>
      <c r="FX1" s="86" t="s">
        <v>42</v>
      </c>
      <c r="FY1" s="86" t="s">
        <v>43</v>
      </c>
      <c r="FZ1" s="80" t="s">
        <v>44</v>
      </c>
      <c r="GA1" s="80" t="s">
        <v>45</v>
      </c>
      <c r="GB1" s="80" t="s">
        <v>46</v>
      </c>
      <c r="GC1" s="80" t="s">
        <v>47</v>
      </c>
      <c r="GD1" s="79" t="s">
        <v>48</v>
      </c>
      <c r="GE1" s="79" t="s">
        <v>49</v>
      </c>
      <c r="GF1" s="79" t="s">
        <v>50</v>
      </c>
      <c r="GG1" s="67" t="s">
        <v>51</v>
      </c>
      <c r="GH1" s="67" t="s">
        <v>52</v>
      </c>
      <c r="GI1" s="67" t="s">
        <v>53</v>
      </c>
      <c r="GJ1" s="67" t="s">
        <v>54</v>
      </c>
      <c r="GK1" s="67" t="s">
        <v>55</v>
      </c>
      <c r="GL1" s="92" t="s">
        <v>56</v>
      </c>
      <c r="GM1" s="92" t="s">
        <v>57</v>
      </c>
      <c r="GN1" s="89" t="s">
        <v>61</v>
      </c>
      <c r="GO1" s="91" t="s">
        <v>62</v>
      </c>
      <c r="GP1" s="91" t="s">
        <v>63</v>
      </c>
      <c r="GQ1" s="91" t="s">
        <v>64</v>
      </c>
      <c r="GR1" s="91" t="s">
        <v>65</v>
      </c>
      <c r="GS1" s="91" t="s">
        <v>66</v>
      </c>
      <c r="GT1" s="91" t="s">
        <v>67</v>
      </c>
      <c r="GU1" s="91" t="s">
        <v>68</v>
      </c>
      <c r="GV1" s="91" t="s">
        <v>69</v>
      </c>
      <c r="GW1" s="91" t="s">
        <v>70</v>
      </c>
      <c r="GX1" s="65" t="s">
        <v>71</v>
      </c>
      <c r="GY1" s="51" t="s">
        <v>73</v>
      </c>
      <c r="GZ1" s="52" t="s">
        <v>74</v>
      </c>
    </row>
    <row r="2" spans="1:208" x14ac:dyDescent="0.2">
      <c r="A2" s="3"/>
      <c r="B2" s="2"/>
      <c r="C2" s="1" t="s">
        <v>75</v>
      </c>
      <c r="D2" s="1" t="s">
        <v>76</v>
      </c>
      <c r="E2" s="1" t="s">
        <v>75</v>
      </c>
      <c r="F2" s="1" t="s">
        <v>76</v>
      </c>
      <c r="G2" s="1" t="s">
        <v>75</v>
      </c>
      <c r="H2" s="1" t="s">
        <v>76</v>
      </c>
      <c r="I2" s="1" t="s">
        <v>75</v>
      </c>
      <c r="J2" s="1" t="s">
        <v>76</v>
      </c>
      <c r="K2" s="1" t="s">
        <v>75</v>
      </c>
      <c r="L2" s="1" t="s">
        <v>76</v>
      </c>
      <c r="M2" s="1" t="s">
        <v>75</v>
      </c>
      <c r="N2" s="1" t="s">
        <v>76</v>
      </c>
      <c r="O2" s="1" t="s">
        <v>75</v>
      </c>
      <c r="P2" s="1" t="s">
        <v>76</v>
      </c>
      <c r="Q2" s="1" t="s">
        <v>75</v>
      </c>
      <c r="R2" s="1" t="s">
        <v>76</v>
      </c>
      <c r="S2" s="1" t="s">
        <v>75</v>
      </c>
      <c r="T2" s="1" t="s">
        <v>76</v>
      </c>
      <c r="U2" s="1" t="s">
        <v>75</v>
      </c>
      <c r="V2" s="1" t="s">
        <v>76</v>
      </c>
      <c r="W2" s="1" t="s">
        <v>75</v>
      </c>
      <c r="X2" s="1" t="s">
        <v>76</v>
      </c>
      <c r="Y2" s="1" t="s">
        <v>75</v>
      </c>
      <c r="Z2" s="1" t="s">
        <v>76</v>
      </c>
      <c r="AA2" s="1" t="s">
        <v>75</v>
      </c>
      <c r="AB2" s="1" t="s">
        <v>76</v>
      </c>
      <c r="AC2" s="1"/>
      <c r="AD2" s="1" t="s">
        <v>75</v>
      </c>
      <c r="AE2" s="1" t="s">
        <v>76</v>
      </c>
      <c r="AF2" s="1"/>
      <c r="AG2" s="1" t="s">
        <v>75</v>
      </c>
      <c r="AH2" s="1" t="s">
        <v>76</v>
      </c>
      <c r="AI2" s="1" t="s">
        <v>75</v>
      </c>
      <c r="AJ2" s="1" t="s">
        <v>76</v>
      </c>
      <c r="AK2" s="1" t="s">
        <v>75</v>
      </c>
      <c r="AL2" s="1" t="s">
        <v>77</v>
      </c>
      <c r="AM2" s="1" t="s">
        <v>75</v>
      </c>
      <c r="AN2" s="1" t="s">
        <v>76</v>
      </c>
      <c r="AO2" s="1" t="s">
        <v>75</v>
      </c>
      <c r="AP2" s="1" t="s">
        <v>76</v>
      </c>
      <c r="AQ2" s="1" t="s">
        <v>75</v>
      </c>
      <c r="AR2" s="1" t="s">
        <v>76</v>
      </c>
      <c r="AS2" s="1" t="s">
        <v>75</v>
      </c>
      <c r="AT2" s="1" t="s">
        <v>76</v>
      </c>
      <c r="AU2" s="1" t="s">
        <v>75</v>
      </c>
      <c r="AV2" s="1" t="s">
        <v>76</v>
      </c>
      <c r="AW2" s="1" t="s">
        <v>75</v>
      </c>
      <c r="AX2" s="1" t="s">
        <v>76</v>
      </c>
      <c r="AY2" s="1" t="s">
        <v>75</v>
      </c>
      <c r="AZ2" s="1" t="s">
        <v>76</v>
      </c>
      <c r="BA2" s="1" t="s">
        <v>75</v>
      </c>
      <c r="BB2" s="1" t="s">
        <v>76</v>
      </c>
      <c r="BC2" s="1" t="s">
        <v>75</v>
      </c>
      <c r="BD2" s="1" t="s">
        <v>76</v>
      </c>
      <c r="BE2" s="1" t="s">
        <v>75</v>
      </c>
      <c r="BF2" s="1" t="s">
        <v>76</v>
      </c>
      <c r="BG2" s="1" t="s">
        <v>75</v>
      </c>
      <c r="BH2" s="1" t="s">
        <v>76</v>
      </c>
      <c r="BI2" s="1" t="s">
        <v>75</v>
      </c>
      <c r="BJ2" s="1" t="s">
        <v>76</v>
      </c>
      <c r="BK2" s="1" t="s">
        <v>75</v>
      </c>
      <c r="BL2" s="1" t="s">
        <v>76</v>
      </c>
      <c r="BM2" s="1" t="s">
        <v>75</v>
      </c>
      <c r="BN2" s="1" t="s">
        <v>76</v>
      </c>
      <c r="BO2" s="1" t="s">
        <v>75</v>
      </c>
      <c r="BP2" s="1" t="s">
        <v>76</v>
      </c>
      <c r="BQ2" s="1" t="s">
        <v>75</v>
      </c>
      <c r="BR2" s="1" t="s">
        <v>76</v>
      </c>
      <c r="BS2" s="1" t="s">
        <v>75</v>
      </c>
      <c r="BT2" s="1" t="s">
        <v>76</v>
      </c>
      <c r="BU2" s="1" t="s">
        <v>75</v>
      </c>
      <c r="BV2" s="1" t="s">
        <v>76</v>
      </c>
      <c r="BW2" s="1" t="s">
        <v>75</v>
      </c>
      <c r="BX2" s="1" t="s">
        <v>76</v>
      </c>
      <c r="BY2" s="1" t="s">
        <v>75</v>
      </c>
      <c r="BZ2" s="1" t="s">
        <v>76</v>
      </c>
      <c r="CA2" s="1" t="s">
        <v>75</v>
      </c>
      <c r="CB2" s="1" t="s">
        <v>76</v>
      </c>
      <c r="CC2" s="1" t="s">
        <v>75</v>
      </c>
      <c r="CD2" s="1" t="s">
        <v>76</v>
      </c>
      <c r="CE2" s="1" t="s">
        <v>75</v>
      </c>
      <c r="CF2" s="1" t="s">
        <v>76</v>
      </c>
      <c r="CG2" s="1" t="s">
        <v>75</v>
      </c>
      <c r="CH2" s="1" t="s">
        <v>76</v>
      </c>
      <c r="CI2" s="1" t="s">
        <v>75</v>
      </c>
      <c r="CJ2" s="1" t="s">
        <v>76</v>
      </c>
      <c r="CK2" s="1" t="s">
        <v>75</v>
      </c>
      <c r="CL2" s="1" t="s">
        <v>76</v>
      </c>
      <c r="CM2" s="1" t="s">
        <v>75</v>
      </c>
      <c r="CN2" s="1" t="s">
        <v>76</v>
      </c>
      <c r="CO2" s="1" t="s">
        <v>75</v>
      </c>
      <c r="CP2" s="1" t="s">
        <v>76</v>
      </c>
      <c r="CQ2" s="1" t="s">
        <v>75</v>
      </c>
      <c r="CR2" s="1" t="s">
        <v>76</v>
      </c>
      <c r="CS2" s="1" t="s">
        <v>75</v>
      </c>
      <c r="CT2" s="1" t="s">
        <v>76</v>
      </c>
      <c r="CU2" s="1" t="s">
        <v>75</v>
      </c>
      <c r="CV2" s="1" t="s">
        <v>76</v>
      </c>
      <c r="CW2" s="1" t="s">
        <v>75</v>
      </c>
      <c r="CX2" s="1" t="s">
        <v>76</v>
      </c>
      <c r="CY2" s="1" t="s">
        <v>75</v>
      </c>
      <c r="CZ2" s="1" t="s">
        <v>76</v>
      </c>
      <c r="DA2" s="1" t="s">
        <v>75</v>
      </c>
      <c r="DB2" s="1" t="s">
        <v>76</v>
      </c>
      <c r="DC2" s="1" t="s">
        <v>75</v>
      </c>
      <c r="DD2" s="1" t="s">
        <v>76</v>
      </c>
      <c r="DE2" s="1" t="s">
        <v>75</v>
      </c>
      <c r="DF2" s="1" t="s">
        <v>76</v>
      </c>
      <c r="DG2" s="1" t="s">
        <v>75</v>
      </c>
      <c r="DH2" s="1" t="s">
        <v>76</v>
      </c>
      <c r="DI2" s="1" t="s">
        <v>75</v>
      </c>
      <c r="DJ2" s="1" t="s">
        <v>76</v>
      </c>
      <c r="DK2" s="1" t="s">
        <v>75</v>
      </c>
      <c r="DL2" s="1" t="s">
        <v>76</v>
      </c>
      <c r="DM2" s="1" t="s">
        <v>75</v>
      </c>
      <c r="DN2" s="1" t="s">
        <v>76</v>
      </c>
      <c r="DO2" s="1" t="s">
        <v>75</v>
      </c>
      <c r="DP2" s="1" t="s">
        <v>76</v>
      </c>
      <c r="DQ2" s="1" t="s">
        <v>75</v>
      </c>
      <c r="DR2" s="1" t="s">
        <v>76</v>
      </c>
      <c r="DS2" s="1" t="s">
        <v>75</v>
      </c>
      <c r="DT2" s="1" t="s">
        <v>76</v>
      </c>
      <c r="DU2" s="1" t="s">
        <v>75</v>
      </c>
      <c r="DV2" s="1" t="s">
        <v>76</v>
      </c>
      <c r="DW2" s="1" t="s">
        <v>75</v>
      </c>
      <c r="DX2" s="1" t="s">
        <v>76</v>
      </c>
      <c r="DY2" s="1" t="s">
        <v>75</v>
      </c>
      <c r="DZ2" s="1" t="s">
        <v>76</v>
      </c>
      <c r="EA2" s="1" t="s">
        <v>75</v>
      </c>
      <c r="EB2" s="1" t="s">
        <v>76</v>
      </c>
      <c r="EC2" s="1" t="s">
        <v>75</v>
      </c>
      <c r="ED2" s="1" t="s">
        <v>76</v>
      </c>
      <c r="EE2" s="1" t="s">
        <v>75</v>
      </c>
      <c r="EF2" s="1" t="s">
        <v>76</v>
      </c>
      <c r="EG2" s="1" t="s">
        <v>75</v>
      </c>
      <c r="EH2" s="1" t="s">
        <v>76</v>
      </c>
      <c r="EI2" s="1" t="s">
        <v>75</v>
      </c>
      <c r="EJ2" s="6" t="s">
        <v>76</v>
      </c>
      <c r="EK2" s="100"/>
      <c r="EL2" s="102"/>
      <c r="EM2" s="68"/>
      <c r="EN2" s="68"/>
      <c r="EO2" s="68"/>
      <c r="EP2" s="68"/>
      <c r="EQ2" s="68"/>
      <c r="ER2" s="68"/>
      <c r="ES2" s="68"/>
      <c r="ET2" s="68"/>
      <c r="EU2" s="68"/>
      <c r="EV2" s="70"/>
      <c r="EW2" s="70"/>
      <c r="EX2" s="70"/>
      <c r="EY2" s="70"/>
      <c r="EZ2" s="72"/>
      <c r="FA2" s="72"/>
      <c r="FB2" s="72"/>
      <c r="FC2" s="72"/>
      <c r="FD2" s="72"/>
      <c r="FE2" s="72"/>
      <c r="FF2" s="74"/>
      <c r="FG2" s="74"/>
      <c r="FH2" s="96"/>
      <c r="FI2" s="98"/>
      <c r="FJ2" s="98"/>
      <c r="FK2" s="76"/>
      <c r="FL2" s="76"/>
      <c r="FM2" s="76"/>
      <c r="FN2" s="76"/>
      <c r="FO2" s="76"/>
      <c r="FP2" s="76"/>
      <c r="FQ2" s="76"/>
      <c r="FR2" s="76"/>
      <c r="FS2" s="76"/>
      <c r="FT2" s="76"/>
      <c r="FU2" s="76"/>
      <c r="FV2" s="76"/>
      <c r="FW2" s="76"/>
      <c r="FX2" s="103"/>
      <c r="FY2" s="103"/>
      <c r="FZ2" s="104"/>
      <c r="GA2" s="104"/>
      <c r="GB2" s="104"/>
      <c r="GC2" s="104"/>
      <c r="GD2" s="105"/>
      <c r="GE2" s="105"/>
      <c r="GF2" s="105"/>
      <c r="GG2" s="68"/>
      <c r="GH2" s="68"/>
      <c r="GI2" s="68"/>
      <c r="GJ2" s="68"/>
      <c r="GK2" s="68"/>
      <c r="GL2" s="107"/>
      <c r="GM2" s="107"/>
      <c r="GN2" s="108"/>
      <c r="GO2" s="106"/>
      <c r="GP2" s="106"/>
      <c r="GQ2" s="106"/>
      <c r="GR2" s="106"/>
      <c r="GS2" s="106"/>
      <c r="GT2" s="106"/>
      <c r="GU2" s="106"/>
      <c r="GV2" s="106"/>
      <c r="GW2" s="106"/>
      <c r="GX2" s="66"/>
      <c r="GY2" s="51"/>
      <c r="GZ2" s="52"/>
    </row>
    <row r="3" spans="1:208" ht="32" x14ac:dyDescent="0.2">
      <c r="A3" s="26" t="s">
        <v>78</v>
      </c>
      <c r="B3" s="27">
        <v>2005</v>
      </c>
      <c r="C3" s="27">
        <v>278</v>
      </c>
      <c r="D3" s="27">
        <v>278</v>
      </c>
      <c r="E3" s="2">
        <v>108</v>
      </c>
      <c r="F3" s="27">
        <v>108</v>
      </c>
      <c r="G3" s="27">
        <v>27.1</v>
      </c>
      <c r="H3" s="27">
        <v>27.1</v>
      </c>
      <c r="I3" s="27">
        <v>30.1</v>
      </c>
      <c r="J3" s="27">
        <v>30.1</v>
      </c>
      <c r="K3" s="27">
        <v>28.5</v>
      </c>
      <c r="L3" s="2">
        <v>28.5</v>
      </c>
      <c r="M3" s="2">
        <v>168</v>
      </c>
      <c r="N3" s="2">
        <v>168</v>
      </c>
      <c r="O3" s="2">
        <v>56</v>
      </c>
      <c r="P3" s="2">
        <v>56</v>
      </c>
      <c r="Q3" s="2">
        <v>0</v>
      </c>
      <c r="R3" s="2">
        <v>0</v>
      </c>
      <c r="S3" s="2">
        <v>0</v>
      </c>
      <c r="T3" s="2">
        <v>0</v>
      </c>
      <c r="U3" s="27">
        <v>386</v>
      </c>
      <c r="V3" s="27">
        <v>386</v>
      </c>
      <c r="W3" s="27">
        <v>0</v>
      </c>
      <c r="X3" s="27">
        <v>0</v>
      </c>
      <c r="Y3" s="27">
        <v>0</v>
      </c>
      <c r="Z3" s="27">
        <v>0</v>
      </c>
      <c r="AA3" s="27">
        <v>0</v>
      </c>
      <c r="AB3" s="27">
        <v>0</v>
      </c>
      <c r="AC3" s="44" t="s">
        <v>79</v>
      </c>
      <c r="AD3" s="2" t="s">
        <v>80</v>
      </c>
      <c r="AE3" s="27" t="s">
        <v>80</v>
      </c>
      <c r="AF3" s="27" t="s">
        <v>81</v>
      </c>
      <c r="AG3" s="27" t="s">
        <v>82</v>
      </c>
      <c r="AH3" s="27" t="s">
        <v>82</v>
      </c>
      <c r="AI3" s="27" t="s">
        <v>83</v>
      </c>
      <c r="AJ3" s="27" t="s">
        <v>83</v>
      </c>
      <c r="AK3" s="27" t="s">
        <v>83</v>
      </c>
      <c r="AL3" s="27" t="s">
        <v>83</v>
      </c>
      <c r="AM3" s="27" t="s">
        <v>57</v>
      </c>
      <c r="AN3" s="27" t="s">
        <v>57</v>
      </c>
      <c r="AO3" s="27" t="s">
        <v>57</v>
      </c>
      <c r="AP3" s="27" t="s">
        <v>57</v>
      </c>
      <c r="AQ3" s="27" t="s">
        <v>57</v>
      </c>
      <c r="AR3" s="27" t="s">
        <v>57</v>
      </c>
      <c r="AS3" s="27">
        <v>386</v>
      </c>
      <c r="AT3" s="27">
        <v>386</v>
      </c>
      <c r="AU3" s="27">
        <v>169</v>
      </c>
      <c r="AV3" s="27">
        <v>169</v>
      </c>
      <c r="AW3" s="27" t="s">
        <v>84</v>
      </c>
      <c r="AX3" s="27" t="s">
        <v>84</v>
      </c>
      <c r="AY3" s="27" t="s">
        <v>85</v>
      </c>
      <c r="AZ3" s="27" t="s">
        <v>85</v>
      </c>
      <c r="BA3" s="27">
        <v>169</v>
      </c>
      <c r="BB3" s="27">
        <f>SUM(BH3,BJ3)</f>
        <v>169</v>
      </c>
      <c r="BC3" s="27" t="s">
        <v>85</v>
      </c>
      <c r="BD3" s="27" t="s">
        <v>85</v>
      </c>
      <c r="BE3" s="27" t="s">
        <v>85</v>
      </c>
      <c r="BF3" s="27" t="s">
        <v>85</v>
      </c>
      <c r="BG3" s="27">
        <v>169</v>
      </c>
      <c r="BH3" s="27">
        <v>169</v>
      </c>
      <c r="BI3" s="27" t="s">
        <v>85</v>
      </c>
      <c r="BJ3" s="27" t="s">
        <v>85</v>
      </c>
      <c r="BK3" s="27" t="s">
        <v>85</v>
      </c>
      <c r="BL3" s="27" t="s">
        <v>85</v>
      </c>
      <c r="BM3" s="27" t="s">
        <v>85</v>
      </c>
      <c r="BN3" s="27" t="s">
        <v>85</v>
      </c>
      <c r="BO3" s="27" t="s">
        <v>85</v>
      </c>
      <c r="BP3" s="27" t="s">
        <v>85</v>
      </c>
      <c r="BQ3" s="27" t="s">
        <v>85</v>
      </c>
      <c r="BR3" s="27" t="s">
        <v>85</v>
      </c>
      <c r="BS3" s="27" t="s">
        <v>85</v>
      </c>
      <c r="BT3" s="27" t="s">
        <v>85</v>
      </c>
      <c r="BU3" s="27" t="s">
        <v>85</v>
      </c>
      <c r="BV3" s="27" t="s">
        <v>85</v>
      </c>
      <c r="BW3" s="27" t="s">
        <v>85</v>
      </c>
      <c r="BX3" s="27" t="s">
        <v>85</v>
      </c>
      <c r="BY3" s="27" t="s">
        <v>85</v>
      </c>
      <c r="BZ3" s="27" t="s">
        <v>85</v>
      </c>
      <c r="CA3" s="27" t="s">
        <v>85</v>
      </c>
      <c r="CB3" s="27" t="s">
        <v>85</v>
      </c>
      <c r="CC3" s="27" t="s">
        <v>85</v>
      </c>
      <c r="CD3" s="27" t="s">
        <v>85</v>
      </c>
      <c r="CE3" s="27" t="s">
        <v>85</v>
      </c>
      <c r="CF3" s="27" t="s">
        <v>85</v>
      </c>
      <c r="CG3" s="27" t="s">
        <v>57</v>
      </c>
      <c r="CH3" s="27" t="s">
        <v>57</v>
      </c>
      <c r="CI3" s="27" t="s">
        <v>57</v>
      </c>
      <c r="CJ3" s="27" t="s">
        <v>57</v>
      </c>
      <c r="CK3" s="27" t="s">
        <v>57</v>
      </c>
      <c r="CL3" s="27" t="s">
        <v>57</v>
      </c>
      <c r="CM3" s="27" t="s">
        <v>57</v>
      </c>
      <c r="CN3" s="27" t="s">
        <v>57</v>
      </c>
      <c r="CO3" s="27" t="s">
        <v>57</v>
      </c>
      <c r="CP3" s="27" t="s">
        <v>57</v>
      </c>
      <c r="CQ3" s="27" t="s">
        <v>57</v>
      </c>
      <c r="CR3" s="27" t="s">
        <v>57</v>
      </c>
      <c r="CS3" s="27" t="s">
        <v>86</v>
      </c>
      <c r="CT3" s="27" t="s">
        <v>86</v>
      </c>
      <c r="CU3" s="27" t="s">
        <v>86</v>
      </c>
      <c r="CV3" s="27" t="s">
        <v>86</v>
      </c>
      <c r="CW3" s="27" t="s">
        <v>83</v>
      </c>
      <c r="CX3" s="27" t="s">
        <v>83</v>
      </c>
      <c r="CY3" s="27" t="s">
        <v>57</v>
      </c>
      <c r="CZ3" s="27" t="s">
        <v>57</v>
      </c>
      <c r="DA3" s="27" t="s">
        <v>57</v>
      </c>
      <c r="DB3" s="27" t="s">
        <v>57</v>
      </c>
      <c r="DC3" s="27" t="s">
        <v>57</v>
      </c>
      <c r="DD3" s="2" t="s">
        <v>57</v>
      </c>
      <c r="DE3" s="27" t="s">
        <v>57</v>
      </c>
      <c r="DF3" s="27" t="s">
        <v>57</v>
      </c>
      <c r="DG3" s="27" t="s">
        <v>57</v>
      </c>
      <c r="DH3" s="27" t="s">
        <v>57</v>
      </c>
      <c r="DI3" s="27" t="s">
        <v>87</v>
      </c>
      <c r="DJ3" s="27" t="s">
        <v>87</v>
      </c>
      <c r="DK3" s="27" t="s">
        <v>88</v>
      </c>
      <c r="DL3" s="27" t="s">
        <v>88</v>
      </c>
      <c r="DM3" s="27" t="s">
        <v>89</v>
      </c>
      <c r="DN3" s="27" t="s">
        <v>89</v>
      </c>
      <c r="DO3" s="27">
        <v>1</v>
      </c>
      <c r="DP3" s="27">
        <v>1</v>
      </c>
      <c r="DQ3" s="27">
        <v>1</v>
      </c>
      <c r="DR3" s="27">
        <v>1</v>
      </c>
      <c r="DS3" s="27">
        <v>1</v>
      </c>
      <c r="DT3" s="27">
        <v>1</v>
      </c>
      <c r="DU3" s="27">
        <v>1</v>
      </c>
      <c r="DV3" s="27">
        <v>1</v>
      </c>
      <c r="DW3" s="27">
        <v>1</v>
      </c>
      <c r="DX3" s="27">
        <v>1</v>
      </c>
      <c r="DY3" s="27">
        <v>1</v>
      </c>
      <c r="DZ3" s="27">
        <v>1</v>
      </c>
      <c r="EA3" s="27">
        <v>1</v>
      </c>
      <c r="EB3" s="27">
        <v>1</v>
      </c>
      <c r="EC3" s="27">
        <v>1</v>
      </c>
      <c r="ED3" s="27">
        <v>1</v>
      </c>
      <c r="EE3" s="27">
        <v>1</v>
      </c>
      <c r="EF3" s="27">
        <v>1</v>
      </c>
      <c r="EG3" s="27">
        <v>1</v>
      </c>
      <c r="EH3" s="27">
        <v>1</v>
      </c>
      <c r="EI3" s="27">
        <f>SUM(DO3,DQ3,DS3,DU3,DW3,DY3,EA3,EC3,EE3,EG3)</f>
        <v>10</v>
      </c>
      <c r="EJ3" s="27">
        <f>SUM(DP3,DR3,DT3,DV3,DX3,DZ3,EB3,ED3,EF3,EH3)</f>
        <v>10</v>
      </c>
      <c r="EK3" s="28" t="s">
        <v>78</v>
      </c>
      <c r="EL3" s="29">
        <v>2005</v>
      </c>
      <c r="EM3" s="2" t="str">
        <f t="shared" ref="EM3:EM26" si="0">IF(C3=D3,"Y","N")</f>
        <v>Y</v>
      </c>
      <c r="EN3" s="2" t="str">
        <f t="shared" ref="EN3:EN26" si="1">IF(E3=F3,"Y","N")</f>
        <v>Y</v>
      </c>
      <c r="EO3" s="2" t="str">
        <f t="shared" ref="EO3:EO26" si="2">IF(G3=H3,"Y","N")</f>
        <v>Y</v>
      </c>
      <c r="EP3" s="2" t="str">
        <f t="shared" ref="EP3:EP26" si="3">IF(I3=J3,"Y","N")</f>
        <v>Y</v>
      </c>
      <c r="EQ3" s="2" t="str">
        <f t="shared" ref="EQ3:EQ26" si="4">IF(K3=L3,"Y","N")</f>
        <v>Y</v>
      </c>
      <c r="ER3" s="2" t="str">
        <f t="shared" ref="ER3:ER26" si="5">IF(M3=N3,"Y","N")</f>
        <v>Y</v>
      </c>
      <c r="ES3" s="2" t="str">
        <f t="shared" ref="ES3:ES26" si="6">IF(O3=P3,"Y","N")</f>
        <v>Y</v>
      </c>
      <c r="ET3" s="2" t="str">
        <f t="shared" ref="ET3:ET26" si="7">IF(Q3=R3,"Y","N")</f>
        <v>Y</v>
      </c>
      <c r="EU3" s="2" t="str">
        <f t="shared" ref="EU3:EU26" si="8">IF(S3=T3,"Y","N")</f>
        <v>Y</v>
      </c>
      <c r="EV3" s="2" t="str">
        <f t="shared" ref="EV3:EV26" si="9">IF(U3=V3,"Y","N")</f>
        <v>Y</v>
      </c>
      <c r="EW3" s="2" t="str">
        <f t="shared" ref="EW3:EW26" si="10">IF(W3=X3,"Y","N")</f>
        <v>Y</v>
      </c>
      <c r="EX3" s="2" t="str">
        <f t="shared" ref="EX3:EX26" si="11">IF(Y3=Z3,"Y","N")</f>
        <v>Y</v>
      </c>
      <c r="EY3" s="2" t="str">
        <f t="shared" ref="EY3:EY26" si="12">IF(AA3=AB3,"Y","N")</f>
        <v>Y</v>
      </c>
      <c r="EZ3" s="2" t="str">
        <f t="shared" ref="EZ3:EZ26" si="13">IF(AD3=AE3,"Y","N")</f>
        <v>Y</v>
      </c>
      <c r="FA3" s="2" t="str">
        <f t="shared" ref="FA3:FA26" si="14">IF(AG3=AH3,"Y","N")</f>
        <v>Y</v>
      </c>
      <c r="FB3" s="2" t="str">
        <f t="shared" ref="FB3:FB26" si="15">IF(AI3=AJ3,"Y","N")</f>
        <v>Y</v>
      </c>
      <c r="FC3" s="2" t="str">
        <f t="shared" ref="FC3:FC26" si="16">IF(AM3=AN3,"Y","N")</f>
        <v>Y</v>
      </c>
      <c r="FD3" s="2" t="str">
        <f t="shared" ref="FD3:FD26" si="17">IF(AO3=AP3,"Y","N")</f>
        <v>Y</v>
      </c>
      <c r="FE3" s="2" t="str">
        <f t="shared" ref="FE3:FE26" si="18">IF(AQ3=AR3,"Y","N")</f>
        <v>Y</v>
      </c>
      <c r="FF3" s="2" t="str">
        <f t="shared" ref="FF3:FF26" si="19">IF(AS3=AT3,"Y","N")</f>
        <v>Y</v>
      </c>
      <c r="FG3" s="2" t="str">
        <f t="shared" ref="FG3:FG26" si="20">IF(AU3=AV3,"Y","N")</f>
        <v>Y</v>
      </c>
      <c r="FH3" s="2" t="str">
        <f t="shared" ref="FH3:FH26" si="21">IF(AW3=AX3,"Y","N")</f>
        <v>Y</v>
      </c>
      <c r="FI3" s="2" t="str">
        <f t="shared" ref="FI3:FI26" si="22">IF(AY3=AZ3,"Y","N")</f>
        <v>Y</v>
      </c>
      <c r="FJ3" s="2" t="str">
        <f t="shared" ref="FJ3:FJ26" si="23">IF(BA3=BB3,"Y","N")</f>
        <v>Y</v>
      </c>
      <c r="FK3" s="2" t="str">
        <f t="shared" ref="FK3:FK26" si="24">IF(BC3=BD3,"Y","N")</f>
        <v>Y</v>
      </c>
      <c r="FL3" s="2" t="str">
        <f t="shared" ref="FL3:FL26" si="25">IF(BE3=BF3,"Y","N")</f>
        <v>Y</v>
      </c>
      <c r="FM3" s="2" t="str">
        <f t="shared" ref="FM3:FM26" si="26">IF(BG3=BH3,"Y","N")</f>
        <v>Y</v>
      </c>
      <c r="FN3" s="2" t="str">
        <f t="shared" ref="FN3:FN26" si="27">IF(BI3=BJ3,"Y","N")</f>
        <v>Y</v>
      </c>
      <c r="FO3" s="2" t="str">
        <f t="shared" ref="FO3:FO26" si="28">IF(BK3=BL3,"Y","N")</f>
        <v>Y</v>
      </c>
      <c r="FP3" s="2" t="str">
        <f t="shared" ref="FP3:FP26" si="29">IF(BM3=BN3,"Y","N")</f>
        <v>Y</v>
      </c>
      <c r="FQ3" s="2" t="str">
        <f t="shared" ref="FQ3:FQ26" si="30">IF(BO3=BP3,"Y","N")</f>
        <v>Y</v>
      </c>
      <c r="FR3" s="2" t="str">
        <f t="shared" ref="FR3:FR26" si="31">IF(BQ3=BR3,"Y","N")</f>
        <v>Y</v>
      </c>
      <c r="FS3" s="2" t="str">
        <f t="shared" ref="FS3:FS26" si="32">IF(BS3=BT3,"Y","N")</f>
        <v>Y</v>
      </c>
      <c r="FT3" s="2" t="str">
        <f t="shared" ref="FT3:FT26" si="33">IF(BU3=BV3,"Y","N")</f>
        <v>Y</v>
      </c>
      <c r="FU3" s="2" t="str">
        <f t="shared" ref="FU3:FU26" si="34">IF(BW3=BX3,"Y","N")</f>
        <v>Y</v>
      </c>
      <c r="FV3" s="2" t="str">
        <f t="shared" ref="FV3:FV26" si="35">IF(BY3=BZ3,"Y","N")</f>
        <v>Y</v>
      </c>
      <c r="FW3" s="2" t="str">
        <f t="shared" ref="FW3:FW26" si="36">IF(CA3=CB3,"Y","N")</f>
        <v>Y</v>
      </c>
      <c r="FX3" s="2" t="str">
        <f t="shared" ref="FX3:FX26" si="37">IF(CC3=CD3,"Y","N")</f>
        <v>Y</v>
      </c>
      <c r="FY3" s="2" t="str">
        <f t="shared" ref="FY3:FY26" si="38">IF(CE3=CF3,"Y","N")</f>
        <v>Y</v>
      </c>
      <c r="FZ3" s="2" t="str">
        <f t="shared" ref="FZ3:FZ26" si="39">IF(CG3=CH3,"Y","N")</f>
        <v>Y</v>
      </c>
      <c r="GA3" s="2" t="str">
        <f t="shared" ref="GA3:GA26" si="40">IF(CI3=CJ3,"Y","N")</f>
        <v>Y</v>
      </c>
      <c r="GB3" s="2" t="str">
        <f t="shared" ref="GB3:GB26" si="41">IF(CK3=CL3,"Y","N")</f>
        <v>Y</v>
      </c>
      <c r="GC3" s="2" t="str">
        <f t="shared" ref="GC3:GC26" si="42">IF(CM3=CN3,"Y","N")</f>
        <v>Y</v>
      </c>
      <c r="GD3" s="2" t="str">
        <f t="shared" ref="GD3:GD26" si="43">IF(CO3=CP3,"Y","N")</f>
        <v>Y</v>
      </c>
      <c r="GE3" s="2" t="str">
        <f t="shared" ref="GE3:GE26" si="44">IF(CQ3=CR3,"Y","N")</f>
        <v>Y</v>
      </c>
      <c r="GF3" s="2" t="str">
        <f t="shared" ref="GF3:GF26" si="45">IF(CS3=CT3,"Y","N")</f>
        <v>Y</v>
      </c>
      <c r="GG3" s="2" t="str">
        <f t="shared" ref="GG3:GG26" si="46">IF(CU3=CV3,"Y","N")</f>
        <v>Y</v>
      </c>
      <c r="GH3" s="2" t="str">
        <f t="shared" ref="GH3:GH26" si="47">IF(CW3=CX3,"Y","N")</f>
        <v>Y</v>
      </c>
      <c r="GI3" s="2" t="str">
        <f t="shared" ref="GI3:GI26" si="48">IF(CY3=CZ3,"Y","N")</f>
        <v>Y</v>
      </c>
      <c r="GJ3" s="2" t="str">
        <f t="shared" ref="GJ3:GJ26" si="49">IF(DA3=DB3,"Y","N")</f>
        <v>Y</v>
      </c>
      <c r="GK3" s="2" t="str">
        <f t="shared" ref="GK3:GK26" si="50">IF(DC3=DD3,"Y","N")</f>
        <v>Y</v>
      </c>
      <c r="GL3" s="2" t="str">
        <f t="shared" ref="GL3:GL26" si="51">IF(DE3=DF3,"Y","N")</f>
        <v>Y</v>
      </c>
      <c r="GM3" s="2" t="str">
        <f t="shared" ref="GM3" si="52">IF(DG3=DH3,"Y","N")</f>
        <v>Y</v>
      </c>
      <c r="GN3" s="2" t="str">
        <f t="shared" ref="GN3" si="53">IF(DO3=DP3,"Y","N")</f>
        <v>Y</v>
      </c>
      <c r="GO3" s="2" t="str">
        <f t="shared" ref="GO3" si="54">IF(DQ3=DR3,"Y","N")</f>
        <v>Y</v>
      </c>
      <c r="GP3" s="2" t="str">
        <f t="shared" ref="GP3" si="55">IF(DS3=DT3,"Y","N")</f>
        <v>Y</v>
      </c>
      <c r="GQ3" s="2" t="str">
        <f t="shared" ref="GQ3" si="56">IF(DU3=DV3,"Y","N")</f>
        <v>Y</v>
      </c>
      <c r="GR3" s="2" t="str">
        <f t="shared" ref="GR3" si="57">IF(DW3=DX3,"Y","N")</f>
        <v>Y</v>
      </c>
      <c r="GS3" s="2" t="str">
        <f t="shared" ref="GS3" si="58">IF(DY3=DZ3,"Y","N")</f>
        <v>Y</v>
      </c>
      <c r="GT3" s="2" t="str">
        <f t="shared" ref="GT3" si="59">IF(EA3=EB3,"Y","N")</f>
        <v>Y</v>
      </c>
      <c r="GU3" s="2" t="str">
        <f t="shared" ref="GU3" si="60">IF(EC3=ED3,"Y","N")</f>
        <v>Y</v>
      </c>
      <c r="GV3" s="2" t="str">
        <f t="shared" ref="GV3" si="61">IF(EE3=EF3,"Y","N")</f>
        <v>Y</v>
      </c>
      <c r="GW3" s="2" t="str">
        <f t="shared" ref="GW3" si="62">IF(EG3=EH3,"Y","N")</f>
        <v>Y</v>
      </c>
      <c r="GX3" s="49" t="str">
        <f t="shared" ref="GX3" si="63">IF(EI3=EJ3,"Y","N")</f>
        <v>Y</v>
      </c>
      <c r="GY3" s="50"/>
      <c r="GZ3" s="53"/>
    </row>
    <row r="4" spans="1:208" ht="32" x14ac:dyDescent="0.2">
      <c r="A4" s="26" t="s">
        <v>90</v>
      </c>
      <c r="B4" s="27">
        <v>2022</v>
      </c>
      <c r="C4" s="27">
        <v>152</v>
      </c>
      <c r="D4" s="27">
        <v>152</v>
      </c>
      <c r="E4" s="2">
        <v>85</v>
      </c>
      <c r="F4" s="27">
        <v>85</v>
      </c>
      <c r="G4" s="27" t="s">
        <v>57</v>
      </c>
      <c r="H4" s="27" t="s">
        <v>57</v>
      </c>
      <c r="I4" s="27" t="s">
        <v>57</v>
      </c>
      <c r="J4" s="27" t="s">
        <v>57</v>
      </c>
      <c r="K4" s="27">
        <v>23.5</v>
      </c>
      <c r="L4" s="2">
        <v>23.5</v>
      </c>
      <c r="M4" s="1" t="s">
        <v>57</v>
      </c>
      <c r="N4" s="2" t="s">
        <v>57</v>
      </c>
      <c r="O4" s="2">
        <v>153</v>
      </c>
      <c r="P4" s="2">
        <v>153</v>
      </c>
      <c r="Q4" s="2" t="s">
        <v>57</v>
      </c>
      <c r="R4" s="2" t="s">
        <v>57</v>
      </c>
      <c r="S4" s="2">
        <v>64</v>
      </c>
      <c r="T4" s="2">
        <v>64</v>
      </c>
      <c r="U4" s="27">
        <v>0</v>
      </c>
      <c r="V4" s="27">
        <v>0</v>
      </c>
      <c r="W4" s="27">
        <v>0</v>
      </c>
      <c r="X4" s="27">
        <v>0</v>
      </c>
      <c r="Y4" s="27">
        <v>237</v>
      </c>
      <c r="Z4" s="27">
        <v>237</v>
      </c>
      <c r="AA4" s="27">
        <v>0</v>
      </c>
      <c r="AB4" s="27">
        <v>0</v>
      </c>
      <c r="AC4" s="45" t="s">
        <v>91</v>
      </c>
      <c r="AD4" s="2" t="s">
        <v>92</v>
      </c>
      <c r="AE4" s="27" t="s">
        <v>92</v>
      </c>
      <c r="AF4" s="27" t="s">
        <v>93</v>
      </c>
      <c r="AG4" s="27" t="s">
        <v>83</v>
      </c>
      <c r="AH4" s="27" t="s">
        <v>83</v>
      </c>
      <c r="AI4" s="27" t="s">
        <v>82</v>
      </c>
      <c r="AJ4" s="27" t="s">
        <v>82</v>
      </c>
      <c r="AK4" s="27" t="s">
        <v>83</v>
      </c>
      <c r="AL4" s="27" t="s">
        <v>83</v>
      </c>
      <c r="AM4" s="27">
        <v>237</v>
      </c>
      <c r="AN4" s="27">
        <v>237</v>
      </c>
      <c r="AO4" s="27">
        <v>0</v>
      </c>
      <c r="AP4" s="27">
        <v>0</v>
      </c>
      <c r="AQ4" s="27">
        <v>0</v>
      </c>
      <c r="AR4" s="27">
        <v>0</v>
      </c>
      <c r="AS4" s="27">
        <v>237</v>
      </c>
      <c r="AT4" s="27">
        <v>237</v>
      </c>
      <c r="AU4" s="27">
        <v>84</v>
      </c>
      <c r="AV4" s="27">
        <v>84</v>
      </c>
      <c r="AW4" s="27" t="s">
        <v>94</v>
      </c>
      <c r="AX4" s="27" t="s">
        <v>95</v>
      </c>
      <c r="AY4" s="27">
        <v>23</v>
      </c>
      <c r="AZ4" s="27">
        <v>23</v>
      </c>
      <c r="BA4" s="27">
        <v>61</v>
      </c>
      <c r="BB4" s="27">
        <f>SUM(BH4,BJ4)</f>
        <v>61</v>
      </c>
      <c r="BC4" s="27" t="s">
        <v>85</v>
      </c>
      <c r="BD4" s="27" t="s">
        <v>85</v>
      </c>
      <c r="BE4" s="27" t="s">
        <v>85</v>
      </c>
      <c r="BF4" s="27" t="s">
        <v>85</v>
      </c>
      <c r="BG4" s="27">
        <v>61</v>
      </c>
      <c r="BH4" s="27">
        <v>61</v>
      </c>
      <c r="BI4" s="27" t="s">
        <v>85</v>
      </c>
      <c r="BJ4" s="27" t="s">
        <v>85</v>
      </c>
      <c r="BK4" s="27" t="s">
        <v>85</v>
      </c>
      <c r="BL4" s="27" t="s">
        <v>85</v>
      </c>
      <c r="BM4" s="27" t="s">
        <v>85</v>
      </c>
      <c r="BN4" s="27" t="s">
        <v>85</v>
      </c>
      <c r="BO4" s="27" t="s">
        <v>85</v>
      </c>
      <c r="BP4" s="27" t="s">
        <v>85</v>
      </c>
      <c r="BQ4" s="27" t="s">
        <v>85</v>
      </c>
      <c r="BR4" s="27" t="s">
        <v>85</v>
      </c>
      <c r="BS4" s="27" t="s">
        <v>85</v>
      </c>
      <c r="BT4" s="27" t="s">
        <v>85</v>
      </c>
      <c r="BU4" s="27" t="s">
        <v>85</v>
      </c>
      <c r="BV4" s="27" t="s">
        <v>85</v>
      </c>
      <c r="BW4" s="27" t="s">
        <v>85</v>
      </c>
      <c r="BX4" s="27" t="s">
        <v>85</v>
      </c>
      <c r="BY4" s="27" t="s">
        <v>85</v>
      </c>
      <c r="BZ4" s="27" t="s">
        <v>85</v>
      </c>
      <c r="CA4" s="27" t="s">
        <v>85</v>
      </c>
      <c r="CB4" s="27" t="s">
        <v>85</v>
      </c>
      <c r="CC4" s="27" t="s">
        <v>85</v>
      </c>
      <c r="CD4" s="27" t="s">
        <v>85</v>
      </c>
      <c r="CE4" s="27">
        <v>23</v>
      </c>
      <c r="CF4" s="27">
        <v>23</v>
      </c>
      <c r="CG4" s="27" t="s">
        <v>57</v>
      </c>
      <c r="CH4" s="27" t="s">
        <v>57</v>
      </c>
      <c r="CI4" s="27" t="s">
        <v>86</v>
      </c>
      <c r="CJ4" s="27" t="s">
        <v>86</v>
      </c>
      <c r="CK4" s="27" t="s">
        <v>86</v>
      </c>
      <c r="CL4" s="27" t="s">
        <v>86</v>
      </c>
      <c r="CM4" s="27" t="s">
        <v>57</v>
      </c>
      <c r="CN4" s="27" t="s">
        <v>57</v>
      </c>
      <c r="CO4" s="27" t="s">
        <v>57</v>
      </c>
      <c r="CP4" s="27" t="s">
        <v>57</v>
      </c>
      <c r="CQ4" s="27" t="s">
        <v>86</v>
      </c>
      <c r="CR4" s="27" t="s">
        <v>86</v>
      </c>
      <c r="CS4" s="27" t="s">
        <v>86</v>
      </c>
      <c r="CT4" s="27" t="s">
        <v>86</v>
      </c>
      <c r="CU4" s="27" t="s">
        <v>86</v>
      </c>
      <c r="CV4" s="27" t="s">
        <v>86</v>
      </c>
      <c r="CW4" s="27" t="s">
        <v>83</v>
      </c>
      <c r="CX4" s="27" t="s">
        <v>83</v>
      </c>
      <c r="CY4" s="27" t="s">
        <v>86</v>
      </c>
      <c r="CZ4" s="27" t="s">
        <v>86</v>
      </c>
      <c r="DA4" s="27" t="s">
        <v>57</v>
      </c>
      <c r="DB4" s="27" t="s">
        <v>57</v>
      </c>
      <c r="DC4" s="27" t="s">
        <v>57</v>
      </c>
      <c r="DD4" s="2" t="s">
        <v>57</v>
      </c>
      <c r="DE4" s="27" t="s">
        <v>57</v>
      </c>
      <c r="DF4" s="27" t="s">
        <v>57</v>
      </c>
      <c r="DG4" s="27" t="s">
        <v>57</v>
      </c>
      <c r="DH4" s="27" t="s">
        <v>57</v>
      </c>
      <c r="DI4" s="27" t="s">
        <v>87</v>
      </c>
      <c r="DJ4" s="27" t="s">
        <v>87</v>
      </c>
      <c r="DK4" s="27" t="s">
        <v>96</v>
      </c>
      <c r="DL4" s="27" t="s">
        <v>96</v>
      </c>
      <c r="DM4" s="27" t="s">
        <v>97</v>
      </c>
      <c r="DN4" s="27" t="s">
        <v>89</v>
      </c>
      <c r="DO4" s="27">
        <v>1</v>
      </c>
      <c r="DP4" s="27">
        <v>1</v>
      </c>
      <c r="DQ4" s="27">
        <v>1</v>
      </c>
      <c r="DR4" s="27">
        <v>1</v>
      </c>
      <c r="DS4" s="27">
        <v>1</v>
      </c>
      <c r="DT4" s="27">
        <v>1</v>
      </c>
      <c r="DU4" s="27">
        <v>1</v>
      </c>
      <c r="DV4" s="27">
        <v>1</v>
      </c>
      <c r="DW4" s="27">
        <v>1</v>
      </c>
      <c r="DX4" s="27">
        <v>1</v>
      </c>
      <c r="DY4" s="27">
        <v>1</v>
      </c>
      <c r="DZ4" s="27">
        <v>1</v>
      </c>
      <c r="EA4" s="27">
        <v>1</v>
      </c>
      <c r="EB4" s="27">
        <v>1</v>
      </c>
      <c r="EC4" s="27">
        <v>1</v>
      </c>
      <c r="ED4" s="27">
        <v>1</v>
      </c>
      <c r="EE4" s="27">
        <v>1</v>
      </c>
      <c r="EF4" s="27">
        <v>1</v>
      </c>
      <c r="EG4" s="27">
        <v>1</v>
      </c>
      <c r="EH4" s="27">
        <v>1</v>
      </c>
      <c r="EI4" s="27">
        <f t="shared" ref="EI4:EI26" si="64">SUM(DO4,DQ4,DS4,DU4,DW4,DY4,EA4,EC4,EE4,EG4)</f>
        <v>10</v>
      </c>
      <c r="EJ4" s="27">
        <f t="shared" ref="EJ4:EJ26" si="65">SUM(DP4,DR4,DT4,DV4,DX4,DZ4,EB4,ED4,EF4,EH4)</f>
        <v>10</v>
      </c>
      <c r="EK4" s="28" t="s">
        <v>90</v>
      </c>
      <c r="EL4" s="29">
        <v>2022</v>
      </c>
      <c r="EM4" s="2" t="str">
        <f t="shared" si="0"/>
        <v>Y</v>
      </c>
      <c r="EN4" s="2" t="str">
        <f t="shared" si="1"/>
        <v>Y</v>
      </c>
      <c r="EO4" s="2" t="str">
        <f t="shared" si="2"/>
        <v>Y</v>
      </c>
      <c r="EP4" s="2" t="str">
        <f t="shared" si="3"/>
        <v>Y</v>
      </c>
      <c r="EQ4" s="2" t="str">
        <f t="shared" si="4"/>
        <v>Y</v>
      </c>
      <c r="ER4" s="2" t="str">
        <f t="shared" si="5"/>
        <v>Y</v>
      </c>
      <c r="ES4" s="2" t="str">
        <f t="shared" si="6"/>
        <v>Y</v>
      </c>
      <c r="ET4" s="2" t="str">
        <f t="shared" si="7"/>
        <v>Y</v>
      </c>
      <c r="EU4" s="2" t="str">
        <f t="shared" si="8"/>
        <v>Y</v>
      </c>
      <c r="EV4" s="2" t="str">
        <f t="shared" si="9"/>
        <v>Y</v>
      </c>
      <c r="EW4" s="2" t="str">
        <f t="shared" si="10"/>
        <v>Y</v>
      </c>
      <c r="EX4" s="2" t="str">
        <f t="shared" si="11"/>
        <v>Y</v>
      </c>
      <c r="EY4" s="2" t="str">
        <f t="shared" si="12"/>
        <v>Y</v>
      </c>
      <c r="EZ4" s="2" t="str">
        <f t="shared" si="13"/>
        <v>Y</v>
      </c>
      <c r="FA4" s="2" t="str">
        <f t="shared" si="14"/>
        <v>Y</v>
      </c>
      <c r="FB4" s="2" t="str">
        <f t="shared" si="15"/>
        <v>Y</v>
      </c>
      <c r="FC4" s="2" t="str">
        <f t="shared" si="16"/>
        <v>Y</v>
      </c>
      <c r="FD4" s="2" t="str">
        <f t="shared" si="17"/>
        <v>Y</v>
      </c>
      <c r="FE4" s="2" t="str">
        <f t="shared" si="18"/>
        <v>Y</v>
      </c>
      <c r="FF4" s="2" t="str">
        <f t="shared" si="19"/>
        <v>Y</v>
      </c>
      <c r="FG4" s="2" t="str">
        <f t="shared" si="20"/>
        <v>Y</v>
      </c>
      <c r="FH4" s="2" t="str">
        <f t="shared" si="21"/>
        <v>Y</v>
      </c>
      <c r="FI4" s="2" t="str">
        <f t="shared" si="22"/>
        <v>Y</v>
      </c>
      <c r="FJ4" s="2" t="str">
        <f t="shared" si="23"/>
        <v>Y</v>
      </c>
      <c r="FK4" s="2" t="str">
        <f t="shared" si="24"/>
        <v>Y</v>
      </c>
      <c r="FL4" s="2" t="str">
        <f t="shared" si="25"/>
        <v>Y</v>
      </c>
      <c r="FM4" s="2" t="str">
        <f t="shared" si="26"/>
        <v>Y</v>
      </c>
      <c r="FN4" s="2" t="str">
        <f t="shared" si="27"/>
        <v>Y</v>
      </c>
      <c r="FO4" s="2" t="str">
        <f t="shared" si="28"/>
        <v>Y</v>
      </c>
      <c r="FP4" s="2" t="str">
        <f t="shared" si="29"/>
        <v>Y</v>
      </c>
      <c r="FQ4" s="2" t="str">
        <f t="shared" si="30"/>
        <v>Y</v>
      </c>
      <c r="FR4" s="2" t="str">
        <f t="shared" si="31"/>
        <v>Y</v>
      </c>
      <c r="FS4" s="2" t="str">
        <f t="shared" si="32"/>
        <v>Y</v>
      </c>
      <c r="FT4" s="2" t="str">
        <f t="shared" si="33"/>
        <v>Y</v>
      </c>
      <c r="FU4" s="2" t="str">
        <f t="shared" si="34"/>
        <v>Y</v>
      </c>
      <c r="FV4" s="2" t="str">
        <f t="shared" si="35"/>
        <v>Y</v>
      </c>
      <c r="FW4" s="2" t="str">
        <f t="shared" si="36"/>
        <v>Y</v>
      </c>
      <c r="FX4" s="2" t="str">
        <f t="shared" si="37"/>
        <v>Y</v>
      </c>
      <c r="FY4" s="2" t="str">
        <f t="shared" si="38"/>
        <v>Y</v>
      </c>
      <c r="FZ4" s="2" t="str">
        <f t="shared" si="39"/>
        <v>Y</v>
      </c>
      <c r="GA4" s="2" t="str">
        <f t="shared" si="40"/>
        <v>Y</v>
      </c>
      <c r="GB4" s="2" t="str">
        <f t="shared" si="41"/>
        <v>Y</v>
      </c>
      <c r="GC4" s="2" t="str">
        <f t="shared" si="42"/>
        <v>Y</v>
      </c>
      <c r="GD4" s="2" t="str">
        <f t="shared" si="43"/>
        <v>Y</v>
      </c>
      <c r="GE4" s="2" t="str">
        <f t="shared" si="44"/>
        <v>Y</v>
      </c>
      <c r="GF4" s="2" t="str">
        <f t="shared" si="45"/>
        <v>Y</v>
      </c>
      <c r="GG4" s="2" t="str">
        <f t="shared" si="46"/>
        <v>Y</v>
      </c>
      <c r="GH4" s="2" t="str">
        <f t="shared" si="47"/>
        <v>Y</v>
      </c>
      <c r="GI4" s="2" t="str">
        <f t="shared" si="48"/>
        <v>Y</v>
      </c>
      <c r="GJ4" s="2" t="str">
        <f t="shared" si="49"/>
        <v>Y</v>
      </c>
      <c r="GK4" s="2" t="str">
        <f t="shared" si="50"/>
        <v>Y</v>
      </c>
      <c r="GL4" s="2" t="str">
        <f t="shared" si="51"/>
        <v>Y</v>
      </c>
      <c r="GM4" s="2" t="str">
        <f t="shared" ref="GM4:GM14" si="66">IF(DG4=DH4,"Y","N")</f>
        <v>Y</v>
      </c>
      <c r="GN4" s="2" t="str">
        <f t="shared" ref="GN4:GN14" si="67">IF(DO4=DP4,"Y","N")</f>
        <v>Y</v>
      </c>
      <c r="GO4" s="2" t="str">
        <f t="shared" ref="GO4:GO14" si="68">IF(DQ4=DR4,"Y","N")</f>
        <v>Y</v>
      </c>
      <c r="GP4" s="2" t="str">
        <f t="shared" ref="GP4:GP14" si="69">IF(DS4=DT4,"Y","N")</f>
        <v>Y</v>
      </c>
      <c r="GQ4" s="2" t="str">
        <f t="shared" ref="GQ4:GQ14" si="70">IF(DU4=DV4,"Y","N")</f>
        <v>Y</v>
      </c>
      <c r="GR4" s="2" t="str">
        <f t="shared" ref="GR4:GR14" si="71">IF(DW4=DX4,"Y","N")</f>
        <v>Y</v>
      </c>
      <c r="GS4" s="2" t="str">
        <f t="shared" ref="GS4:GS14" si="72">IF(DY4=DZ4,"Y","N")</f>
        <v>Y</v>
      </c>
      <c r="GT4" s="2" t="str">
        <f t="shared" ref="GT4:GT14" si="73">IF(EA4=EB4,"Y","N")</f>
        <v>Y</v>
      </c>
      <c r="GU4" s="2" t="str">
        <f t="shared" ref="GU4:GU14" si="74">IF(EC4=ED4,"Y","N")</f>
        <v>Y</v>
      </c>
      <c r="GV4" s="2" t="str">
        <f t="shared" ref="GV4:GV14" si="75">IF(EE4=EF4,"Y","N")</f>
        <v>Y</v>
      </c>
      <c r="GW4" s="2" t="str">
        <f t="shared" ref="GW4:GW14" si="76">IF(EG4=EH4,"Y","N")</f>
        <v>Y</v>
      </c>
      <c r="GX4" s="49" t="str">
        <f t="shared" ref="GX4:GX14" si="77">IF(EI4=EJ4,"Y","N")</f>
        <v>Y</v>
      </c>
      <c r="GY4" s="50">
        <v>1</v>
      </c>
      <c r="GZ4" s="53">
        <v>1</v>
      </c>
    </row>
    <row r="5" spans="1:208" ht="32" x14ac:dyDescent="0.2">
      <c r="A5" s="26" t="s">
        <v>98</v>
      </c>
      <c r="B5" s="27">
        <v>2011</v>
      </c>
      <c r="C5" s="27">
        <v>152</v>
      </c>
      <c r="D5" s="27">
        <v>152</v>
      </c>
      <c r="E5" s="2">
        <v>99</v>
      </c>
      <c r="F5" s="27">
        <v>99</v>
      </c>
      <c r="G5" s="27">
        <v>27.2</v>
      </c>
      <c r="H5" s="27">
        <v>27.2</v>
      </c>
      <c r="I5" s="27">
        <v>30.4</v>
      </c>
      <c r="J5" s="27">
        <v>30.4</v>
      </c>
      <c r="K5" s="27" t="s">
        <v>57</v>
      </c>
      <c r="L5" s="2" t="s">
        <v>57</v>
      </c>
      <c r="M5" s="2">
        <v>156</v>
      </c>
      <c r="N5" s="2">
        <v>156</v>
      </c>
      <c r="O5" s="2">
        <v>52</v>
      </c>
      <c r="P5" s="2">
        <v>52</v>
      </c>
      <c r="Q5" s="2">
        <v>0</v>
      </c>
      <c r="R5" s="2">
        <v>0</v>
      </c>
      <c r="S5" s="2">
        <v>147</v>
      </c>
      <c r="T5" s="2">
        <v>147</v>
      </c>
      <c r="U5" s="27">
        <v>351</v>
      </c>
      <c r="V5" s="27">
        <v>351</v>
      </c>
      <c r="W5" s="27">
        <v>0</v>
      </c>
      <c r="X5" s="27">
        <v>0</v>
      </c>
      <c r="Y5" s="27">
        <v>0</v>
      </c>
      <c r="Z5" s="27">
        <v>0</v>
      </c>
      <c r="AA5" s="27">
        <v>0</v>
      </c>
      <c r="AB5" s="27">
        <v>0</v>
      </c>
      <c r="AC5" s="44" t="s">
        <v>79</v>
      </c>
      <c r="AD5" s="2" t="s">
        <v>80</v>
      </c>
      <c r="AE5" s="27" t="s">
        <v>80</v>
      </c>
      <c r="AF5" s="27" t="s">
        <v>81</v>
      </c>
      <c r="AG5" s="27" t="s">
        <v>82</v>
      </c>
      <c r="AH5" s="27" t="s">
        <v>82</v>
      </c>
      <c r="AI5" s="27" t="s">
        <v>83</v>
      </c>
      <c r="AJ5" s="27" t="s">
        <v>83</v>
      </c>
      <c r="AK5" s="27" t="s">
        <v>83</v>
      </c>
      <c r="AL5" s="27" t="s">
        <v>83</v>
      </c>
      <c r="AM5" s="27">
        <v>351</v>
      </c>
      <c r="AN5" s="27">
        <v>351</v>
      </c>
      <c r="AO5" s="27">
        <v>0</v>
      </c>
      <c r="AP5" s="27">
        <v>0</v>
      </c>
      <c r="AQ5" s="27">
        <v>0</v>
      </c>
      <c r="AR5" s="27">
        <v>0</v>
      </c>
      <c r="AS5" s="27">
        <v>351</v>
      </c>
      <c r="AT5" s="27">
        <v>351</v>
      </c>
      <c r="AU5" s="27">
        <v>134</v>
      </c>
      <c r="AV5" s="27">
        <v>134</v>
      </c>
      <c r="AW5" s="27" t="s">
        <v>84</v>
      </c>
      <c r="AX5" s="27" t="s">
        <v>99</v>
      </c>
      <c r="AY5" s="27" t="s">
        <v>85</v>
      </c>
      <c r="AZ5" s="27" t="s">
        <v>85</v>
      </c>
      <c r="BA5" s="27">
        <v>134</v>
      </c>
      <c r="BB5" s="27">
        <f>SUM(BH5,BJ5)</f>
        <v>134</v>
      </c>
      <c r="BC5" s="27" t="s">
        <v>85</v>
      </c>
      <c r="BD5" s="27" t="s">
        <v>85</v>
      </c>
      <c r="BE5" s="27" t="s">
        <v>85</v>
      </c>
      <c r="BF5" s="27" t="s">
        <v>85</v>
      </c>
      <c r="BG5" s="27">
        <v>134</v>
      </c>
      <c r="BH5" s="27">
        <v>134</v>
      </c>
      <c r="BI5" s="27" t="s">
        <v>85</v>
      </c>
      <c r="BJ5" s="27" t="s">
        <v>85</v>
      </c>
      <c r="BK5" s="27" t="s">
        <v>85</v>
      </c>
      <c r="BL5" s="27" t="s">
        <v>85</v>
      </c>
      <c r="BM5" s="27" t="s">
        <v>85</v>
      </c>
      <c r="BN5" s="27" t="s">
        <v>85</v>
      </c>
      <c r="BO5" s="27" t="s">
        <v>85</v>
      </c>
      <c r="BP5" s="27" t="s">
        <v>85</v>
      </c>
      <c r="BQ5" s="27" t="s">
        <v>85</v>
      </c>
      <c r="BR5" s="27" t="s">
        <v>85</v>
      </c>
      <c r="BS5" s="27" t="s">
        <v>85</v>
      </c>
      <c r="BT5" s="27" t="s">
        <v>85</v>
      </c>
      <c r="BU5" s="27" t="s">
        <v>85</v>
      </c>
      <c r="BV5" s="27" t="s">
        <v>85</v>
      </c>
      <c r="BW5" s="27" t="s">
        <v>85</v>
      </c>
      <c r="BX5" s="27" t="s">
        <v>85</v>
      </c>
      <c r="BY5" s="27" t="s">
        <v>85</v>
      </c>
      <c r="BZ5" s="27" t="s">
        <v>85</v>
      </c>
      <c r="CA5" s="27" t="s">
        <v>85</v>
      </c>
      <c r="CB5" s="27" t="s">
        <v>85</v>
      </c>
      <c r="CC5" s="27" t="s">
        <v>85</v>
      </c>
      <c r="CD5" s="27" t="s">
        <v>85</v>
      </c>
      <c r="CE5" s="27" t="s">
        <v>85</v>
      </c>
      <c r="CF5" s="27" t="s">
        <v>85</v>
      </c>
      <c r="CG5" s="27" t="s">
        <v>57</v>
      </c>
      <c r="CH5" s="27" t="s">
        <v>57</v>
      </c>
      <c r="CI5" s="27" t="s">
        <v>57</v>
      </c>
      <c r="CJ5" s="27" t="s">
        <v>57</v>
      </c>
      <c r="CK5" s="27" t="s">
        <v>57</v>
      </c>
      <c r="CL5" s="27" t="s">
        <v>57</v>
      </c>
      <c r="CM5" s="27" t="s">
        <v>57</v>
      </c>
      <c r="CN5" s="27" t="s">
        <v>57</v>
      </c>
      <c r="CO5" s="27" t="s">
        <v>57</v>
      </c>
      <c r="CP5" s="27" t="s">
        <v>57</v>
      </c>
      <c r="CQ5" s="27" t="s">
        <v>57</v>
      </c>
      <c r="CR5" s="27" t="s">
        <v>57</v>
      </c>
      <c r="CS5" s="27" t="s">
        <v>86</v>
      </c>
      <c r="CT5" s="27" t="s">
        <v>86</v>
      </c>
      <c r="CU5" s="27" t="s">
        <v>86</v>
      </c>
      <c r="CV5" s="27" t="s">
        <v>86</v>
      </c>
      <c r="CW5" s="27" t="s">
        <v>83</v>
      </c>
      <c r="CX5" s="27" t="s">
        <v>83</v>
      </c>
      <c r="CY5" s="27" t="s">
        <v>57</v>
      </c>
      <c r="CZ5" s="27" t="s">
        <v>57</v>
      </c>
      <c r="DA5" s="27" t="s">
        <v>57</v>
      </c>
      <c r="DB5" s="27" t="s">
        <v>57</v>
      </c>
      <c r="DC5" s="27" t="s">
        <v>57</v>
      </c>
      <c r="DD5" s="2" t="s">
        <v>57</v>
      </c>
      <c r="DE5" s="27" t="s">
        <v>57</v>
      </c>
      <c r="DF5" s="27" t="s">
        <v>57</v>
      </c>
      <c r="DG5" s="27" t="s">
        <v>57</v>
      </c>
      <c r="DH5" s="27" t="s">
        <v>57</v>
      </c>
      <c r="DI5" s="27" t="s">
        <v>87</v>
      </c>
      <c r="DJ5" s="27" t="s">
        <v>87</v>
      </c>
      <c r="DK5" s="27" t="s">
        <v>88</v>
      </c>
      <c r="DL5" s="27" t="s">
        <v>88</v>
      </c>
      <c r="DM5" s="27" t="s">
        <v>89</v>
      </c>
      <c r="DN5" s="27" t="s">
        <v>89</v>
      </c>
      <c r="DO5" s="27">
        <v>1</v>
      </c>
      <c r="DP5" s="27">
        <v>1</v>
      </c>
      <c r="DQ5" s="27">
        <v>1</v>
      </c>
      <c r="DR5" s="27">
        <v>1</v>
      </c>
      <c r="DS5" s="27">
        <v>1</v>
      </c>
      <c r="DT5" s="27">
        <v>1</v>
      </c>
      <c r="DU5" s="27">
        <v>1</v>
      </c>
      <c r="DV5" s="27">
        <v>1</v>
      </c>
      <c r="DW5" s="27">
        <v>1</v>
      </c>
      <c r="DX5" s="27">
        <v>1</v>
      </c>
      <c r="DY5" s="27">
        <v>1</v>
      </c>
      <c r="DZ5" s="27">
        <v>1</v>
      </c>
      <c r="EA5" s="27">
        <v>1</v>
      </c>
      <c r="EB5" s="27">
        <v>1</v>
      </c>
      <c r="EC5" s="27">
        <v>1</v>
      </c>
      <c r="ED5" s="27">
        <v>1</v>
      </c>
      <c r="EE5" s="27">
        <v>1</v>
      </c>
      <c r="EF5" s="27">
        <v>1</v>
      </c>
      <c r="EG5" s="27">
        <v>1</v>
      </c>
      <c r="EH5" s="27">
        <v>1</v>
      </c>
      <c r="EI5" s="27">
        <f t="shared" si="64"/>
        <v>10</v>
      </c>
      <c r="EJ5" s="27">
        <f t="shared" si="65"/>
        <v>10</v>
      </c>
      <c r="EK5" s="28" t="s">
        <v>98</v>
      </c>
      <c r="EL5" s="29">
        <v>2011</v>
      </c>
      <c r="EM5" s="2" t="str">
        <f t="shared" si="0"/>
        <v>Y</v>
      </c>
      <c r="EN5" s="2" t="str">
        <f t="shared" si="1"/>
        <v>Y</v>
      </c>
      <c r="EO5" s="2" t="str">
        <f t="shared" si="2"/>
        <v>Y</v>
      </c>
      <c r="EP5" s="2" t="str">
        <f t="shared" si="3"/>
        <v>Y</v>
      </c>
      <c r="EQ5" s="2" t="str">
        <f t="shared" si="4"/>
        <v>Y</v>
      </c>
      <c r="ER5" s="2" t="str">
        <f t="shared" si="5"/>
        <v>Y</v>
      </c>
      <c r="ES5" s="2" t="str">
        <f t="shared" si="6"/>
        <v>Y</v>
      </c>
      <c r="ET5" s="2" t="str">
        <f t="shared" si="7"/>
        <v>Y</v>
      </c>
      <c r="EU5" s="2" t="str">
        <f t="shared" si="8"/>
        <v>Y</v>
      </c>
      <c r="EV5" s="2" t="str">
        <f t="shared" si="9"/>
        <v>Y</v>
      </c>
      <c r="EW5" s="2" t="str">
        <f t="shared" si="10"/>
        <v>Y</v>
      </c>
      <c r="EX5" s="2" t="str">
        <f t="shared" si="11"/>
        <v>Y</v>
      </c>
      <c r="EY5" s="2" t="str">
        <f t="shared" si="12"/>
        <v>Y</v>
      </c>
      <c r="EZ5" s="2" t="str">
        <f t="shared" si="13"/>
        <v>Y</v>
      </c>
      <c r="FA5" s="2" t="str">
        <f t="shared" si="14"/>
        <v>Y</v>
      </c>
      <c r="FB5" s="2" t="str">
        <f t="shared" si="15"/>
        <v>Y</v>
      </c>
      <c r="FC5" s="2" t="str">
        <f t="shared" si="16"/>
        <v>Y</v>
      </c>
      <c r="FD5" s="2" t="str">
        <f t="shared" si="17"/>
        <v>Y</v>
      </c>
      <c r="FE5" s="2" t="str">
        <f t="shared" si="18"/>
        <v>Y</v>
      </c>
      <c r="FF5" s="2" t="str">
        <f t="shared" si="19"/>
        <v>Y</v>
      </c>
      <c r="FG5" s="2" t="str">
        <f t="shared" si="20"/>
        <v>Y</v>
      </c>
      <c r="FH5" s="2" t="str">
        <f t="shared" si="21"/>
        <v>Y</v>
      </c>
      <c r="FI5" s="2" t="str">
        <f t="shared" si="22"/>
        <v>Y</v>
      </c>
      <c r="FJ5" s="2" t="str">
        <f t="shared" si="23"/>
        <v>Y</v>
      </c>
      <c r="FK5" s="2" t="str">
        <f t="shared" si="24"/>
        <v>Y</v>
      </c>
      <c r="FL5" s="2" t="str">
        <f t="shared" si="25"/>
        <v>Y</v>
      </c>
      <c r="FM5" s="2" t="str">
        <f t="shared" si="26"/>
        <v>Y</v>
      </c>
      <c r="FN5" s="2" t="str">
        <f t="shared" si="27"/>
        <v>Y</v>
      </c>
      <c r="FO5" s="2" t="str">
        <f t="shared" si="28"/>
        <v>Y</v>
      </c>
      <c r="FP5" s="2" t="str">
        <f t="shared" si="29"/>
        <v>Y</v>
      </c>
      <c r="FQ5" s="2" t="str">
        <f t="shared" si="30"/>
        <v>Y</v>
      </c>
      <c r="FR5" s="2" t="str">
        <f t="shared" si="31"/>
        <v>Y</v>
      </c>
      <c r="FS5" s="2" t="str">
        <f t="shared" si="32"/>
        <v>Y</v>
      </c>
      <c r="FT5" s="2" t="str">
        <f t="shared" si="33"/>
        <v>Y</v>
      </c>
      <c r="FU5" s="2" t="str">
        <f t="shared" si="34"/>
        <v>Y</v>
      </c>
      <c r="FV5" s="2" t="str">
        <f t="shared" si="35"/>
        <v>Y</v>
      </c>
      <c r="FW5" s="2" t="str">
        <f t="shared" si="36"/>
        <v>Y</v>
      </c>
      <c r="FX5" s="2" t="str">
        <f t="shared" si="37"/>
        <v>Y</v>
      </c>
      <c r="FY5" s="2" t="str">
        <f t="shared" si="38"/>
        <v>Y</v>
      </c>
      <c r="FZ5" s="2" t="str">
        <f t="shared" si="39"/>
        <v>Y</v>
      </c>
      <c r="GA5" s="2" t="str">
        <f t="shared" si="40"/>
        <v>Y</v>
      </c>
      <c r="GB5" s="2" t="str">
        <f t="shared" si="41"/>
        <v>Y</v>
      </c>
      <c r="GC5" s="2" t="str">
        <f t="shared" si="42"/>
        <v>Y</v>
      </c>
      <c r="GD5" s="2" t="str">
        <f t="shared" si="43"/>
        <v>Y</v>
      </c>
      <c r="GE5" s="2" t="str">
        <f t="shared" si="44"/>
        <v>Y</v>
      </c>
      <c r="GF5" s="2" t="str">
        <f t="shared" si="45"/>
        <v>Y</v>
      </c>
      <c r="GG5" s="2" t="str">
        <f t="shared" si="46"/>
        <v>Y</v>
      </c>
      <c r="GH5" s="2" t="str">
        <f t="shared" si="47"/>
        <v>Y</v>
      </c>
      <c r="GI5" s="2" t="str">
        <f t="shared" si="48"/>
        <v>Y</v>
      </c>
      <c r="GJ5" s="2" t="str">
        <f t="shared" si="49"/>
        <v>Y</v>
      </c>
      <c r="GK5" s="2" t="str">
        <f t="shared" si="50"/>
        <v>Y</v>
      </c>
      <c r="GL5" s="2" t="str">
        <f t="shared" si="51"/>
        <v>Y</v>
      </c>
      <c r="GM5" s="2" t="str">
        <f t="shared" si="66"/>
        <v>Y</v>
      </c>
      <c r="GN5" s="2" t="str">
        <f t="shared" si="67"/>
        <v>Y</v>
      </c>
      <c r="GO5" s="2" t="str">
        <f t="shared" si="68"/>
        <v>Y</v>
      </c>
      <c r="GP5" s="2" t="str">
        <f t="shared" si="69"/>
        <v>Y</v>
      </c>
      <c r="GQ5" s="2" t="str">
        <f t="shared" si="70"/>
        <v>Y</v>
      </c>
      <c r="GR5" s="2" t="str">
        <f t="shared" si="71"/>
        <v>Y</v>
      </c>
      <c r="GS5" s="2" t="str">
        <f t="shared" si="72"/>
        <v>Y</v>
      </c>
      <c r="GT5" s="2" t="str">
        <f t="shared" si="73"/>
        <v>Y</v>
      </c>
      <c r="GU5" s="2" t="str">
        <f t="shared" si="74"/>
        <v>Y</v>
      </c>
      <c r="GV5" s="2" t="str">
        <f t="shared" si="75"/>
        <v>Y</v>
      </c>
      <c r="GW5" s="2" t="str">
        <f t="shared" si="76"/>
        <v>Y</v>
      </c>
      <c r="GX5" s="49" t="str">
        <f t="shared" si="77"/>
        <v>Y</v>
      </c>
      <c r="GY5" s="50"/>
      <c r="GZ5" s="53"/>
    </row>
    <row r="6" spans="1:208" ht="32" x14ac:dyDescent="0.2">
      <c r="A6" s="26" t="s">
        <v>100</v>
      </c>
      <c r="B6" s="27">
        <v>2020</v>
      </c>
      <c r="C6" s="27">
        <v>32</v>
      </c>
      <c r="D6" s="27">
        <v>32</v>
      </c>
      <c r="E6" s="2">
        <v>44</v>
      </c>
      <c r="F6" s="27">
        <v>44</v>
      </c>
      <c r="G6" s="27" t="s">
        <v>57</v>
      </c>
      <c r="H6" s="27" t="s">
        <v>57</v>
      </c>
      <c r="I6" s="27" t="s">
        <v>57</v>
      </c>
      <c r="J6" s="27" t="s">
        <v>57</v>
      </c>
      <c r="K6" s="27">
        <v>37.22</v>
      </c>
      <c r="L6" s="2">
        <v>37.22</v>
      </c>
      <c r="M6" s="2" t="s">
        <v>57</v>
      </c>
      <c r="N6" s="2" t="s">
        <v>57</v>
      </c>
      <c r="O6" s="2" t="s">
        <v>57</v>
      </c>
      <c r="P6" s="2" t="s">
        <v>57</v>
      </c>
      <c r="Q6" s="2" t="s">
        <v>57</v>
      </c>
      <c r="R6" s="2" t="s">
        <v>57</v>
      </c>
      <c r="S6" s="2" t="s">
        <v>57</v>
      </c>
      <c r="T6" s="2" t="s">
        <v>57</v>
      </c>
      <c r="U6" s="27">
        <v>0</v>
      </c>
      <c r="V6" s="27">
        <v>0</v>
      </c>
      <c r="W6" s="27">
        <v>76</v>
      </c>
      <c r="X6" s="27">
        <v>76</v>
      </c>
      <c r="Y6" s="27">
        <v>0</v>
      </c>
      <c r="Z6" s="27">
        <v>0</v>
      </c>
      <c r="AA6" s="27">
        <v>0</v>
      </c>
      <c r="AB6" s="27">
        <v>0</v>
      </c>
      <c r="AC6" s="44" t="s">
        <v>101</v>
      </c>
      <c r="AD6" s="2" t="s">
        <v>102</v>
      </c>
      <c r="AE6" s="27" t="s">
        <v>102</v>
      </c>
      <c r="AF6" s="27" t="s">
        <v>103</v>
      </c>
      <c r="AG6" s="27" t="s">
        <v>83</v>
      </c>
      <c r="AH6" s="27" t="s">
        <v>83</v>
      </c>
      <c r="AI6" s="27" t="s">
        <v>82</v>
      </c>
      <c r="AJ6" s="27" t="s">
        <v>82</v>
      </c>
      <c r="AK6" s="27" t="s">
        <v>82</v>
      </c>
      <c r="AL6" s="27" t="s">
        <v>82</v>
      </c>
      <c r="AM6" s="27">
        <v>15</v>
      </c>
      <c r="AN6" s="27">
        <v>15</v>
      </c>
      <c r="AO6" s="27">
        <v>61</v>
      </c>
      <c r="AP6" s="27">
        <v>61</v>
      </c>
      <c r="AQ6" s="27">
        <v>0</v>
      </c>
      <c r="AR6" s="27">
        <v>0</v>
      </c>
      <c r="AS6" s="27">
        <v>76</v>
      </c>
      <c r="AT6" s="27">
        <v>76</v>
      </c>
      <c r="AU6" s="27">
        <v>4</v>
      </c>
      <c r="AV6" s="27">
        <v>4</v>
      </c>
      <c r="AW6" s="27" t="s">
        <v>94</v>
      </c>
      <c r="AX6" s="27" t="s">
        <v>95</v>
      </c>
      <c r="AY6" s="27">
        <f t="shared" ref="AY6:AY23" si="78">BC6+BE6+BK6+BM6+BO6+BQ6+BS6+BU6+BW6+BY6+CA6</f>
        <v>3</v>
      </c>
      <c r="AZ6" s="27">
        <v>3</v>
      </c>
      <c r="BA6" s="27">
        <f t="shared" ref="BA6:BA23" si="79">BG6+BI6</f>
        <v>1</v>
      </c>
      <c r="BB6" s="27">
        <v>1</v>
      </c>
      <c r="BC6" s="27">
        <v>3</v>
      </c>
      <c r="BD6" s="27">
        <v>3</v>
      </c>
      <c r="BE6" s="27">
        <v>0</v>
      </c>
      <c r="BF6" s="27">
        <v>0</v>
      </c>
      <c r="BG6" s="27">
        <v>1</v>
      </c>
      <c r="BH6" s="27">
        <v>1</v>
      </c>
      <c r="BI6" s="27">
        <v>0</v>
      </c>
      <c r="BJ6" s="27">
        <v>0</v>
      </c>
      <c r="BK6" s="27">
        <v>0</v>
      </c>
      <c r="BL6" s="27">
        <v>0</v>
      </c>
      <c r="BM6" s="27">
        <v>0</v>
      </c>
      <c r="BN6" s="27">
        <v>0</v>
      </c>
      <c r="BO6" s="27">
        <v>0</v>
      </c>
      <c r="BP6" s="27">
        <v>0</v>
      </c>
      <c r="BQ6" s="27">
        <v>0</v>
      </c>
      <c r="BR6" s="27">
        <v>0</v>
      </c>
      <c r="BS6" s="27">
        <v>0</v>
      </c>
      <c r="BT6" s="27">
        <v>0</v>
      </c>
      <c r="BU6" s="27">
        <v>0</v>
      </c>
      <c r="BV6" s="27">
        <v>0</v>
      </c>
      <c r="BW6" s="27">
        <v>0</v>
      </c>
      <c r="BX6" s="27">
        <v>0</v>
      </c>
      <c r="BY6" s="27">
        <v>0</v>
      </c>
      <c r="BZ6" s="27">
        <v>0</v>
      </c>
      <c r="CA6" s="27">
        <v>0</v>
      </c>
      <c r="CB6" s="27">
        <v>0</v>
      </c>
      <c r="CC6" s="27">
        <v>0</v>
      </c>
      <c r="CD6" s="27">
        <v>0</v>
      </c>
      <c r="CE6" s="27">
        <v>0</v>
      </c>
      <c r="CF6" s="27">
        <v>0</v>
      </c>
      <c r="CG6" s="27" t="s">
        <v>86</v>
      </c>
      <c r="CH6" s="27" t="s">
        <v>86</v>
      </c>
      <c r="CI6" s="27" t="s">
        <v>57</v>
      </c>
      <c r="CJ6" s="27" t="s">
        <v>57</v>
      </c>
      <c r="CK6" s="27" t="s">
        <v>57</v>
      </c>
      <c r="CL6" s="27" t="s">
        <v>57</v>
      </c>
      <c r="CM6" s="27" t="s">
        <v>86</v>
      </c>
      <c r="CN6" s="27" t="s">
        <v>86</v>
      </c>
      <c r="CO6" s="27" t="s">
        <v>86</v>
      </c>
      <c r="CP6" s="27" t="s">
        <v>86</v>
      </c>
      <c r="CQ6" s="27" t="s">
        <v>86</v>
      </c>
      <c r="CR6" s="27" t="s">
        <v>86</v>
      </c>
      <c r="CS6" s="27" t="s">
        <v>86</v>
      </c>
      <c r="CT6" s="27" t="s">
        <v>86</v>
      </c>
      <c r="CU6" s="27" t="s">
        <v>86</v>
      </c>
      <c r="CV6" s="27" t="s">
        <v>86</v>
      </c>
      <c r="CW6" s="27" t="s">
        <v>57</v>
      </c>
      <c r="CX6" s="27" t="s">
        <v>57</v>
      </c>
      <c r="CY6" s="27" t="s">
        <v>57</v>
      </c>
      <c r="CZ6" s="27" t="s">
        <v>57</v>
      </c>
      <c r="DA6" s="27" t="s">
        <v>57</v>
      </c>
      <c r="DB6" s="27" t="s">
        <v>57</v>
      </c>
      <c r="DC6" s="27" t="s">
        <v>57</v>
      </c>
      <c r="DD6" s="2" t="s">
        <v>57</v>
      </c>
      <c r="DE6" s="27" t="s">
        <v>57</v>
      </c>
      <c r="DF6" s="27" t="s">
        <v>57</v>
      </c>
      <c r="DG6" s="27" t="s">
        <v>57</v>
      </c>
      <c r="DH6" s="27" t="s">
        <v>57</v>
      </c>
      <c r="DI6" s="27" t="s">
        <v>87</v>
      </c>
      <c r="DJ6" s="27" t="s">
        <v>87</v>
      </c>
      <c r="DK6" s="27" t="s">
        <v>57</v>
      </c>
      <c r="DL6" s="27" t="s">
        <v>57</v>
      </c>
      <c r="DM6" s="27" t="s">
        <v>104</v>
      </c>
      <c r="DN6" s="27" t="s">
        <v>104</v>
      </c>
      <c r="DO6" s="27">
        <v>1</v>
      </c>
      <c r="DP6" s="27">
        <v>1</v>
      </c>
      <c r="DQ6" s="27">
        <v>1</v>
      </c>
      <c r="DR6" s="27">
        <v>1</v>
      </c>
      <c r="DS6" s="27">
        <v>1</v>
      </c>
      <c r="DT6" s="27">
        <v>1</v>
      </c>
      <c r="DU6" s="27">
        <v>1</v>
      </c>
      <c r="DV6" s="27">
        <v>1</v>
      </c>
      <c r="DW6" s="27">
        <v>1</v>
      </c>
      <c r="DX6" s="27">
        <v>1</v>
      </c>
      <c r="DY6" s="27">
        <v>1</v>
      </c>
      <c r="DZ6" s="27">
        <v>1</v>
      </c>
      <c r="EA6" s="27">
        <v>1</v>
      </c>
      <c r="EB6" s="27">
        <v>1</v>
      </c>
      <c r="EC6" s="27">
        <v>1</v>
      </c>
      <c r="ED6" s="27">
        <v>1</v>
      </c>
      <c r="EE6" s="27">
        <v>1</v>
      </c>
      <c r="EF6" s="27">
        <v>1</v>
      </c>
      <c r="EG6" s="27">
        <v>1</v>
      </c>
      <c r="EH6" s="27">
        <v>1</v>
      </c>
      <c r="EI6" s="27">
        <f t="shared" si="64"/>
        <v>10</v>
      </c>
      <c r="EJ6" s="27">
        <f t="shared" si="65"/>
        <v>10</v>
      </c>
      <c r="EK6" s="28" t="s">
        <v>100</v>
      </c>
      <c r="EL6" s="29">
        <v>2020</v>
      </c>
      <c r="EM6" s="2" t="str">
        <f t="shared" si="0"/>
        <v>Y</v>
      </c>
      <c r="EN6" s="2" t="str">
        <f t="shared" si="1"/>
        <v>Y</v>
      </c>
      <c r="EO6" s="2" t="str">
        <f t="shared" si="2"/>
        <v>Y</v>
      </c>
      <c r="EP6" s="2" t="str">
        <f t="shared" si="3"/>
        <v>Y</v>
      </c>
      <c r="EQ6" s="2" t="str">
        <f t="shared" si="4"/>
        <v>Y</v>
      </c>
      <c r="ER6" s="2" t="str">
        <f t="shared" si="5"/>
        <v>Y</v>
      </c>
      <c r="ES6" s="2" t="str">
        <f t="shared" si="6"/>
        <v>Y</v>
      </c>
      <c r="ET6" s="2" t="str">
        <f t="shared" si="7"/>
        <v>Y</v>
      </c>
      <c r="EU6" s="2" t="str">
        <f t="shared" si="8"/>
        <v>Y</v>
      </c>
      <c r="EV6" s="2" t="str">
        <f t="shared" si="9"/>
        <v>Y</v>
      </c>
      <c r="EW6" s="2" t="str">
        <f t="shared" si="10"/>
        <v>Y</v>
      </c>
      <c r="EX6" s="2" t="str">
        <f t="shared" si="11"/>
        <v>Y</v>
      </c>
      <c r="EY6" s="2" t="str">
        <f t="shared" si="12"/>
        <v>Y</v>
      </c>
      <c r="EZ6" s="2" t="str">
        <f t="shared" si="13"/>
        <v>Y</v>
      </c>
      <c r="FA6" s="2" t="str">
        <f t="shared" si="14"/>
        <v>Y</v>
      </c>
      <c r="FB6" s="2" t="str">
        <f t="shared" si="15"/>
        <v>Y</v>
      </c>
      <c r="FC6" s="2" t="str">
        <f t="shared" si="16"/>
        <v>Y</v>
      </c>
      <c r="FD6" s="2" t="str">
        <f t="shared" si="17"/>
        <v>Y</v>
      </c>
      <c r="FE6" s="2" t="str">
        <f t="shared" si="18"/>
        <v>Y</v>
      </c>
      <c r="FF6" s="2" t="str">
        <f t="shared" si="19"/>
        <v>Y</v>
      </c>
      <c r="FG6" s="2" t="str">
        <f t="shared" si="20"/>
        <v>Y</v>
      </c>
      <c r="FH6" s="2" t="str">
        <f t="shared" si="21"/>
        <v>Y</v>
      </c>
      <c r="FI6" s="2" t="str">
        <f t="shared" si="22"/>
        <v>Y</v>
      </c>
      <c r="FJ6" s="2" t="str">
        <f t="shared" si="23"/>
        <v>Y</v>
      </c>
      <c r="FK6" s="2" t="str">
        <f t="shared" si="24"/>
        <v>Y</v>
      </c>
      <c r="FL6" s="2" t="str">
        <f t="shared" si="25"/>
        <v>Y</v>
      </c>
      <c r="FM6" s="2" t="str">
        <f t="shared" si="26"/>
        <v>Y</v>
      </c>
      <c r="FN6" s="2" t="str">
        <f t="shared" si="27"/>
        <v>Y</v>
      </c>
      <c r="FO6" s="2" t="str">
        <f t="shared" si="28"/>
        <v>Y</v>
      </c>
      <c r="FP6" s="2" t="str">
        <f t="shared" si="29"/>
        <v>Y</v>
      </c>
      <c r="FQ6" s="2" t="str">
        <f t="shared" si="30"/>
        <v>Y</v>
      </c>
      <c r="FR6" s="2" t="str">
        <f t="shared" si="31"/>
        <v>Y</v>
      </c>
      <c r="FS6" s="2" t="str">
        <f t="shared" si="32"/>
        <v>Y</v>
      </c>
      <c r="FT6" s="2" t="str">
        <f t="shared" si="33"/>
        <v>Y</v>
      </c>
      <c r="FU6" s="2" t="str">
        <f t="shared" si="34"/>
        <v>Y</v>
      </c>
      <c r="FV6" s="2" t="str">
        <f t="shared" si="35"/>
        <v>Y</v>
      </c>
      <c r="FW6" s="2" t="str">
        <f t="shared" si="36"/>
        <v>Y</v>
      </c>
      <c r="FX6" s="2" t="str">
        <f t="shared" si="37"/>
        <v>Y</v>
      </c>
      <c r="FY6" s="2" t="str">
        <f t="shared" si="38"/>
        <v>Y</v>
      </c>
      <c r="FZ6" s="2" t="str">
        <f t="shared" si="39"/>
        <v>Y</v>
      </c>
      <c r="GA6" s="2" t="str">
        <f t="shared" si="40"/>
        <v>Y</v>
      </c>
      <c r="GB6" s="2" t="str">
        <f t="shared" si="41"/>
        <v>Y</v>
      </c>
      <c r="GC6" s="2" t="str">
        <f t="shared" si="42"/>
        <v>Y</v>
      </c>
      <c r="GD6" s="2" t="str">
        <f t="shared" si="43"/>
        <v>Y</v>
      </c>
      <c r="GE6" s="2" t="str">
        <f t="shared" si="44"/>
        <v>Y</v>
      </c>
      <c r="GF6" s="2" t="str">
        <f t="shared" si="45"/>
        <v>Y</v>
      </c>
      <c r="GG6" s="2" t="str">
        <f t="shared" si="46"/>
        <v>Y</v>
      </c>
      <c r="GH6" s="2" t="str">
        <f t="shared" si="47"/>
        <v>Y</v>
      </c>
      <c r="GI6" s="2" t="str">
        <f t="shared" si="48"/>
        <v>Y</v>
      </c>
      <c r="GJ6" s="2" t="str">
        <f t="shared" si="49"/>
        <v>Y</v>
      </c>
      <c r="GK6" s="2" t="str">
        <f t="shared" si="50"/>
        <v>Y</v>
      </c>
      <c r="GL6" s="2" t="str">
        <f t="shared" si="51"/>
        <v>Y</v>
      </c>
      <c r="GM6" s="2" t="str">
        <f t="shared" si="66"/>
        <v>Y</v>
      </c>
      <c r="GN6" s="2" t="str">
        <f t="shared" si="67"/>
        <v>Y</v>
      </c>
      <c r="GO6" s="2" t="str">
        <f t="shared" si="68"/>
        <v>Y</v>
      </c>
      <c r="GP6" s="2" t="str">
        <f t="shared" si="69"/>
        <v>Y</v>
      </c>
      <c r="GQ6" s="2" t="str">
        <f t="shared" si="70"/>
        <v>Y</v>
      </c>
      <c r="GR6" s="2" t="str">
        <f t="shared" si="71"/>
        <v>Y</v>
      </c>
      <c r="GS6" s="2" t="str">
        <f t="shared" si="72"/>
        <v>Y</v>
      </c>
      <c r="GT6" s="2" t="str">
        <f t="shared" si="73"/>
        <v>Y</v>
      </c>
      <c r="GU6" s="2" t="str">
        <f t="shared" si="74"/>
        <v>Y</v>
      </c>
      <c r="GV6" s="2" t="str">
        <f t="shared" si="75"/>
        <v>Y</v>
      </c>
      <c r="GW6" s="2" t="str">
        <f t="shared" si="76"/>
        <v>Y</v>
      </c>
      <c r="GX6" s="49" t="str">
        <f t="shared" si="77"/>
        <v>Y</v>
      </c>
      <c r="GY6" s="50"/>
      <c r="GZ6" s="53"/>
    </row>
    <row r="7" spans="1:208" ht="48" x14ac:dyDescent="0.2">
      <c r="A7" s="26" t="s">
        <v>105</v>
      </c>
      <c r="B7" s="27">
        <v>2018</v>
      </c>
      <c r="C7" s="27">
        <v>95</v>
      </c>
      <c r="D7" s="27">
        <v>95</v>
      </c>
      <c r="E7" s="2">
        <v>64</v>
      </c>
      <c r="F7" s="27">
        <v>64</v>
      </c>
      <c r="G7" s="27">
        <v>28.7</v>
      </c>
      <c r="H7" s="27">
        <v>28.7</v>
      </c>
      <c r="I7" s="27" t="s">
        <v>57</v>
      </c>
      <c r="J7" s="27" t="s">
        <v>57</v>
      </c>
      <c r="K7" s="27">
        <v>34.299999999999997</v>
      </c>
      <c r="L7" s="2">
        <v>34.299999999999997</v>
      </c>
      <c r="M7" s="2">
        <v>142</v>
      </c>
      <c r="N7" s="2">
        <v>142</v>
      </c>
      <c r="O7" s="2">
        <v>5</v>
      </c>
      <c r="P7" s="2">
        <v>5</v>
      </c>
      <c r="Q7" s="2">
        <v>7</v>
      </c>
      <c r="R7" s="2">
        <v>7</v>
      </c>
      <c r="S7" s="2">
        <v>5</v>
      </c>
      <c r="T7" s="2">
        <v>5</v>
      </c>
      <c r="U7" s="27">
        <v>159</v>
      </c>
      <c r="V7" s="27">
        <v>159</v>
      </c>
      <c r="W7" s="27">
        <v>0</v>
      </c>
      <c r="X7" s="27">
        <v>0</v>
      </c>
      <c r="Y7" s="27">
        <v>0</v>
      </c>
      <c r="Z7" s="27">
        <v>0</v>
      </c>
      <c r="AA7" s="27">
        <v>0</v>
      </c>
      <c r="AB7" s="27">
        <v>0</v>
      </c>
      <c r="AC7" s="44" t="s">
        <v>79</v>
      </c>
      <c r="AD7" s="2" t="s">
        <v>106</v>
      </c>
      <c r="AE7" s="27" t="s">
        <v>106</v>
      </c>
      <c r="AF7" s="27" t="s">
        <v>107</v>
      </c>
      <c r="AG7" s="27" t="s">
        <v>83</v>
      </c>
      <c r="AH7" s="27" t="s">
        <v>83</v>
      </c>
      <c r="AI7" s="27" t="s">
        <v>82</v>
      </c>
      <c r="AJ7" s="27" t="s">
        <v>82</v>
      </c>
      <c r="AK7" s="27" t="s">
        <v>83</v>
      </c>
      <c r="AL7" s="27" t="s">
        <v>83</v>
      </c>
      <c r="AM7" s="27">
        <v>159</v>
      </c>
      <c r="AN7" s="27">
        <v>159</v>
      </c>
      <c r="AO7" s="27">
        <v>0</v>
      </c>
      <c r="AP7" s="27">
        <v>0</v>
      </c>
      <c r="AQ7" s="27">
        <v>0</v>
      </c>
      <c r="AR7" s="27">
        <v>0</v>
      </c>
      <c r="AS7" s="27">
        <v>159</v>
      </c>
      <c r="AT7" s="27">
        <v>159</v>
      </c>
      <c r="AU7" s="27">
        <v>124</v>
      </c>
      <c r="AV7" s="27">
        <v>124</v>
      </c>
      <c r="AW7" s="27" t="s">
        <v>94</v>
      </c>
      <c r="AX7" s="27" t="s">
        <v>95</v>
      </c>
      <c r="AY7" s="27">
        <v>87</v>
      </c>
      <c r="AZ7" s="27">
        <f t="shared" ref="AZ7:AZ15" si="80">SUM(BD7,BF7,BL7,BN7,BP7,BR7,BT7,BV7,BX7,BZ7,CB7,CD7)</f>
        <v>87</v>
      </c>
      <c r="BA7" s="27">
        <f t="shared" si="79"/>
        <v>37</v>
      </c>
      <c r="BB7" s="27">
        <f t="shared" ref="BA7:BB25" si="81">SUM(BH7,BJ7)</f>
        <v>37</v>
      </c>
      <c r="BC7" s="27">
        <v>0</v>
      </c>
      <c r="BD7" s="27">
        <v>0</v>
      </c>
      <c r="BE7" s="27">
        <v>0</v>
      </c>
      <c r="BF7" s="27">
        <v>0</v>
      </c>
      <c r="BG7" s="27">
        <v>37</v>
      </c>
      <c r="BH7" s="27">
        <v>37</v>
      </c>
      <c r="BI7" s="27">
        <v>0</v>
      </c>
      <c r="BJ7" s="27">
        <v>0</v>
      </c>
      <c r="BK7" s="27">
        <v>2</v>
      </c>
      <c r="BL7" s="27">
        <v>2</v>
      </c>
      <c r="BM7" s="27">
        <v>0</v>
      </c>
      <c r="BN7" s="27">
        <v>0</v>
      </c>
      <c r="BO7" s="27">
        <v>4</v>
      </c>
      <c r="BP7" s="27">
        <v>4</v>
      </c>
      <c r="BQ7" s="27">
        <v>0</v>
      </c>
      <c r="BR7" s="27">
        <v>0</v>
      </c>
      <c r="BS7" s="27">
        <v>75</v>
      </c>
      <c r="BT7" s="27">
        <v>75</v>
      </c>
      <c r="BU7" s="27">
        <v>0</v>
      </c>
      <c r="BV7" s="27">
        <v>0</v>
      </c>
      <c r="BW7" s="27">
        <v>0</v>
      </c>
      <c r="BX7" s="27">
        <v>0</v>
      </c>
      <c r="BY7" s="27">
        <v>3</v>
      </c>
      <c r="BZ7" s="27">
        <v>3</v>
      </c>
      <c r="CA7" s="27">
        <v>2</v>
      </c>
      <c r="CB7" s="27">
        <v>2</v>
      </c>
      <c r="CC7" s="27">
        <v>1</v>
      </c>
      <c r="CD7" s="27">
        <v>1</v>
      </c>
      <c r="CE7" s="27">
        <v>0</v>
      </c>
      <c r="CF7" s="27">
        <v>0</v>
      </c>
      <c r="CG7" s="27" t="s">
        <v>57</v>
      </c>
      <c r="CH7" s="27" t="s">
        <v>57</v>
      </c>
      <c r="CI7" s="27" t="s">
        <v>108</v>
      </c>
      <c r="CJ7" s="27" t="s">
        <v>108</v>
      </c>
      <c r="CK7" s="27" t="s">
        <v>108</v>
      </c>
      <c r="CL7" s="27" t="s">
        <v>108</v>
      </c>
      <c r="CM7" s="27" t="s">
        <v>57</v>
      </c>
      <c r="CN7" s="27" t="s">
        <v>57</v>
      </c>
      <c r="CO7" s="27" t="s">
        <v>108</v>
      </c>
      <c r="CP7" s="27" t="s">
        <v>108</v>
      </c>
      <c r="CQ7" s="27" t="s">
        <v>108</v>
      </c>
      <c r="CR7" s="27" t="s">
        <v>108</v>
      </c>
      <c r="CS7" s="27" t="s">
        <v>108</v>
      </c>
      <c r="CT7" s="27" t="s">
        <v>108</v>
      </c>
      <c r="CU7" s="27" t="s">
        <v>86</v>
      </c>
      <c r="CV7" s="27" t="s">
        <v>86</v>
      </c>
      <c r="CW7" s="27" t="s">
        <v>57</v>
      </c>
      <c r="CX7" s="27" t="s">
        <v>57</v>
      </c>
      <c r="CY7" s="27" t="s">
        <v>86</v>
      </c>
      <c r="CZ7" s="27" t="s">
        <v>86</v>
      </c>
      <c r="DA7" s="27" t="s">
        <v>57</v>
      </c>
      <c r="DB7" s="27" t="s">
        <v>57</v>
      </c>
      <c r="DC7" s="27" t="s">
        <v>57</v>
      </c>
      <c r="DD7" s="2" t="s">
        <v>57</v>
      </c>
      <c r="DE7" s="27" t="s">
        <v>109</v>
      </c>
      <c r="DF7" s="27" t="s">
        <v>109</v>
      </c>
      <c r="DG7" s="27" t="s">
        <v>57</v>
      </c>
      <c r="DH7" s="27" t="s">
        <v>57</v>
      </c>
      <c r="DI7" s="27" t="s">
        <v>110</v>
      </c>
      <c r="DJ7" s="27" t="s">
        <v>111</v>
      </c>
      <c r="DK7" s="27" t="s">
        <v>57</v>
      </c>
      <c r="DL7" s="27" t="s">
        <v>57</v>
      </c>
      <c r="DM7" s="27" t="s">
        <v>57</v>
      </c>
      <c r="DN7" s="27" t="s">
        <v>57</v>
      </c>
      <c r="DO7" s="27">
        <v>1</v>
      </c>
      <c r="DP7" s="27">
        <v>1</v>
      </c>
      <c r="DQ7" s="27">
        <v>1</v>
      </c>
      <c r="DR7" s="27">
        <v>1</v>
      </c>
      <c r="DS7" s="27">
        <v>1</v>
      </c>
      <c r="DT7" s="27">
        <v>1</v>
      </c>
      <c r="DU7" s="27">
        <v>1</v>
      </c>
      <c r="DV7" s="27">
        <v>1</v>
      </c>
      <c r="DW7" s="27">
        <v>1</v>
      </c>
      <c r="DX7" s="27">
        <v>1</v>
      </c>
      <c r="DY7" s="27">
        <v>1</v>
      </c>
      <c r="DZ7" s="27">
        <v>1</v>
      </c>
      <c r="EA7" s="27">
        <v>1</v>
      </c>
      <c r="EB7" s="27">
        <v>1</v>
      </c>
      <c r="EC7" s="27">
        <v>1</v>
      </c>
      <c r="ED7" s="27">
        <v>1</v>
      </c>
      <c r="EE7" s="27">
        <v>1</v>
      </c>
      <c r="EF7" s="27">
        <v>1</v>
      </c>
      <c r="EG7" s="27">
        <v>1</v>
      </c>
      <c r="EH7" s="27">
        <v>1</v>
      </c>
      <c r="EI7" s="27">
        <f t="shared" si="64"/>
        <v>10</v>
      </c>
      <c r="EJ7" s="27">
        <f t="shared" si="65"/>
        <v>10</v>
      </c>
      <c r="EK7" s="28" t="s">
        <v>105</v>
      </c>
      <c r="EL7" s="29">
        <v>2018</v>
      </c>
      <c r="EM7" s="2" t="str">
        <f t="shared" si="0"/>
        <v>Y</v>
      </c>
      <c r="EN7" s="2" t="str">
        <f t="shared" si="1"/>
        <v>Y</v>
      </c>
      <c r="EO7" s="2" t="str">
        <f t="shared" si="2"/>
        <v>Y</v>
      </c>
      <c r="EP7" s="2" t="str">
        <f t="shared" si="3"/>
        <v>Y</v>
      </c>
      <c r="EQ7" s="2" t="str">
        <f t="shared" si="4"/>
        <v>Y</v>
      </c>
      <c r="ER7" s="2" t="str">
        <f t="shared" si="5"/>
        <v>Y</v>
      </c>
      <c r="ES7" s="2" t="str">
        <f t="shared" si="6"/>
        <v>Y</v>
      </c>
      <c r="ET7" s="2" t="str">
        <f t="shared" si="7"/>
        <v>Y</v>
      </c>
      <c r="EU7" s="2" t="str">
        <f t="shared" si="8"/>
        <v>Y</v>
      </c>
      <c r="EV7" s="2" t="str">
        <f t="shared" si="9"/>
        <v>Y</v>
      </c>
      <c r="EW7" s="2" t="str">
        <f t="shared" si="10"/>
        <v>Y</v>
      </c>
      <c r="EX7" s="2" t="str">
        <f t="shared" si="11"/>
        <v>Y</v>
      </c>
      <c r="EY7" s="2" t="str">
        <f t="shared" si="12"/>
        <v>Y</v>
      </c>
      <c r="EZ7" s="2" t="str">
        <f t="shared" si="13"/>
        <v>Y</v>
      </c>
      <c r="FA7" s="2" t="str">
        <f t="shared" si="14"/>
        <v>Y</v>
      </c>
      <c r="FB7" s="2" t="str">
        <f t="shared" si="15"/>
        <v>Y</v>
      </c>
      <c r="FC7" s="2" t="str">
        <f t="shared" si="16"/>
        <v>Y</v>
      </c>
      <c r="FD7" s="2" t="str">
        <f t="shared" si="17"/>
        <v>Y</v>
      </c>
      <c r="FE7" s="2" t="str">
        <f t="shared" si="18"/>
        <v>Y</v>
      </c>
      <c r="FF7" s="2" t="str">
        <f t="shared" si="19"/>
        <v>Y</v>
      </c>
      <c r="FG7" s="2" t="str">
        <f t="shared" si="20"/>
        <v>Y</v>
      </c>
      <c r="FH7" s="2" t="str">
        <f t="shared" si="21"/>
        <v>Y</v>
      </c>
      <c r="FI7" s="2" t="str">
        <f t="shared" si="22"/>
        <v>Y</v>
      </c>
      <c r="FJ7" s="2" t="str">
        <f t="shared" si="23"/>
        <v>Y</v>
      </c>
      <c r="FK7" s="2" t="str">
        <f t="shared" si="24"/>
        <v>Y</v>
      </c>
      <c r="FL7" s="2" t="str">
        <f t="shared" si="25"/>
        <v>Y</v>
      </c>
      <c r="FM7" s="2" t="str">
        <f t="shared" si="26"/>
        <v>Y</v>
      </c>
      <c r="FN7" s="2" t="str">
        <f t="shared" si="27"/>
        <v>Y</v>
      </c>
      <c r="FO7" s="2" t="str">
        <f t="shared" si="28"/>
        <v>Y</v>
      </c>
      <c r="FP7" s="2" t="str">
        <f t="shared" si="29"/>
        <v>Y</v>
      </c>
      <c r="FQ7" s="2" t="str">
        <f t="shared" si="30"/>
        <v>Y</v>
      </c>
      <c r="FR7" s="2" t="str">
        <f t="shared" si="31"/>
        <v>Y</v>
      </c>
      <c r="FS7" s="2" t="str">
        <f t="shared" si="32"/>
        <v>Y</v>
      </c>
      <c r="FT7" s="2" t="str">
        <f t="shared" si="33"/>
        <v>Y</v>
      </c>
      <c r="FU7" s="2" t="str">
        <f t="shared" si="34"/>
        <v>Y</v>
      </c>
      <c r="FV7" s="2" t="str">
        <f t="shared" si="35"/>
        <v>Y</v>
      </c>
      <c r="FW7" s="2" t="str">
        <f t="shared" si="36"/>
        <v>Y</v>
      </c>
      <c r="FX7" s="2" t="str">
        <f t="shared" si="37"/>
        <v>Y</v>
      </c>
      <c r="FY7" s="2" t="str">
        <f t="shared" si="38"/>
        <v>Y</v>
      </c>
      <c r="FZ7" s="2" t="str">
        <f t="shared" si="39"/>
        <v>Y</v>
      </c>
      <c r="GA7" s="2" t="str">
        <f t="shared" si="40"/>
        <v>Y</v>
      </c>
      <c r="GB7" s="2" t="str">
        <f t="shared" si="41"/>
        <v>Y</v>
      </c>
      <c r="GC7" s="2" t="str">
        <f t="shared" si="42"/>
        <v>Y</v>
      </c>
      <c r="GD7" s="2" t="str">
        <f t="shared" si="43"/>
        <v>Y</v>
      </c>
      <c r="GE7" s="2" t="str">
        <f t="shared" si="44"/>
        <v>Y</v>
      </c>
      <c r="GF7" s="2" t="str">
        <f t="shared" si="45"/>
        <v>Y</v>
      </c>
      <c r="GG7" s="2" t="str">
        <f t="shared" si="46"/>
        <v>Y</v>
      </c>
      <c r="GH7" s="2" t="str">
        <f t="shared" si="47"/>
        <v>Y</v>
      </c>
      <c r="GI7" s="2" t="str">
        <f t="shared" si="48"/>
        <v>Y</v>
      </c>
      <c r="GJ7" s="2" t="str">
        <f t="shared" si="49"/>
        <v>Y</v>
      </c>
      <c r="GK7" s="2" t="str">
        <f t="shared" si="50"/>
        <v>Y</v>
      </c>
      <c r="GL7" s="2" t="str">
        <f t="shared" si="51"/>
        <v>Y</v>
      </c>
      <c r="GM7" s="2" t="str">
        <f t="shared" si="66"/>
        <v>Y</v>
      </c>
      <c r="GN7" s="2" t="str">
        <f t="shared" si="67"/>
        <v>Y</v>
      </c>
      <c r="GO7" s="2" t="str">
        <f t="shared" si="68"/>
        <v>Y</v>
      </c>
      <c r="GP7" s="2" t="str">
        <f t="shared" si="69"/>
        <v>Y</v>
      </c>
      <c r="GQ7" s="2" t="str">
        <f t="shared" si="70"/>
        <v>Y</v>
      </c>
      <c r="GR7" s="2" t="str">
        <f t="shared" si="71"/>
        <v>Y</v>
      </c>
      <c r="GS7" s="2" t="str">
        <f t="shared" si="72"/>
        <v>Y</v>
      </c>
      <c r="GT7" s="2" t="str">
        <f t="shared" si="73"/>
        <v>Y</v>
      </c>
      <c r="GU7" s="2" t="str">
        <f t="shared" si="74"/>
        <v>Y</v>
      </c>
      <c r="GV7" s="2" t="str">
        <f t="shared" si="75"/>
        <v>Y</v>
      </c>
      <c r="GW7" s="2" t="str">
        <f t="shared" si="76"/>
        <v>Y</v>
      </c>
      <c r="GX7" s="49" t="str">
        <f t="shared" si="77"/>
        <v>Y</v>
      </c>
      <c r="GY7" s="50"/>
      <c r="GZ7" s="53"/>
    </row>
    <row r="8" spans="1:208" ht="48" x14ac:dyDescent="0.2">
      <c r="A8" s="26" t="s">
        <v>112</v>
      </c>
      <c r="B8" s="27">
        <v>2022</v>
      </c>
      <c r="C8" s="27">
        <v>68</v>
      </c>
      <c r="D8" s="27">
        <v>68</v>
      </c>
      <c r="E8" s="2">
        <v>119</v>
      </c>
      <c r="F8" s="27">
        <v>119</v>
      </c>
      <c r="G8" s="27">
        <v>36.700000000000003</v>
      </c>
      <c r="H8" s="27">
        <v>36.700000000000003</v>
      </c>
      <c r="I8" s="27">
        <v>32.299999999999997</v>
      </c>
      <c r="J8" s="27">
        <v>32.299999999999997</v>
      </c>
      <c r="K8" s="27" t="s">
        <v>57</v>
      </c>
      <c r="L8" s="2" t="s">
        <v>57</v>
      </c>
      <c r="M8" s="2" t="s">
        <v>57</v>
      </c>
      <c r="N8" s="2" t="s">
        <v>57</v>
      </c>
      <c r="O8" s="2" t="s">
        <v>57</v>
      </c>
      <c r="P8" s="2" t="s">
        <v>57</v>
      </c>
      <c r="Q8" s="2" t="s">
        <v>57</v>
      </c>
      <c r="R8" s="2" t="s">
        <v>57</v>
      </c>
      <c r="S8" s="2" t="s">
        <v>57</v>
      </c>
      <c r="T8" s="2" t="s">
        <v>57</v>
      </c>
      <c r="U8" s="27">
        <v>0</v>
      </c>
      <c r="V8" s="27">
        <v>0</v>
      </c>
      <c r="W8" s="27">
        <v>187</v>
      </c>
      <c r="X8" s="27">
        <v>187</v>
      </c>
      <c r="Y8" s="27">
        <v>0</v>
      </c>
      <c r="Z8" s="27">
        <v>0</v>
      </c>
      <c r="AA8" s="27">
        <v>0</v>
      </c>
      <c r="AB8" s="27">
        <v>0</v>
      </c>
      <c r="AC8" s="44" t="s">
        <v>101</v>
      </c>
      <c r="AD8" s="2" t="s">
        <v>113</v>
      </c>
      <c r="AE8" s="27" t="s">
        <v>113</v>
      </c>
      <c r="AF8" s="27" t="s">
        <v>114</v>
      </c>
      <c r="AG8" s="27" t="s">
        <v>83</v>
      </c>
      <c r="AH8" s="27" t="s">
        <v>83</v>
      </c>
      <c r="AI8" s="27" t="s">
        <v>82</v>
      </c>
      <c r="AJ8" s="27" t="s">
        <v>82</v>
      </c>
      <c r="AK8" s="27" t="s">
        <v>83</v>
      </c>
      <c r="AL8" s="27" t="s">
        <v>83</v>
      </c>
      <c r="AM8" s="27">
        <v>187</v>
      </c>
      <c r="AN8" s="27">
        <v>187</v>
      </c>
      <c r="AO8" s="27">
        <v>0</v>
      </c>
      <c r="AP8" s="27">
        <v>0</v>
      </c>
      <c r="AQ8" s="27">
        <v>0</v>
      </c>
      <c r="AR8" s="27">
        <v>0</v>
      </c>
      <c r="AS8" s="27">
        <v>187</v>
      </c>
      <c r="AT8" s="27">
        <v>187</v>
      </c>
      <c r="AU8" s="27">
        <v>10</v>
      </c>
      <c r="AV8" s="27">
        <v>10</v>
      </c>
      <c r="AW8" s="27" t="s">
        <v>84</v>
      </c>
      <c r="AX8" s="27" t="s">
        <v>99</v>
      </c>
      <c r="AY8" s="27">
        <v>10</v>
      </c>
      <c r="AZ8" s="27">
        <f t="shared" si="80"/>
        <v>10</v>
      </c>
      <c r="BA8" s="27" t="s">
        <v>85</v>
      </c>
      <c r="BB8" s="27" t="s">
        <v>85</v>
      </c>
      <c r="BC8" s="27">
        <v>10</v>
      </c>
      <c r="BD8" s="27">
        <v>10</v>
      </c>
      <c r="BE8" s="27" t="s">
        <v>85</v>
      </c>
      <c r="BF8" s="27" t="s">
        <v>85</v>
      </c>
      <c r="BG8" s="27" t="s">
        <v>85</v>
      </c>
      <c r="BH8" s="27" t="s">
        <v>85</v>
      </c>
      <c r="BI8" s="27" t="s">
        <v>85</v>
      </c>
      <c r="BJ8" s="27" t="s">
        <v>85</v>
      </c>
      <c r="BK8" s="27" t="s">
        <v>85</v>
      </c>
      <c r="BL8" s="27" t="s">
        <v>85</v>
      </c>
      <c r="BM8" s="27" t="s">
        <v>85</v>
      </c>
      <c r="BN8" s="27" t="s">
        <v>85</v>
      </c>
      <c r="BO8" s="27" t="s">
        <v>85</v>
      </c>
      <c r="BP8" s="27" t="s">
        <v>85</v>
      </c>
      <c r="BQ8" s="27" t="s">
        <v>85</v>
      </c>
      <c r="BR8" s="27" t="s">
        <v>85</v>
      </c>
      <c r="BS8" s="27" t="s">
        <v>85</v>
      </c>
      <c r="BT8" s="27" t="s">
        <v>85</v>
      </c>
      <c r="BU8" s="27" t="s">
        <v>85</v>
      </c>
      <c r="BV8" s="27" t="s">
        <v>85</v>
      </c>
      <c r="BW8" s="27" t="s">
        <v>85</v>
      </c>
      <c r="BX8" s="27" t="s">
        <v>85</v>
      </c>
      <c r="BY8" s="27" t="s">
        <v>85</v>
      </c>
      <c r="BZ8" s="27" t="s">
        <v>85</v>
      </c>
      <c r="CA8" s="27" t="s">
        <v>85</v>
      </c>
      <c r="CB8" s="27" t="s">
        <v>85</v>
      </c>
      <c r="CC8" s="27" t="s">
        <v>85</v>
      </c>
      <c r="CD8" s="27" t="s">
        <v>85</v>
      </c>
      <c r="CE8" s="27" t="s">
        <v>85</v>
      </c>
      <c r="CF8" s="27" t="s">
        <v>85</v>
      </c>
      <c r="CG8" s="27" t="s">
        <v>108</v>
      </c>
      <c r="CH8" s="27" t="s">
        <v>108</v>
      </c>
      <c r="CI8" s="27" t="s">
        <v>57</v>
      </c>
      <c r="CJ8" s="27" t="s">
        <v>57</v>
      </c>
      <c r="CK8" s="27" t="s">
        <v>57</v>
      </c>
      <c r="CL8" s="27" t="s">
        <v>57</v>
      </c>
      <c r="CM8" s="27" t="s">
        <v>108</v>
      </c>
      <c r="CN8" s="27" t="s">
        <v>108</v>
      </c>
      <c r="CO8" s="27" t="s">
        <v>108</v>
      </c>
      <c r="CP8" s="27" t="s">
        <v>108</v>
      </c>
      <c r="CQ8" s="27" t="s">
        <v>86</v>
      </c>
      <c r="CR8" s="30" t="s">
        <v>86</v>
      </c>
      <c r="CS8" s="27" t="s">
        <v>57</v>
      </c>
      <c r="CT8" s="27" t="s">
        <v>57</v>
      </c>
      <c r="CU8" s="27" t="s">
        <v>86</v>
      </c>
      <c r="CV8" s="27" t="s">
        <v>86</v>
      </c>
      <c r="CW8" s="27" t="s">
        <v>57</v>
      </c>
      <c r="CX8" s="27" t="s">
        <v>57</v>
      </c>
      <c r="CY8" s="27" t="s">
        <v>86</v>
      </c>
      <c r="CZ8" s="27" t="s">
        <v>86</v>
      </c>
      <c r="DA8" s="27" t="s">
        <v>86</v>
      </c>
      <c r="DB8" s="27" t="s">
        <v>86</v>
      </c>
      <c r="DC8" s="27" t="s">
        <v>82</v>
      </c>
      <c r="DD8" s="2" t="s">
        <v>82</v>
      </c>
      <c r="DE8" s="27" t="s">
        <v>57</v>
      </c>
      <c r="DF8" s="27" t="s">
        <v>57</v>
      </c>
      <c r="DG8" s="27" t="s">
        <v>57</v>
      </c>
      <c r="DH8" s="27" t="s">
        <v>57</v>
      </c>
      <c r="DI8" s="27" t="s">
        <v>110</v>
      </c>
      <c r="DJ8" s="27" t="s">
        <v>111</v>
      </c>
      <c r="DK8" s="27" t="s">
        <v>57</v>
      </c>
      <c r="DL8" s="27" t="s">
        <v>57</v>
      </c>
      <c r="DM8" s="27" t="s">
        <v>104</v>
      </c>
      <c r="DN8" s="27" t="s">
        <v>104</v>
      </c>
      <c r="DO8" s="27">
        <v>1</v>
      </c>
      <c r="DP8" s="27">
        <v>1</v>
      </c>
      <c r="DQ8" s="27">
        <v>1</v>
      </c>
      <c r="DR8" s="27">
        <v>1</v>
      </c>
      <c r="DS8" s="27">
        <v>1</v>
      </c>
      <c r="DT8" s="27">
        <v>1</v>
      </c>
      <c r="DU8" s="27">
        <v>1</v>
      </c>
      <c r="DV8" s="27">
        <v>1</v>
      </c>
      <c r="DW8" s="27">
        <v>1</v>
      </c>
      <c r="DX8" s="27">
        <v>1</v>
      </c>
      <c r="DY8" s="27">
        <v>1</v>
      </c>
      <c r="DZ8" s="27">
        <v>1</v>
      </c>
      <c r="EA8" s="27">
        <v>1</v>
      </c>
      <c r="EB8" s="27">
        <v>1</v>
      </c>
      <c r="EC8" s="27">
        <v>1</v>
      </c>
      <c r="ED8" s="27">
        <v>1</v>
      </c>
      <c r="EE8" s="27">
        <v>1</v>
      </c>
      <c r="EF8" s="27">
        <v>1</v>
      </c>
      <c r="EG8" s="27">
        <v>1</v>
      </c>
      <c r="EH8" s="27">
        <v>1</v>
      </c>
      <c r="EI8" s="27">
        <f t="shared" si="64"/>
        <v>10</v>
      </c>
      <c r="EJ8" s="27">
        <f t="shared" si="65"/>
        <v>10</v>
      </c>
      <c r="EK8" s="28" t="s">
        <v>112</v>
      </c>
      <c r="EL8" s="29">
        <v>2022</v>
      </c>
      <c r="EM8" s="2" t="str">
        <f t="shared" si="0"/>
        <v>Y</v>
      </c>
      <c r="EN8" s="2" t="str">
        <f t="shared" si="1"/>
        <v>Y</v>
      </c>
      <c r="EO8" s="2" t="str">
        <f t="shared" si="2"/>
        <v>Y</v>
      </c>
      <c r="EP8" s="2" t="str">
        <f t="shared" si="3"/>
        <v>Y</v>
      </c>
      <c r="EQ8" s="2" t="str">
        <f t="shared" si="4"/>
        <v>Y</v>
      </c>
      <c r="ER8" s="2" t="str">
        <f t="shared" si="5"/>
        <v>Y</v>
      </c>
      <c r="ES8" s="2" t="str">
        <f t="shared" si="6"/>
        <v>Y</v>
      </c>
      <c r="ET8" s="2" t="str">
        <f t="shared" si="7"/>
        <v>Y</v>
      </c>
      <c r="EU8" s="2" t="str">
        <f t="shared" si="8"/>
        <v>Y</v>
      </c>
      <c r="EV8" s="2" t="str">
        <f t="shared" si="9"/>
        <v>Y</v>
      </c>
      <c r="EW8" s="2" t="str">
        <f t="shared" si="10"/>
        <v>Y</v>
      </c>
      <c r="EX8" s="2" t="str">
        <f t="shared" si="11"/>
        <v>Y</v>
      </c>
      <c r="EY8" s="2" t="str">
        <f t="shared" si="12"/>
        <v>Y</v>
      </c>
      <c r="EZ8" s="2" t="str">
        <f t="shared" si="13"/>
        <v>Y</v>
      </c>
      <c r="FA8" s="2" t="str">
        <f t="shared" si="14"/>
        <v>Y</v>
      </c>
      <c r="FB8" s="2" t="str">
        <f t="shared" si="15"/>
        <v>Y</v>
      </c>
      <c r="FC8" s="2" t="str">
        <f t="shared" si="16"/>
        <v>Y</v>
      </c>
      <c r="FD8" s="2" t="str">
        <f t="shared" si="17"/>
        <v>Y</v>
      </c>
      <c r="FE8" s="2" t="str">
        <f t="shared" si="18"/>
        <v>Y</v>
      </c>
      <c r="FF8" s="2" t="str">
        <f t="shared" si="19"/>
        <v>Y</v>
      </c>
      <c r="FG8" s="2" t="str">
        <f t="shared" si="20"/>
        <v>Y</v>
      </c>
      <c r="FH8" s="2" t="str">
        <f t="shared" si="21"/>
        <v>Y</v>
      </c>
      <c r="FI8" s="2" t="str">
        <f t="shared" si="22"/>
        <v>Y</v>
      </c>
      <c r="FJ8" s="2" t="str">
        <f t="shared" si="23"/>
        <v>Y</v>
      </c>
      <c r="FK8" s="2" t="str">
        <f t="shared" si="24"/>
        <v>Y</v>
      </c>
      <c r="FL8" s="2" t="str">
        <f t="shared" si="25"/>
        <v>Y</v>
      </c>
      <c r="FM8" s="2" t="str">
        <f t="shared" si="26"/>
        <v>Y</v>
      </c>
      <c r="FN8" s="2" t="str">
        <f t="shared" si="27"/>
        <v>Y</v>
      </c>
      <c r="FO8" s="2" t="str">
        <f t="shared" si="28"/>
        <v>Y</v>
      </c>
      <c r="FP8" s="2" t="str">
        <f t="shared" si="29"/>
        <v>Y</v>
      </c>
      <c r="FQ8" s="2" t="str">
        <f t="shared" si="30"/>
        <v>Y</v>
      </c>
      <c r="FR8" s="2" t="str">
        <f t="shared" si="31"/>
        <v>Y</v>
      </c>
      <c r="FS8" s="2" t="str">
        <f t="shared" si="32"/>
        <v>Y</v>
      </c>
      <c r="FT8" s="2" t="str">
        <f t="shared" si="33"/>
        <v>Y</v>
      </c>
      <c r="FU8" s="2" t="str">
        <f t="shared" si="34"/>
        <v>Y</v>
      </c>
      <c r="FV8" s="2" t="str">
        <f t="shared" si="35"/>
        <v>Y</v>
      </c>
      <c r="FW8" s="2" t="str">
        <f t="shared" si="36"/>
        <v>Y</v>
      </c>
      <c r="FX8" s="2" t="str">
        <f t="shared" si="37"/>
        <v>Y</v>
      </c>
      <c r="FY8" s="2" t="str">
        <f t="shared" si="38"/>
        <v>Y</v>
      </c>
      <c r="FZ8" s="2" t="str">
        <f t="shared" si="39"/>
        <v>Y</v>
      </c>
      <c r="GA8" s="2" t="str">
        <f t="shared" si="40"/>
        <v>Y</v>
      </c>
      <c r="GB8" s="2" t="str">
        <f t="shared" si="41"/>
        <v>Y</v>
      </c>
      <c r="GC8" s="2" t="str">
        <f t="shared" si="42"/>
        <v>Y</v>
      </c>
      <c r="GD8" s="2" t="str">
        <f t="shared" si="43"/>
        <v>Y</v>
      </c>
      <c r="GE8" s="2" t="str">
        <f t="shared" si="44"/>
        <v>Y</v>
      </c>
      <c r="GF8" s="2" t="str">
        <f t="shared" si="45"/>
        <v>Y</v>
      </c>
      <c r="GG8" s="2" t="str">
        <f t="shared" si="46"/>
        <v>Y</v>
      </c>
      <c r="GH8" s="2" t="str">
        <f t="shared" si="47"/>
        <v>Y</v>
      </c>
      <c r="GI8" s="2" t="str">
        <f t="shared" si="48"/>
        <v>Y</v>
      </c>
      <c r="GJ8" s="2" t="str">
        <f t="shared" si="49"/>
        <v>Y</v>
      </c>
      <c r="GK8" s="2" t="str">
        <f t="shared" si="50"/>
        <v>Y</v>
      </c>
      <c r="GL8" s="2" t="str">
        <f t="shared" si="51"/>
        <v>Y</v>
      </c>
      <c r="GM8" s="2" t="str">
        <f t="shared" si="66"/>
        <v>Y</v>
      </c>
      <c r="GN8" s="2" t="str">
        <f t="shared" si="67"/>
        <v>Y</v>
      </c>
      <c r="GO8" s="2" t="str">
        <f t="shared" si="68"/>
        <v>Y</v>
      </c>
      <c r="GP8" s="2" t="str">
        <f t="shared" si="69"/>
        <v>Y</v>
      </c>
      <c r="GQ8" s="2" t="str">
        <f t="shared" si="70"/>
        <v>Y</v>
      </c>
      <c r="GR8" s="2" t="str">
        <f t="shared" si="71"/>
        <v>Y</v>
      </c>
      <c r="GS8" s="2" t="str">
        <f t="shared" si="72"/>
        <v>Y</v>
      </c>
      <c r="GT8" s="2" t="str">
        <f t="shared" si="73"/>
        <v>Y</v>
      </c>
      <c r="GU8" s="2" t="str">
        <f t="shared" si="74"/>
        <v>Y</v>
      </c>
      <c r="GV8" s="2" t="str">
        <f t="shared" si="75"/>
        <v>Y</v>
      </c>
      <c r="GW8" s="2" t="str">
        <f t="shared" si="76"/>
        <v>Y</v>
      </c>
      <c r="GX8" s="49" t="str">
        <f t="shared" si="77"/>
        <v>Y</v>
      </c>
      <c r="GY8" s="50"/>
      <c r="GZ8" s="53"/>
    </row>
    <row r="9" spans="1:208" ht="32" x14ac:dyDescent="0.2">
      <c r="A9" s="48" t="s">
        <v>115</v>
      </c>
      <c r="B9" s="27">
        <v>2018</v>
      </c>
      <c r="C9" s="27" t="s">
        <v>57</v>
      </c>
      <c r="D9" s="27" t="s">
        <v>57</v>
      </c>
      <c r="E9" s="2" t="s">
        <v>57</v>
      </c>
      <c r="F9" s="27" t="s">
        <v>57</v>
      </c>
      <c r="G9" s="27" t="s">
        <v>57</v>
      </c>
      <c r="H9" s="27" t="s">
        <v>57</v>
      </c>
      <c r="I9" s="27" t="s">
        <v>57</v>
      </c>
      <c r="J9" s="27" t="s">
        <v>57</v>
      </c>
      <c r="K9" s="27" t="s">
        <v>57</v>
      </c>
      <c r="L9" s="2" t="s">
        <v>57</v>
      </c>
      <c r="M9" s="2" t="s">
        <v>57</v>
      </c>
      <c r="N9" s="2" t="s">
        <v>57</v>
      </c>
      <c r="O9" s="2" t="s">
        <v>57</v>
      </c>
      <c r="P9" s="2" t="s">
        <v>57</v>
      </c>
      <c r="Q9" s="2" t="s">
        <v>57</v>
      </c>
      <c r="R9" s="2" t="s">
        <v>57</v>
      </c>
      <c r="S9" s="2" t="s">
        <v>57</v>
      </c>
      <c r="T9" s="2" t="s">
        <v>57</v>
      </c>
      <c r="U9" s="27">
        <v>160</v>
      </c>
      <c r="V9" s="27">
        <v>160</v>
      </c>
      <c r="W9" s="27" t="s">
        <v>57</v>
      </c>
      <c r="X9" s="27" t="s">
        <v>57</v>
      </c>
      <c r="Y9" s="27" t="s">
        <v>57</v>
      </c>
      <c r="Z9" s="27" t="s">
        <v>57</v>
      </c>
      <c r="AA9" s="27" t="s">
        <v>57</v>
      </c>
      <c r="AB9" s="27" t="s">
        <v>57</v>
      </c>
      <c r="AC9" s="44"/>
      <c r="AD9" s="2" t="s">
        <v>116</v>
      </c>
      <c r="AE9" s="27" t="s">
        <v>116</v>
      </c>
      <c r="AF9" s="27" t="s">
        <v>103</v>
      </c>
      <c r="AG9" s="27" t="s">
        <v>83</v>
      </c>
      <c r="AH9" s="27" t="s">
        <v>83</v>
      </c>
      <c r="AI9" s="27" t="s">
        <v>82</v>
      </c>
      <c r="AJ9" s="27" t="s">
        <v>82</v>
      </c>
      <c r="AK9" s="27" t="s">
        <v>57</v>
      </c>
      <c r="AL9" s="27" t="s">
        <v>57</v>
      </c>
      <c r="AM9" s="27" t="s">
        <v>57</v>
      </c>
      <c r="AN9" s="27" t="s">
        <v>57</v>
      </c>
      <c r="AO9" s="27" t="s">
        <v>57</v>
      </c>
      <c r="AP9" s="27" t="s">
        <v>57</v>
      </c>
      <c r="AQ9" s="27" t="s">
        <v>57</v>
      </c>
      <c r="AR9" s="27" t="s">
        <v>57</v>
      </c>
      <c r="AS9" s="27">
        <v>160</v>
      </c>
      <c r="AT9" s="27">
        <v>160</v>
      </c>
      <c r="AU9" s="27">
        <v>20</v>
      </c>
      <c r="AV9" s="27">
        <v>20</v>
      </c>
      <c r="AW9" s="27" t="s">
        <v>94</v>
      </c>
      <c r="AX9" s="27" t="s">
        <v>312</v>
      </c>
      <c r="AY9" s="27">
        <v>20</v>
      </c>
      <c r="AZ9" s="27">
        <v>20</v>
      </c>
      <c r="BA9" s="27">
        <v>0</v>
      </c>
      <c r="BB9" s="27" t="s">
        <v>85</v>
      </c>
      <c r="BC9" s="27">
        <v>3</v>
      </c>
      <c r="BD9" s="27">
        <v>3</v>
      </c>
      <c r="BE9" s="27">
        <v>15</v>
      </c>
      <c r="BF9" s="27">
        <v>15</v>
      </c>
      <c r="BG9" s="27">
        <v>0</v>
      </c>
      <c r="BH9" s="27">
        <v>0</v>
      </c>
      <c r="BI9" s="27">
        <v>0</v>
      </c>
      <c r="BJ9" s="27">
        <v>0</v>
      </c>
      <c r="BK9" s="27">
        <v>0</v>
      </c>
      <c r="BL9" s="27">
        <v>0</v>
      </c>
      <c r="BM9" s="27">
        <v>2</v>
      </c>
      <c r="BN9" s="27">
        <v>2</v>
      </c>
      <c r="BO9" s="27">
        <v>0</v>
      </c>
      <c r="BP9" s="27">
        <v>0</v>
      </c>
      <c r="BQ9" s="27">
        <v>0</v>
      </c>
      <c r="BR9" s="27">
        <v>0</v>
      </c>
      <c r="BS9" s="27">
        <v>0</v>
      </c>
      <c r="BT9" s="27">
        <v>0</v>
      </c>
      <c r="BU9" s="27">
        <v>0</v>
      </c>
      <c r="BV9" s="27">
        <v>0</v>
      </c>
      <c r="BW9" s="27">
        <v>0</v>
      </c>
      <c r="BX9" s="27">
        <v>0</v>
      </c>
      <c r="BY9" s="27">
        <v>0</v>
      </c>
      <c r="BZ9" s="27">
        <v>0</v>
      </c>
      <c r="CA9" s="27">
        <v>0</v>
      </c>
      <c r="CB9" s="27">
        <v>0</v>
      </c>
      <c r="CC9" s="27">
        <v>0</v>
      </c>
      <c r="CD9" s="27">
        <v>0</v>
      </c>
      <c r="CE9" s="27">
        <v>0</v>
      </c>
      <c r="CF9" s="27">
        <v>0</v>
      </c>
      <c r="CG9" s="27" t="s">
        <v>57</v>
      </c>
      <c r="CH9" s="27" t="s">
        <v>57</v>
      </c>
      <c r="CI9" s="27" t="s">
        <v>57</v>
      </c>
      <c r="CJ9" s="27" t="s">
        <v>57</v>
      </c>
      <c r="CK9" s="27" t="s">
        <v>57</v>
      </c>
      <c r="CL9" s="27" t="s">
        <v>57</v>
      </c>
      <c r="CM9" s="27" t="s">
        <v>108</v>
      </c>
      <c r="CN9" s="27" t="s">
        <v>83</v>
      </c>
      <c r="CO9" s="27" t="s">
        <v>57</v>
      </c>
      <c r="CP9" s="27" t="s">
        <v>57</v>
      </c>
      <c r="CQ9" s="27" t="s">
        <v>57</v>
      </c>
      <c r="CR9" s="30" t="s">
        <v>57</v>
      </c>
      <c r="CS9" s="27" t="s">
        <v>57</v>
      </c>
      <c r="CT9" s="27" t="s">
        <v>57</v>
      </c>
      <c r="CU9" s="27" t="s">
        <v>57</v>
      </c>
      <c r="CV9" s="27" t="s">
        <v>57</v>
      </c>
      <c r="CW9" s="27" t="s">
        <v>57</v>
      </c>
      <c r="CX9" s="27" t="s">
        <v>57</v>
      </c>
      <c r="CY9" s="27" t="s">
        <v>57</v>
      </c>
      <c r="CZ9" s="27" t="s">
        <v>57</v>
      </c>
      <c r="DA9" s="27" t="s">
        <v>57</v>
      </c>
      <c r="DB9" s="27" t="s">
        <v>57</v>
      </c>
      <c r="DC9" s="27" t="s">
        <v>57</v>
      </c>
      <c r="DD9" s="2" t="s">
        <v>57</v>
      </c>
      <c r="DE9" s="27" t="s">
        <v>57</v>
      </c>
      <c r="DF9" s="27" t="s">
        <v>57</v>
      </c>
      <c r="DG9" s="27" t="s">
        <v>57</v>
      </c>
      <c r="DH9" s="27" t="s">
        <v>57</v>
      </c>
      <c r="DI9" s="27" t="s">
        <v>87</v>
      </c>
      <c r="DJ9" s="27" t="s">
        <v>87</v>
      </c>
      <c r="DK9" s="27" t="s">
        <v>57</v>
      </c>
      <c r="DL9" s="27" t="s">
        <v>57</v>
      </c>
      <c r="DM9" s="27" t="s">
        <v>57</v>
      </c>
      <c r="DN9" s="27" t="s">
        <v>57</v>
      </c>
      <c r="DO9" s="27">
        <v>1</v>
      </c>
      <c r="DP9" s="27">
        <v>1</v>
      </c>
      <c r="DQ9" s="27">
        <v>1</v>
      </c>
      <c r="DR9" s="27">
        <v>0</v>
      </c>
      <c r="DS9" s="27">
        <v>1</v>
      </c>
      <c r="DT9" s="27">
        <v>1</v>
      </c>
      <c r="DU9" s="27">
        <v>1</v>
      </c>
      <c r="DV9" s="27">
        <v>1</v>
      </c>
      <c r="DW9" s="27">
        <v>1</v>
      </c>
      <c r="DX9" s="27">
        <v>1</v>
      </c>
      <c r="DY9" s="27">
        <v>1</v>
      </c>
      <c r="DZ9" s="27">
        <v>1</v>
      </c>
      <c r="EA9" s="27">
        <v>1</v>
      </c>
      <c r="EB9" s="27">
        <v>1</v>
      </c>
      <c r="EC9" s="27">
        <v>1</v>
      </c>
      <c r="ED9" s="27">
        <v>1</v>
      </c>
      <c r="EE9" s="27">
        <v>1</v>
      </c>
      <c r="EF9" s="27">
        <v>1</v>
      </c>
      <c r="EG9" s="27">
        <v>1</v>
      </c>
      <c r="EH9" s="27">
        <v>1</v>
      </c>
      <c r="EI9" s="27">
        <f t="shared" si="64"/>
        <v>10</v>
      </c>
      <c r="EJ9" s="27">
        <v>9</v>
      </c>
      <c r="EK9" s="48" t="s">
        <v>115</v>
      </c>
      <c r="EL9" s="58">
        <v>2018</v>
      </c>
      <c r="EM9" s="2"/>
      <c r="EN9" s="2"/>
      <c r="EO9" s="2"/>
      <c r="EP9" s="2"/>
      <c r="EQ9" s="2" t="str">
        <f t="shared" si="4"/>
        <v>Y</v>
      </c>
      <c r="ER9" s="2" t="str">
        <f t="shared" si="5"/>
        <v>Y</v>
      </c>
      <c r="ES9" s="2" t="str">
        <f t="shared" si="6"/>
        <v>Y</v>
      </c>
      <c r="ET9" s="2" t="str">
        <f t="shared" si="7"/>
        <v>Y</v>
      </c>
      <c r="EU9" s="2" t="str">
        <f t="shared" si="8"/>
        <v>Y</v>
      </c>
      <c r="EV9" s="2" t="str">
        <f t="shared" si="9"/>
        <v>Y</v>
      </c>
      <c r="EW9" s="2"/>
      <c r="EX9" s="2"/>
      <c r="EY9" s="2"/>
      <c r="EZ9" s="2" t="str">
        <f t="shared" si="13"/>
        <v>Y</v>
      </c>
      <c r="FA9" s="2" t="str">
        <f t="shared" si="14"/>
        <v>Y</v>
      </c>
      <c r="FB9" s="2" t="str">
        <f t="shared" si="15"/>
        <v>Y</v>
      </c>
      <c r="FC9" s="2"/>
      <c r="FD9" s="2"/>
      <c r="FE9" s="2"/>
      <c r="FF9" s="2" t="str">
        <f t="shared" si="19"/>
        <v>Y</v>
      </c>
      <c r="FG9" s="2" t="str">
        <f t="shared" si="20"/>
        <v>Y</v>
      </c>
      <c r="FH9" s="2" t="str">
        <f t="shared" si="21"/>
        <v>N</v>
      </c>
      <c r="FI9" s="2"/>
      <c r="FJ9" s="2"/>
      <c r="FK9" s="2" t="str">
        <f t="shared" si="24"/>
        <v>Y</v>
      </c>
      <c r="FL9" s="2"/>
      <c r="FM9" s="2"/>
      <c r="FN9" s="2"/>
      <c r="FO9" s="2"/>
      <c r="FP9" s="2"/>
      <c r="FQ9" s="2"/>
      <c r="FR9" s="2"/>
      <c r="FS9" s="2"/>
      <c r="FT9" s="2"/>
      <c r="FU9" s="2"/>
      <c r="FV9" s="2"/>
      <c r="FW9" s="2"/>
      <c r="FX9" s="2"/>
      <c r="FY9" s="2"/>
      <c r="FZ9" s="2" t="str">
        <f t="shared" si="39"/>
        <v>Y</v>
      </c>
      <c r="GA9" s="2" t="str">
        <f t="shared" si="40"/>
        <v>Y</v>
      </c>
      <c r="GB9" s="2" t="str">
        <f t="shared" si="41"/>
        <v>Y</v>
      </c>
      <c r="GC9" s="2" t="str">
        <f t="shared" si="42"/>
        <v>N</v>
      </c>
      <c r="GD9" s="2" t="str">
        <f t="shared" si="43"/>
        <v>Y</v>
      </c>
      <c r="GE9" s="2" t="str">
        <f t="shared" si="44"/>
        <v>Y</v>
      </c>
      <c r="GF9" s="2" t="str">
        <f t="shared" si="45"/>
        <v>Y</v>
      </c>
      <c r="GG9" s="2" t="str">
        <f t="shared" si="46"/>
        <v>Y</v>
      </c>
      <c r="GH9" s="2" t="str">
        <f t="shared" si="47"/>
        <v>Y</v>
      </c>
      <c r="GI9" s="2" t="str">
        <f t="shared" si="48"/>
        <v>Y</v>
      </c>
      <c r="GJ9" s="2" t="str">
        <f t="shared" si="49"/>
        <v>Y</v>
      </c>
      <c r="GK9" s="2" t="str">
        <f t="shared" si="50"/>
        <v>Y</v>
      </c>
      <c r="GL9" s="2" t="str">
        <f t="shared" si="51"/>
        <v>Y</v>
      </c>
      <c r="GM9" s="2" t="str">
        <f t="shared" si="66"/>
        <v>Y</v>
      </c>
      <c r="GN9" s="2" t="str">
        <f t="shared" si="67"/>
        <v>Y</v>
      </c>
      <c r="GO9" s="2" t="str">
        <f t="shared" si="68"/>
        <v>N</v>
      </c>
      <c r="GP9" s="2" t="str">
        <f t="shared" si="69"/>
        <v>Y</v>
      </c>
      <c r="GQ9" s="2" t="str">
        <f t="shared" si="70"/>
        <v>Y</v>
      </c>
      <c r="GR9" s="2" t="str">
        <f t="shared" si="71"/>
        <v>Y</v>
      </c>
      <c r="GS9" s="2" t="str">
        <f t="shared" si="72"/>
        <v>Y</v>
      </c>
      <c r="GT9" s="2" t="str">
        <f t="shared" si="73"/>
        <v>Y</v>
      </c>
      <c r="GU9" s="2" t="str">
        <f t="shared" si="74"/>
        <v>Y</v>
      </c>
      <c r="GV9" s="2" t="str">
        <f t="shared" si="75"/>
        <v>Y</v>
      </c>
      <c r="GW9" s="2" t="str">
        <f t="shared" si="76"/>
        <v>Y</v>
      </c>
      <c r="GX9" s="49"/>
      <c r="GY9" s="50"/>
      <c r="GZ9" s="53"/>
    </row>
    <row r="10" spans="1:208" ht="32" x14ac:dyDescent="0.2">
      <c r="A10" s="26" t="s">
        <v>117</v>
      </c>
      <c r="B10" s="27">
        <v>2021</v>
      </c>
      <c r="C10" s="27">
        <v>61</v>
      </c>
      <c r="D10" s="27">
        <v>61</v>
      </c>
      <c r="E10" s="2">
        <v>44</v>
      </c>
      <c r="F10" s="27">
        <v>44</v>
      </c>
      <c r="G10" s="27" t="s">
        <v>57</v>
      </c>
      <c r="H10" s="27" t="s">
        <v>57</v>
      </c>
      <c r="I10" s="27" t="s">
        <v>57</v>
      </c>
      <c r="J10" s="27" t="s">
        <v>57</v>
      </c>
      <c r="K10" s="27" t="s">
        <v>57</v>
      </c>
      <c r="L10" s="2" t="s">
        <v>57</v>
      </c>
      <c r="M10" s="2" t="s">
        <v>57</v>
      </c>
      <c r="N10" s="2" t="s">
        <v>57</v>
      </c>
      <c r="O10" s="2" t="s">
        <v>57</v>
      </c>
      <c r="P10" s="2" t="s">
        <v>57</v>
      </c>
      <c r="Q10" s="2" t="s">
        <v>57</v>
      </c>
      <c r="R10" s="2" t="s">
        <v>57</v>
      </c>
      <c r="S10" s="2" t="s">
        <v>57</v>
      </c>
      <c r="T10" s="2" t="s">
        <v>57</v>
      </c>
      <c r="U10" s="27">
        <v>0</v>
      </c>
      <c r="V10" s="27">
        <v>0</v>
      </c>
      <c r="W10" s="27">
        <v>105</v>
      </c>
      <c r="X10" s="27">
        <v>105</v>
      </c>
      <c r="Y10" s="27">
        <v>0</v>
      </c>
      <c r="Z10" s="27">
        <v>0</v>
      </c>
      <c r="AA10" s="27">
        <v>0</v>
      </c>
      <c r="AB10" s="27">
        <v>0</v>
      </c>
      <c r="AC10" s="44" t="s">
        <v>101</v>
      </c>
      <c r="AD10" s="2" t="s">
        <v>118</v>
      </c>
      <c r="AE10" s="27" t="s">
        <v>118</v>
      </c>
      <c r="AF10" s="27" t="s">
        <v>103</v>
      </c>
      <c r="AG10" s="27" t="s">
        <v>82</v>
      </c>
      <c r="AH10" s="27" t="s">
        <v>82</v>
      </c>
      <c r="AI10" s="27" t="s">
        <v>83</v>
      </c>
      <c r="AJ10" s="27" t="s">
        <v>83</v>
      </c>
      <c r="AK10" s="27" t="s">
        <v>83</v>
      </c>
      <c r="AL10" s="27" t="s">
        <v>83</v>
      </c>
      <c r="AM10" s="27">
        <v>105</v>
      </c>
      <c r="AN10" s="27">
        <v>105</v>
      </c>
      <c r="AO10" s="27">
        <v>0</v>
      </c>
      <c r="AP10" s="27">
        <v>0</v>
      </c>
      <c r="AQ10" s="27">
        <v>0</v>
      </c>
      <c r="AR10" s="27">
        <v>0</v>
      </c>
      <c r="AS10" s="27">
        <v>105</v>
      </c>
      <c r="AT10" s="27">
        <v>105</v>
      </c>
      <c r="AU10" s="27">
        <v>4</v>
      </c>
      <c r="AV10" s="27">
        <v>4</v>
      </c>
      <c r="AW10" s="27" t="s">
        <v>94</v>
      </c>
      <c r="AX10" s="27" t="s">
        <v>94</v>
      </c>
      <c r="AY10" s="27">
        <v>4</v>
      </c>
      <c r="AZ10" s="27">
        <v>4</v>
      </c>
      <c r="BA10" s="27">
        <v>0</v>
      </c>
      <c r="BB10" s="27">
        <v>0</v>
      </c>
      <c r="BC10" s="27">
        <v>0</v>
      </c>
      <c r="BD10" s="27">
        <v>0</v>
      </c>
      <c r="BE10" s="27">
        <v>0</v>
      </c>
      <c r="BF10" s="27">
        <v>0</v>
      </c>
      <c r="BG10" s="27">
        <v>0</v>
      </c>
      <c r="BH10" s="27">
        <v>0</v>
      </c>
      <c r="BI10" s="27">
        <v>0</v>
      </c>
      <c r="BJ10" s="27">
        <v>0</v>
      </c>
      <c r="BK10" s="27">
        <v>0</v>
      </c>
      <c r="BL10" s="27">
        <v>0</v>
      </c>
      <c r="BM10" s="27">
        <v>0</v>
      </c>
      <c r="BN10" s="27">
        <v>0</v>
      </c>
      <c r="BO10" s="27">
        <v>1</v>
      </c>
      <c r="BP10" s="27">
        <v>1</v>
      </c>
      <c r="BQ10" s="27">
        <v>0</v>
      </c>
      <c r="BR10" s="27">
        <v>0</v>
      </c>
      <c r="BS10" s="27">
        <v>1</v>
      </c>
      <c r="BT10" s="27">
        <v>1</v>
      </c>
      <c r="BU10" s="27">
        <v>1</v>
      </c>
      <c r="BV10" s="27">
        <v>1</v>
      </c>
      <c r="BW10" s="27">
        <v>0</v>
      </c>
      <c r="BX10" s="27">
        <v>0</v>
      </c>
      <c r="BY10" s="27">
        <v>0</v>
      </c>
      <c r="BZ10" s="27">
        <v>0</v>
      </c>
      <c r="CA10" s="27">
        <v>1</v>
      </c>
      <c r="CB10" s="27">
        <v>1</v>
      </c>
      <c r="CC10" s="27">
        <v>0</v>
      </c>
      <c r="CD10" s="27">
        <v>0</v>
      </c>
      <c r="CE10" s="27">
        <v>0</v>
      </c>
      <c r="CF10" s="27">
        <v>0</v>
      </c>
      <c r="CG10" s="27" t="s">
        <v>86</v>
      </c>
      <c r="CH10" s="27" t="s">
        <v>86</v>
      </c>
      <c r="CI10" s="27" t="s">
        <v>57</v>
      </c>
      <c r="CJ10" s="27" t="s">
        <v>57</v>
      </c>
      <c r="CK10" s="27" t="s">
        <v>57</v>
      </c>
      <c r="CL10" s="27" t="s">
        <v>57</v>
      </c>
      <c r="CM10" s="27" t="s">
        <v>119</v>
      </c>
      <c r="CN10" s="27" t="s">
        <v>119</v>
      </c>
      <c r="CO10" s="27" t="s">
        <v>86</v>
      </c>
      <c r="CP10" s="27" t="s">
        <v>86</v>
      </c>
      <c r="CQ10" s="27" t="s">
        <v>86</v>
      </c>
      <c r="CR10" s="27" t="s">
        <v>86</v>
      </c>
      <c r="CS10" s="27" t="s">
        <v>86</v>
      </c>
      <c r="CT10" s="27" t="s">
        <v>86</v>
      </c>
      <c r="CU10" s="27" t="s">
        <v>86</v>
      </c>
      <c r="CV10" s="27" t="s">
        <v>86</v>
      </c>
      <c r="CW10" s="27" t="s">
        <v>57</v>
      </c>
      <c r="CX10" s="27" t="s">
        <v>57</v>
      </c>
      <c r="CY10" s="27" t="s">
        <v>86</v>
      </c>
      <c r="CZ10" s="27" t="s">
        <v>86</v>
      </c>
      <c r="DA10" s="27" t="s">
        <v>57</v>
      </c>
      <c r="DB10" s="27" t="s">
        <v>57</v>
      </c>
      <c r="DC10" s="27" t="s">
        <v>57</v>
      </c>
      <c r="DD10" s="2" t="s">
        <v>57</v>
      </c>
      <c r="DE10" s="27" t="s">
        <v>57</v>
      </c>
      <c r="DF10" s="27" t="s">
        <v>57</v>
      </c>
      <c r="DG10" s="27" t="s">
        <v>57</v>
      </c>
      <c r="DH10" s="27" t="s">
        <v>57</v>
      </c>
      <c r="DI10" s="27" t="s">
        <v>87</v>
      </c>
      <c r="DJ10" s="27" t="s">
        <v>120</v>
      </c>
      <c r="DK10" s="27" t="s">
        <v>96</v>
      </c>
      <c r="DL10" s="27" t="s">
        <v>121</v>
      </c>
      <c r="DM10" s="27" t="s">
        <v>89</v>
      </c>
      <c r="DN10" s="27" t="s">
        <v>89</v>
      </c>
      <c r="DO10" s="27">
        <v>1</v>
      </c>
      <c r="DP10" s="27">
        <v>1</v>
      </c>
      <c r="DQ10" s="27">
        <v>1</v>
      </c>
      <c r="DR10" s="27">
        <v>1</v>
      </c>
      <c r="DS10" s="27">
        <v>1</v>
      </c>
      <c r="DT10" s="27">
        <v>1</v>
      </c>
      <c r="DU10" s="27">
        <v>1</v>
      </c>
      <c r="DV10" s="27">
        <v>1</v>
      </c>
      <c r="DW10" s="27">
        <v>1</v>
      </c>
      <c r="DX10" s="27">
        <v>1</v>
      </c>
      <c r="DY10" s="27">
        <v>1</v>
      </c>
      <c r="DZ10" s="27">
        <v>1</v>
      </c>
      <c r="EA10" s="27">
        <v>1</v>
      </c>
      <c r="EB10" s="27">
        <v>1</v>
      </c>
      <c r="EC10" s="27">
        <v>1</v>
      </c>
      <c r="ED10" s="27">
        <v>1</v>
      </c>
      <c r="EE10" s="27">
        <v>1</v>
      </c>
      <c r="EF10" s="27">
        <v>1</v>
      </c>
      <c r="EG10" s="27">
        <v>1</v>
      </c>
      <c r="EH10" s="27">
        <v>1</v>
      </c>
      <c r="EI10" s="27">
        <f t="shared" si="64"/>
        <v>10</v>
      </c>
      <c r="EJ10" s="27">
        <f t="shared" si="65"/>
        <v>10</v>
      </c>
      <c r="EK10" s="28" t="s">
        <v>117</v>
      </c>
      <c r="EL10" s="59">
        <v>2021</v>
      </c>
      <c r="EM10" s="2" t="str">
        <f t="shared" si="0"/>
        <v>Y</v>
      </c>
      <c r="EN10" s="2" t="str">
        <f t="shared" si="1"/>
        <v>Y</v>
      </c>
      <c r="EO10" s="2" t="str">
        <f t="shared" si="2"/>
        <v>Y</v>
      </c>
      <c r="EP10" s="2" t="str">
        <f t="shared" si="3"/>
        <v>Y</v>
      </c>
      <c r="EQ10" s="2" t="str">
        <f t="shared" si="4"/>
        <v>Y</v>
      </c>
      <c r="ER10" s="2" t="str">
        <f t="shared" si="5"/>
        <v>Y</v>
      </c>
      <c r="ES10" s="2" t="str">
        <f t="shared" si="6"/>
        <v>Y</v>
      </c>
      <c r="ET10" s="2" t="str">
        <f t="shared" si="7"/>
        <v>Y</v>
      </c>
      <c r="EU10" s="2" t="str">
        <f t="shared" si="8"/>
        <v>Y</v>
      </c>
      <c r="EV10" s="2" t="str">
        <f t="shared" si="9"/>
        <v>Y</v>
      </c>
      <c r="EW10" s="2" t="str">
        <f t="shared" si="10"/>
        <v>Y</v>
      </c>
      <c r="EX10" s="2" t="str">
        <f t="shared" si="11"/>
        <v>Y</v>
      </c>
      <c r="EY10" s="2" t="str">
        <f t="shared" si="12"/>
        <v>Y</v>
      </c>
      <c r="EZ10" s="2" t="str">
        <f t="shared" si="13"/>
        <v>Y</v>
      </c>
      <c r="FA10" s="2" t="str">
        <f t="shared" si="14"/>
        <v>Y</v>
      </c>
      <c r="FB10" s="2" t="str">
        <f t="shared" si="15"/>
        <v>Y</v>
      </c>
      <c r="FC10" s="2" t="str">
        <f t="shared" si="16"/>
        <v>Y</v>
      </c>
      <c r="FD10" s="2" t="str">
        <f t="shared" si="17"/>
        <v>Y</v>
      </c>
      <c r="FE10" s="2" t="str">
        <f t="shared" si="18"/>
        <v>Y</v>
      </c>
      <c r="FF10" s="2" t="str">
        <f t="shared" si="19"/>
        <v>Y</v>
      </c>
      <c r="FG10" s="2" t="str">
        <f t="shared" si="20"/>
        <v>Y</v>
      </c>
      <c r="FH10" s="2" t="str">
        <f t="shared" si="21"/>
        <v>Y</v>
      </c>
      <c r="FI10" s="2" t="str">
        <f t="shared" si="22"/>
        <v>Y</v>
      </c>
      <c r="FJ10" s="2" t="str">
        <f t="shared" si="23"/>
        <v>Y</v>
      </c>
      <c r="FK10" s="2" t="str">
        <f t="shared" si="24"/>
        <v>Y</v>
      </c>
      <c r="FL10" s="2" t="str">
        <f t="shared" si="25"/>
        <v>Y</v>
      </c>
      <c r="FM10" s="2" t="str">
        <f t="shared" si="26"/>
        <v>Y</v>
      </c>
      <c r="FN10" s="2" t="str">
        <f t="shared" si="27"/>
        <v>Y</v>
      </c>
      <c r="FO10" s="2" t="str">
        <f t="shared" si="28"/>
        <v>Y</v>
      </c>
      <c r="FP10" s="2" t="str">
        <f t="shared" si="29"/>
        <v>Y</v>
      </c>
      <c r="FQ10" s="2" t="str">
        <f t="shared" si="30"/>
        <v>Y</v>
      </c>
      <c r="FR10" s="2" t="str">
        <f t="shared" si="31"/>
        <v>Y</v>
      </c>
      <c r="FS10" s="2" t="str">
        <f t="shared" si="32"/>
        <v>Y</v>
      </c>
      <c r="FT10" s="2" t="str">
        <f t="shared" si="33"/>
        <v>Y</v>
      </c>
      <c r="FU10" s="2" t="str">
        <f t="shared" si="34"/>
        <v>Y</v>
      </c>
      <c r="FV10" s="2" t="str">
        <f t="shared" si="35"/>
        <v>Y</v>
      </c>
      <c r="FW10" s="2" t="str">
        <f t="shared" si="36"/>
        <v>Y</v>
      </c>
      <c r="FX10" s="2" t="str">
        <f t="shared" si="37"/>
        <v>Y</v>
      </c>
      <c r="FY10" s="2" t="str">
        <f t="shared" si="38"/>
        <v>Y</v>
      </c>
      <c r="FZ10" s="2" t="str">
        <f t="shared" si="39"/>
        <v>Y</v>
      </c>
      <c r="GA10" s="2" t="str">
        <f t="shared" si="40"/>
        <v>Y</v>
      </c>
      <c r="GB10" s="2" t="str">
        <f t="shared" si="41"/>
        <v>Y</v>
      </c>
      <c r="GC10" s="2" t="str">
        <f t="shared" si="42"/>
        <v>Y</v>
      </c>
      <c r="GD10" s="2" t="str">
        <f t="shared" si="43"/>
        <v>Y</v>
      </c>
      <c r="GE10" s="2" t="str">
        <f t="shared" si="44"/>
        <v>Y</v>
      </c>
      <c r="GF10" s="2" t="str">
        <f t="shared" si="45"/>
        <v>Y</v>
      </c>
      <c r="GG10" s="2" t="str">
        <f t="shared" si="46"/>
        <v>Y</v>
      </c>
      <c r="GH10" s="2" t="str">
        <f t="shared" si="47"/>
        <v>Y</v>
      </c>
      <c r="GI10" s="2" t="str">
        <f t="shared" si="48"/>
        <v>Y</v>
      </c>
      <c r="GJ10" s="2" t="str">
        <f t="shared" si="49"/>
        <v>Y</v>
      </c>
      <c r="GK10" s="2" t="str">
        <f t="shared" si="50"/>
        <v>Y</v>
      </c>
      <c r="GL10" s="2" t="str">
        <f t="shared" si="51"/>
        <v>Y</v>
      </c>
      <c r="GM10" s="2" t="str">
        <f t="shared" si="66"/>
        <v>Y</v>
      </c>
      <c r="GN10" s="2" t="str">
        <f t="shared" si="67"/>
        <v>Y</v>
      </c>
      <c r="GO10" s="2" t="str">
        <f t="shared" si="68"/>
        <v>Y</v>
      </c>
      <c r="GP10" s="2" t="str">
        <f t="shared" si="69"/>
        <v>Y</v>
      </c>
      <c r="GQ10" s="2" t="str">
        <f t="shared" si="70"/>
        <v>Y</v>
      </c>
      <c r="GR10" s="2" t="str">
        <f t="shared" si="71"/>
        <v>Y</v>
      </c>
      <c r="GS10" s="2" t="str">
        <f t="shared" si="72"/>
        <v>Y</v>
      </c>
      <c r="GT10" s="2" t="str">
        <f t="shared" si="73"/>
        <v>Y</v>
      </c>
      <c r="GU10" s="2" t="str">
        <f t="shared" si="74"/>
        <v>Y</v>
      </c>
      <c r="GV10" s="2" t="str">
        <f t="shared" si="75"/>
        <v>Y</v>
      </c>
      <c r="GW10" s="2" t="str">
        <f t="shared" si="76"/>
        <v>Y</v>
      </c>
      <c r="GX10" s="49" t="str">
        <f t="shared" si="77"/>
        <v>Y</v>
      </c>
      <c r="GY10" s="50"/>
      <c r="GZ10" s="53"/>
    </row>
    <row r="11" spans="1:208" ht="16" x14ac:dyDescent="0.2">
      <c r="A11" s="26" t="s">
        <v>122</v>
      </c>
      <c r="B11" s="27">
        <v>2019</v>
      </c>
      <c r="C11" s="27">
        <v>480</v>
      </c>
      <c r="D11" s="27">
        <v>480</v>
      </c>
      <c r="E11" s="2">
        <v>325</v>
      </c>
      <c r="F11" s="27">
        <v>325</v>
      </c>
      <c r="G11" s="27" t="s">
        <v>57</v>
      </c>
      <c r="H11" s="27" t="s">
        <v>57</v>
      </c>
      <c r="I11" s="27" t="s">
        <v>57</v>
      </c>
      <c r="J11" s="27" t="s">
        <v>57</v>
      </c>
      <c r="K11" s="27">
        <v>32</v>
      </c>
      <c r="L11" s="2">
        <v>32</v>
      </c>
      <c r="M11" s="2" t="s">
        <v>57</v>
      </c>
      <c r="N11" s="2" t="s">
        <v>57</v>
      </c>
      <c r="O11" s="2" t="s">
        <v>57</v>
      </c>
      <c r="P11" s="2" t="s">
        <v>57</v>
      </c>
      <c r="Q11" s="2" t="s">
        <v>57</v>
      </c>
      <c r="R11" s="2" t="s">
        <v>57</v>
      </c>
      <c r="S11" s="2" t="s">
        <v>57</v>
      </c>
      <c r="T11" s="2" t="s">
        <v>57</v>
      </c>
      <c r="U11" s="27" t="s">
        <v>57</v>
      </c>
      <c r="V11" s="27" t="s">
        <v>57</v>
      </c>
      <c r="W11" s="27" t="s">
        <v>57</v>
      </c>
      <c r="X11" s="27" t="s">
        <v>57</v>
      </c>
      <c r="Y11" s="27">
        <v>0</v>
      </c>
      <c r="Z11" s="27">
        <v>0</v>
      </c>
      <c r="AA11" s="27">
        <v>0</v>
      </c>
      <c r="AB11" s="27">
        <v>0</v>
      </c>
      <c r="AC11" s="44" t="s">
        <v>57</v>
      </c>
      <c r="AD11" s="2" t="s">
        <v>123</v>
      </c>
      <c r="AE11" s="27" t="s">
        <v>123</v>
      </c>
      <c r="AF11" s="27" t="s">
        <v>124</v>
      </c>
      <c r="AG11" s="27" t="s">
        <v>83</v>
      </c>
      <c r="AH11" s="27" t="s">
        <v>83</v>
      </c>
      <c r="AI11" s="27" t="s">
        <v>82</v>
      </c>
      <c r="AJ11" s="27" t="s">
        <v>82</v>
      </c>
      <c r="AK11" s="27" t="s">
        <v>82</v>
      </c>
      <c r="AL11" s="27" t="s">
        <v>82</v>
      </c>
      <c r="AM11" s="27" t="s">
        <v>57</v>
      </c>
      <c r="AN11" s="27" t="s">
        <v>57</v>
      </c>
      <c r="AO11" s="27" t="s">
        <v>57</v>
      </c>
      <c r="AP11" s="27" t="s">
        <v>57</v>
      </c>
      <c r="AQ11" s="27" t="s">
        <v>57</v>
      </c>
      <c r="AR11" s="27" t="s">
        <v>57</v>
      </c>
      <c r="AS11" s="27">
        <v>805</v>
      </c>
      <c r="AT11" s="27">
        <v>805</v>
      </c>
      <c r="AU11" s="27">
        <v>3</v>
      </c>
      <c r="AV11" s="27">
        <v>3</v>
      </c>
      <c r="AW11" s="27" t="s">
        <v>57</v>
      </c>
      <c r="AX11" s="27" t="s">
        <v>57</v>
      </c>
      <c r="AY11" s="27">
        <v>3</v>
      </c>
      <c r="AZ11" s="27">
        <v>3</v>
      </c>
      <c r="BA11" s="27" t="s">
        <v>85</v>
      </c>
      <c r="BB11" s="27" t="s">
        <v>85</v>
      </c>
      <c r="BC11" s="27" t="s">
        <v>85</v>
      </c>
      <c r="BD11" s="27" t="s">
        <v>85</v>
      </c>
      <c r="BE11" s="27" t="s">
        <v>85</v>
      </c>
      <c r="BF11" s="27" t="s">
        <v>85</v>
      </c>
      <c r="BG11" s="27" t="s">
        <v>85</v>
      </c>
      <c r="BH11" s="27" t="s">
        <v>85</v>
      </c>
      <c r="BI11" s="27" t="s">
        <v>85</v>
      </c>
      <c r="BJ11" s="27" t="s">
        <v>85</v>
      </c>
      <c r="BK11" s="27" t="s">
        <v>85</v>
      </c>
      <c r="BL11" s="27" t="s">
        <v>85</v>
      </c>
      <c r="BM11" s="27" t="s">
        <v>85</v>
      </c>
      <c r="BN11" s="27" t="s">
        <v>85</v>
      </c>
      <c r="BO11" s="27" t="s">
        <v>85</v>
      </c>
      <c r="BP11" s="27" t="s">
        <v>85</v>
      </c>
      <c r="BQ11" s="27" t="s">
        <v>85</v>
      </c>
      <c r="BR11" s="27" t="s">
        <v>85</v>
      </c>
      <c r="BS11" s="27" t="s">
        <v>85</v>
      </c>
      <c r="BT11" s="27" t="s">
        <v>85</v>
      </c>
      <c r="BU11" s="27" t="s">
        <v>85</v>
      </c>
      <c r="BV11" s="27" t="s">
        <v>85</v>
      </c>
      <c r="BW11" s="27" t="s">
        <v>85</v>
      </c>
      <c r="BX11" s="27" t="s">
        <v>85</v>
      </c>
      <c r="BY11" s="27" t="s">
        <v>85</v>
      </c>
      <c r="BZ11" s="27" t="s">
        <v>85</v>
      </c>
      <c r="CA11" s="27" t="s">
        <v>85</v>
      </c>
      <c r="CB11" s="27" t="s">
        <v>85</v>
      </c>
      <c r="CC11" s="27" t="s">
        <v>85</v>
      </c>
      <c r="CD11" s="27" t="s">
        <v>85</v>
      </c>
      <c r="CE11" s="27">
        <v>3</v>
      </c>
      <c r="CF11" s="27">
        <v>3</v>
      </c>
      <c r="CG11" s="27" t="s">
        <v>119</v>
      </c>
      <c r="CH11" s="27" t="s">
        <v>119</v>
      </c>
      <c r="CI11" s="27" t="s">
        <v>86</v>
      </c>
      <c r="CJ11" s="27" t="s">
        <v>86</v>
      </c>
      <c r="CK11" s="27" t="s">
        <v>119</v>
      </c>
      <c r="CL11" s="27" t="s">
        <v>119</v>
      </c>
      <c r="CM11" s="27" t="s">
        <v>119</v>
      </c>
      <c r="CN11" s="27" t="s">
        <v>119</v>
      </c>
      <c r="CO11" s="27" t="s">
        <v>119</v>
      </c>
      <c r="CP11" s="27" t="s">
        <v>119</v>
      </c>
      <c r="CQ11" s="27" t="s">
        <v>119</v>
      </c>
      <c r="CR11" s="27" t="s">
        <v>119</v>
      </c>
      <c r="CS11" s="27" t="s">
        <v>57</v>
      </c>
      <c r="CT11" s="27" t="s">
        <v>57</v>
      </c>
      <c r="CU11" s="27" t="s">
        <v>57</v>
      </c>
      <c r="CV11" s="27" t="s">
        <v>57</v>
      </c>
      <c r="CW11" s="27" t="s">
        <v>57</v>
      </c>
      <c r="CX11" s="27" t="s">
        <v>57</v>
      </c>
      <c r="CY11" s="27" t="s">
        <v>119</v>
      </c>
      <c r="CZ11" s="27" t="s">
        <v>119</v>
      </c>
      <c r="DA11" s="27" t="s">
        <v>57</v>
      </c>
      <c r="DB11" s="27" t="s">
        <v>57</v>
      </c>
      <c r="DC11" s="27" t="s">
        <v>57</v>
      </c>
      <c r="DD11" s="2" t="s">
        <v>57</v>
      </c>
      <c r="DE11" s="27" t="s">
        <v>57</v>
      </c>
      <c r="DF11" s="27" t="s">
        <v>57</v>
      </c>
      <c r="DG11" s="27" t="s">
        <v>57</v>
      </c>
      <c r="DH11" s="27" t="s">
        <v>57</v>
      </c>
      <c r="DI11" s="27" t="s">
        <v>57</v>
      </c>
      <c r="DJ11" s="27" t="s">
        <v>57</v>
      </c>
      <c r="DK11" s="27" t="s">
        <v>57</v>
      </c>
      <c r="DL11" s="27" t="s">
        <v>57</v>
      </c>
      <c r="DM11" s="27" t="s">
        <v>57</v>
      </c>
      <c r="DN11" s="27" t="s">
        <v>57</v>
      </c>
      <c r="DO11" s="27">
        <v>1</v>
      </c>
      <c r="DP11" s="27">
        <v>1</v>
      </c>
      <c r="DQ11" s="27">
        <v>1</v>
      </c>
      <c r="DR11" s="27">
        <v>1</v>
      </c>
      <c r="DS11" s="27">
        <v>1</v>
      </c>
      <c r="DT11" s="27">
        <v>1</v>
      </c>
      <c r="DU11" s="27">
        <v>1</v>
      </c>
      <c r="DV11" s="27">
        <v>1</v>
      </c>
      <c r="DW11" s="27">
        <v>1</v>
      </c>
      <c r="DX11" s="27">
        <v>1</v>
      </c>
      <c r="DY11" s="27">
        <v>1</v>
      </c>
      <c r="DZ11" s="27">
        <v>1</v>
      </c>
      <c r="EA11" s="27">
        <v>1</v>
      </c>
      <c r="EB11" s="27">
        <v>1</v>
      </c>
      <c r="EC11" s="27">
        <v>1</v>
      </c>
      <c r="ED11" s="27">
        <v>1</v>
      </c>
      <c r="EE11" s="27">
        <v>1</v>
      </c>
      <c r="EF11" s="27">
        <v>1</v>
      </c>
      <c r="EG11" s="27">
        <v>1</v>
      </c>
      <c r="EH11" s="27">
        <v>1</v>
      </c>
      <c r="EI11" s="27">
        <f t="shared" si="64"/>
        <v>10</v>
      </c>
      <c r="EJ11" s="27">
        <f t="shared" si="65"/>
        <v>10</v>
      </c>
      <c r="EK11" s="28" t="s">
        <v>122</v>
      </c>
      <c r="EL11" s="59">
        <v>2019</v>
      </c>
      <c r="EM11" s="2" t="str">
        <f t="shared" si="0"/>
        <v>Y</v>
      </c>
      <c r="EN11" s="2" t="str">
        <f t="shared" si="1"/>
        <v>Y</v>
      </c>
      <c r="EO11" s="2" t="str">
        <f t="shared" si="2"/>
        <v>Y</v>
      </c>
      <c r="EP11" s="2" t="str">
        <f t="shared" si="3"/>
        <v>Y</v>
      </c>
      <c r="EQ11" s="2" t="str">
        <f t="shared" si="4"/>
        <v>Y</v>
      </c>
      <c r="ER11" s="2" t="str">
        <f t="shared" si="5"/>
        <v>Y</v>
      </c>
      <c r="ES11" s="2" t="str">
        <f t="shared" si="6"/>
        <v>Y</v>
      </c>
      <c r="ET11" s="2" t="str">
        <f t="shared" si="7"/>
        <v>Y</v>
      </c>
      <c r="EU11" s="2" t="str">
        <f t="shared" si="8"/>
        <v>Y</v>
      </c>
      <c r="EV11" s="2" t="str">
        <f t="shared" si="9"/>
        <v>Y</v>
      </c>
      <c r="EW11" s="2" t="str">
        <f t="shared" si="10"/>
        <v>Y</v>
      </c>
      <c r="EX11" s="2" t="str">
        <f t="shared" si="11"/>
        <v>Y</v>
      </c>
      <c r="EY11" s="2" t="str">
        <f t="shared" si="12"/>
        <v>Y</v>
      </c>
      <c r="EZ11" s="2" t="str">
        <f t="shared" si="13"/>
        <v>Y</v>
      </c>
      <c r="FA11" s="2" t="str">
        <f t="shared" si="14"/>
        <v>Y</v>
      </c>
      <c r="FB11" s="2" t="str">
        <f t="shared" si="15"/>
        <v>Y</v>
      </c>
      <c r="FC11" s="2" t="str">
        <f t="shared" si="16"/>
        <v>Y</v>
      </c>
      <c r="FD11" s="2" t="str">
        <f t="shared" si="17"/>
        <v>Y</v>
      </c>
      <c r="FE11" s="2" t="str">
        <f t="shared" si="18"/>
        <v>Y</v>
      </c>
      <c r="FF11" s="2" t="str">
        <f t="shared" si="19"/>
        <v>Y</v>
      </c>
      <c r="FG11" s="2" t="str">
        <f t="shared" si="20"/>
        <v>Y</v>
      </c>
      <c r="FH11" s="2" t="str">
        <f t="shared" si="21"/>
        <v>Y</v>
      </c>
      <c r="FI11" s="2" t="str">
        <f t="shared" si="22"/>
        <v>Y</v>
      </c>
      <c r="FJ11" s="2" t="str">
        <f t="shared" si="23"/>
        <v>Y</v>
      </c>
      <c r="FK11" s="2" t="str">
        <f t="shared" si="24"/>
        <v>Y</v>
      </c>
      <c r="FL11" s="2" t="str">
        <f t="shared" si="25"/>
        <v>Y</v>
      </c>
      <c r="FM11" s="2" t="str">
        <f t="shared" si="26"/>
        <v>Y</v>
      </c>
      <c r="FN11" s="2" t="str">
        <f t="shared" si="27"/>
        <v>Y</v>
      </c>
      <c r="FO11" s="2" t="str">
        <f t="shared" si="28"/>
        <v>Y</v>
      </c>
      <c r="FP11" s="2" t="str">
        <f t="shared" si="29"/>
        <v>Y</v>
      </c>
      <c r="FQ11" s="2" t="str">
        <f t="shared" si="30"/>
        <v>Y</v>
      </c>
      <c r="FR11" s="2" t="str">
        <f t="shared" si="31"/>
        <v>Y</v>
      </c>
      <c r="FS11" s="2" t="str">
        <f t="shared" si="32"/>
        <v>Y</v>
      </c>
      <c r="FT11" s="2" t="str">
        <f t="shared" si="33"/>
        <v>Y</v>
      </c>
      <c r="FU11" s="2" t="str">
        <f t="shared" si="34"/>
        <v>Y</v>
      </c>
      <c r="FV11" s="2" t="str">
        <f t="shared" si="35"/>
        <v>Y</v>
      </c>
      <c r="FW11" s="2" t="str">
        <f t="shared" si="36"/>
        <v>Y</v>
      </c>
      <c r="FX11" s="2" t="str">
        <f t="shared" si="37"/>
        <v>Y</v>
      </c>
      <c r="FY11" s="2" t="str">
        <f t="shared" si="38"/>
        <v>Y</v>
      </c>
      <c r="FZ11" s="2" t="str">
        <f t="shared" si="39"/>
        <v>Y</v>
      </c>
      <c r="GA11" s="2" t="str">
        <f t="shared" si="40"/>
        <v>Y</v>
      </c>
      <c r="GB11" s="2" t="str">
        <f t="shared" si="41"/>
        <v>Y</v>
      </c>
      <c r="GC11" s="2" t="str">
        <f t="shared" si="42"/>
        <v>Y</v>
      </c>
      <c r="GD11" s="2" t="str">
        <f t="shared" si="43"/>
        <v>Y</v>
      </c>
      <c r="GE11" s="2" t="str">
        <f t="shared" si="44"/>
        <v>Y</v>
      </c>
      <c r="GF11" s="2" t="str">
        <f t="shared" si="45"/>
        <v>Y</v>
      </c>
      <c r="GG11" s="2" t="str">
        <f t="shared" si="46"/>
        <v>Y</v>
      </c>
      <c r="GH11" s="2" t="str">
        <f t="shared" si="47"/>
        <v>Y</v>
      </c>
      <c r="GI11" s="2" t="str">
        <f t="shared" si="48"/>
        <v>Y</v>
      </c>
      <c r="GJ11" s="2" t="str">
        <f t="shared" si="49"/>
        <v>Y</v>
      </c>
      <c r="GK11" s="2" t="str">
        <f t="shared" si="50"/>
        <v>Y</v>
      </c>
      <c r="GL11" s="2" t="str">
        <f t="shared" si="51"/>
        <v>Y</v>
      </c>
      <c r="GM11" s="2" t="str">
        <f t="shared" si="66"/>
        <v>Y</v>
      </c>
      <c r="GN11" s="2" t="str">
        <f t="shared" si="67"/>
        <v>Y</v>
      </c>
      <c r="GO11" s="2" t="str">
        <f t="shared" si="68"/>
        <v>Y</v>
      </c>
      <c r="GP11" s="2" t="str">
        <f t="shared" si="69"/>
        <v>Y</v>
      </c>
      <c r="GQ11" s="2" t="str">
        <f t="shared" si="70"/>
        <v>Y</v>
      </c>
      <c r="GR11" s="2" t="str">
        <f t="shared" si="71"/>
        <v>Y</v>
      </c>
      <c r="GS11" s="2" t="str">
        <f t="shared" si="72"/>
        <v>Y</v>
      </c>
      <c r="GT11" s="2" t="str">
        <f t="shared" si="73"/>
        <v>Y</v>
      </c>
      <c r="GU11" s="2" t="str">
        <f t="shared" si="74"/>
        <v>Y</v>
      </c>
      <c r="GV11" s="2" t="str">
        <f t="shared" si="75"/>
        <v>Y</v>
      </c>
      <c r="GW11" s="2" t="str">
        <f t="shared" si="76"/>
        <v>Y</v>
      </c>
      <c r="GX11" s="49" t="str">
        <f t="shared" si="77"/>
        <v>Y</v>
      </c>
      <c r="GY11" s="50"/>
      <c r="GZ11" s="53"/>
    </row>
    <row r="12" spans="1:208" ht="48" x14ac:dyDescent="0.2">
      <c r="A12" s="26" t="s">
        <v>125</v>
      </c>
      <c r="B12" s="27">
        <v>1987</v>
      </c>
      <c r="C12" s="27" t="s">
        <v>57</v>
      </c>
      <c r="D12" s="27" t="s">
        <v>57</v>
      </c>
      <c r="E12" s="2" t="s">
        <v>57</v>
      </c>
      <c r="F12" s="27" t="s">
        <v>57</v>
      </c>
      <c r="G12" s="27" t="s">
        <v>57</v>
      </c>
      <c r="H12" s="27" t="s">
        <v>57</v>
      </c>
      <c r="I12" s="27" t="s">
        <v>57</v>
      </c>
      <c r="J12" s="27" t="s">
        <v>57</v>
      </c>
      <c r="K12" s="27" t="s">
        <v>57</v>
      </c>
      <c r="L12" s="2" t="s">
        <v>57</v>
      </c>
      <c r="M12" s="2" t="s">
        <v>57</v>
      </c>
      <c r="N12" s="2" t="s">
        <v>57</v>
      </c>
      <c r="O12" s="2" t="s">
        <v>57</v>
      </c>
      <c r="P12" s="2" t="s">
        <v>57</v>
      </c>
      <c r="Q12" s="2" t="s">
        <v>57</v>
      </c>
      <c r="R12" s="2" t="s">
        <v>57</v>
      </c>
      <c r="S12" s="2" t="s">
        <v>57</v>
      </c>
      <c r="T12" s="2" t="s">
        <v>57</v>
      </c>
      <c r="U12" s="27">
        <v>0</v>
      </c>
      <c r="V12" s="27">
        <v>0</v>
      </c>
      <c r="W12" s="27">
        <v>268</v>
      </c>
      <c r="X12" s="27">
        <v>268</v>
      </c>
      <c r="Y12" s="27">
        <v>0</v>
      </c>
      <c r="Z12" s="27">
        <v>0</v>
      </c>
      <c r="AA12" s="27">
        <v>0</v>
      </c>
      <c r="AB12" s="27">
        <v>0</v>
      </c>
      <c r="AC12" s="44" t="s">
        <v>101</v>
      </c>
      <c r="AD12" s="2" t="s">
        <v>126</v>
      </c>
      <c r="AE12" s="27" t="s">
        <v>126</v>
      </c>
      <c r="AF12" s="27" t="s">
        <v>103</v>
      </c>
      <c r="AG12" s="27" t="s">
        <v>82</v>
      </c>
      <c r="AH12" s="27" t="s">
        <v>82</v>
      </c>
      <c r="AI12" s="27" t="s">
        <v>83</v>
      </c>
      <c r="AJ12" s="27" t="s">
        <v>83</v>
      </c>
      <c r="AK12" s="27" t="s">
        <v>83</v>
      </c>
      <c r="AL12" s="27" t="s">
        <v>83</v>
      </c>
      <c r="AM12" s="27">
        <v>268</v>
      </c>
      <c r="AN12" s="27">
        <v>268</v>
      </c>
      <c r="AO12" s="27">
        <v>0</v>
      </c>
      <c r="AP12" s="27">
        <v>0</v>
      </c>
      <c r="AQ12" s="27">
        <v>0</v>
      </c>
      <c r="AR12" s="27">
        <v>0</v>
      </c>
      <c r="AS12" s="27">
        <v>268</v>
      </c>
      <c r="AT12" s="27">
        <v>268</v>
      </c>
      <c r="AU12" s="27">
        <v>15</v>
      </c>
      <c r="AV12" s="27">
        <v>15</v>
      </c>
      <c r="AW12" s="27" t="s">
        <v>94</v>
      </c>
      <c r="AX12" s="27" t="s">
        <v>95</v>
      </c>
      <c r="AY12" s="27">
        <v>8</v>
      </c>
      <c r="AZ12" s="27">
        <f t="shared" si="80"/>
        <v>8</v>
      </c>
      <c r="BA12" s="27">
        <f t="shared" si="79"/>
        <v>5</v>
      </c>
      <c r="BB12" s="27">
        <f t="shared" si="81"/>
        <v>5</v>
      </c>
      <c r="BC12" s="27">
        <v>2</v>
      </c>
      <c r="BD12" s="27">
        <v>2</v>
      </c>
      <c r="BE12" s="27">
        <v>0</v>
      </c>
      <c r="BF12" s="27">
        <v>0</v>
      </c>
      <c r="BG12" s="27">
        <v>5</v>
      </c>
      <c r="BH12" s="27">
        <v>5</v>
      </c>
      <c r="BI12" s="27">
        <v>0</v>
      </c>
      <c r="BJ12" s="27">
        <v>0</v>
      </c>
      <c r="BK12" s="27">
        <v>0</v>
      </c>
      <c r="BL12" s="27">
        <v>0</v>
      </c>
      <c r="BM12" s="27">
        <v>1</v>
      </c>
      <c r="BN12" s="27">
        <v>1</v>
      </c>
      <c r="BO12" s="27">
        <v>0</v>
      </c>
      <c r="BP12" s="27">
        <v>0</v>
      </c>
      <c r="BQ12" s="27">
        <v>0</v>
      </c>
      <c r="BR12" s="27">
        <v>0</v>
      </c>
      <c r="BS12" s="27">
        <v>3</v>
      </c>
      <c r="BT12" s="27">
        <v>3</v>
      </c>
      <c r="BU12" s="27">
        <v>0</v>
      </c>
      <c r="BV12" s="27">
        <v>0</v>
      </c>
      <c r="BW12" s="27">
        <v>0</v>
      </c>
      <c r="BX12" s="27">
        <v>0</v>
      </c>
      <c r="BY12" s="27">
        <v>0</v>
      </c>
      <c r="BZ12" s="27">
        <v>0</v>
      </c>
      <c r="CA12" s="60">
        <v>1</v>
      </c>
      <c r="CB12" s="27">
        <v>1</v>
      </c>
      <c r="CC12" s="27">
        <v>1</v>
      </c>
      <c r="CD12" s="27">
        <v>1</v>
      </c>
      <c r="CE12" s="27">
        <v>0</v>
      </c>
      <c r="CF12" s="27">
        <v>0</v>
      </c>
      <c r="CG12" s="27" t="s">
        <v>57</v>
      </c>
      <c r="CH12" s="27" t="s">
        <v>57</v>
      </c>
      <c r="CI12" s="27" t="s">
        <v>119</v>
      </c>
      <c r="CJ12" s="27" t="s">
        <v>119</v>
      </c>
      <c r="CK12" s="27">
        <v>0</v>
      </c>
      <c r="CL12" s="27">
        <v>0</v>
      </c>
      <c r="CM12" s="27" t="s">
        <v>119</v>
      </c>
      <c r="CN12" s="27" t="s">
        <v>119</v>
      </c>
      <c r="CO12" s="27" t="s">
        <v>119</v>
      </c>
      <c r="CP12" s="27" t="s">
        <v>119</v>
      </c>
      <c r="CQ12" s="27" t="s">
        <v>119</v>
      </c>
      <c r="CR12" s="27" t="s">
        <v>119</v>
      </c>
      <c r="CS12" s="27">
        <v>0</v>
      </c>
      <c r="CT12" s="27">
        <v>0</v>
      </c>
      <c r="CU12" s="27" t="s">
        <v>86</v>
      </c>
      <c r="CV12" s="27" t="s">
        <v>86</v>
      </c>
      <c r="CW12" s="27" t="s">
        <v>57</v>
      </c>
      <c r="CX12" s="27" t="s">
        <v>57</v>
      </c>
      <c r="CY12" s="27" t="s">
        <v>119</v>
      </c>
      <c r="CZ12" s="27" t="s">
        <v>119</v>
      </c>
      <c r="DA12" s="27" t="s">
        <v>119</v>
      </c>
      <c r="DB12" s="27" t="s">
        <v>119</v>
      </c>
      <c r="DC12" s="27" t="s">
        <v>57</v>
      </c>
      <c r="DD12" s="2" t="s">
        <v>57</v>
      </c>
      <c r="DE12" s="27" t="s">
        <v>127</v>
      </c>
      <c r="DF12" s="27" t="s">
        <v>127</v>
      </c>
      <c r="DG12" s="27" t="s">
        <v>57</v>
      </c>
      <c r="DH12" s="27" t="s">
        <v>57</v>
      </c>
      <c r="DI12" s="27" t="s">
        <v>87</v>
      </c>
      <c r="DJ12" s="27" t="s">
        <v>128</v>
      </c>
      <c r="DK12" s="27" t="s">
        <v>57</v>
      </c>
      <c r="DL12" s="27" t="s">
        <v>57</v>
      </c>
      <c r="DM12" s="27" t="s">
        <v>57</v>
      </c>
      <c r="DN12" s="27" t="s">
        <v>57</v>
      </c>
      <c r="DO12" s="27">
        <v>1</v>
      </c>
      <c r="DP12" s="27">
        <v>1</v>
      </c>
      <c r="DQ12" s="27">
        <v>1</v>
      </c>
      <c r="DR12" s="27">
        <v>1</v>
      </c>
      <c r="DS12" s="27">
        <v>1</v>
      </c>
      <c r="DT12" s="27">
        <v>1</v>
      </c>
      <c r="DU12" s="27">
        <v>1</v>
      </c>
      <c r="DV12" s="27">
        <v>1</v>
      </c>
      <c r="DW12" s="27">
        <v>1</v>
      </c>
      <c r="DX12" s="27">
        <v>1</v>
      </c>
      <c r="DY12" s="27">
        <v>1</v>
      </c>
      <c r="DZ12" s="27">
        <v>1</v>
      </c>
      <c r="EA12" s="27">
        <v>1</v>
      </c>
      <c r="EB12" s="27">
        <v>1</v>
      </c>
      <c r="EC12" s="27">
        <v>0</v>
      </c>
      <c r="ED12" s="27">
        <v>0</v>
      </c>
      <c r="EE12" s="27">
        <v>1</v>
      </c>
      <c r="EF12" s="27">
        <v>1</v>
      </c>
      <c r="EG12" s="27">
        <v>1</v>
      </c>
      <c r="EH12" s="27">
        <v>1</v>
      </c>
      <c r="EI12" s="27">
        <f t="shared" si="64"/>
        <v>9</v>
      </c>
      <c r="EJ12" s="27">
        <f t="shared" si="65"/>
        <v>9</v>
      </c>
      <c r="EK12" s="28" t="s">
        <v>125</v>
      </c>
      <c r="EL12" s="59">
        <v>1987</v>
      </c>
      <c r="EM12" s="2" t="str">
        <f t="shared" si="0"/>
        <v>Y</v>
      </c>
      <c r="EN12" s="2" t="str">
        <f t="shared" si="1"/>
        <v>Y</v>
      </c>
      <c r="EO12" s="2" t="str">
        <f t="shared" si="2"/>
        <v>Y</v>
      </c>
      <c r="EP12" s="2" t="str">
        <f t="shared" si="3"/>
        <v>Y</v>
      </c>
      <c r="EQ12" s="2" t="str">
        <f t="shared" si="4"/>
        <v>Y</v>
      </c>
      <c r="ER12" s="2" t="str">
        <f t="shared" si="5"/>
        <v>Y</v>
      </c>
      <c r="ES12" s="2" t="str">
        <f t="shared" si="6"/>
        <v>Y</v>
      </c>
      <c r="ET12" s="2" t="str">
        <f t="shared" si="7"/>
        <v>Y</v>
      </c>
      <c r="EU12" s="2" t="str">
        <f t="shared" si="8"/>
        <v>Y</v>
      </c>
      <c r="EV12" s="2" t="str">
        <f t="shared" si="9"/>
        <v>Y</v>
      </c>
      <c r="EW12" s="2" t="str">
        <f t="shared" si="10"/>
        <v>Y</v>
      </c>
      <c r="EX12" s="2" t="str">
        <f t="shared" si="11"/>
        <v>Y</v>
      </c>
      <c r="EY12" s="2" t="str">
        <f t="shared" si="12"/>
        <v>Y</v>
      </c>
      <c r="EZ12" s="2" t="str">
        <f t="shared" si="13"/>
        <v>Y</v>
      </c>
      <c r="FA12" s="2" t="str">
        <f t="shared" si="14"/>
        <v>Y</v>
      </c>
      <c r="FB12" s="2" t="str">
        <f t="shared" si="15"/>
        <v>Y</v>
      </c>
      <c r="FC12" s="2" t="str">
        <f t="shared" si="16"/>
        <v>Y</v>
      </c>
      <c r="FD12" s="2" t="str">
        <f t="shared" si="17"/>
        <v>Y</v>
      </c>
      <c r="FE12" s="2" t="str">
        <f t="shared" si="18"/>
        <v>Y</v>
      </c>
      <c r="FF12" s="2" t="str">
        <f t="shared" si="19"/>
        <v>Y</v>
      </c>
      <c r="FG12" s="2" t="str">
        <f t="shared" si="20"/>
        <v>Y</v>
      </c>
      <c r="FH12" s="2" t="str">
        <f t="shared" si="21"/>
        <v>Y</v>
      </c>
      <c r="FI12" s="2" t="str">
        <f t="shared" si="22"/>
        <v>Y</v>
      </c>
      <c r="FJ12" s="2" t="str">
        <f t="shared" si="23"/>
        <v>Y</v>
      </c>
      <c r="FK12" s="2" t="str">
        <f t="shared" si="24"/>
        <v>Y</v>
      </c>
      <c r="FL12" s="2" t="str">
        <f t="shared" si="25"/>
        <v>Y</v>
      </c>
      <c r="FM12" s="2" t="str">
        <f t="shared" si="26"/>
        <v>Y</v>
      </c>
      <c r="FN12" s="2" t="str">
        <f t="shared" si="27"/>
        <v>Y</v>
      </c>
      <c r="FO12" s="2" t="str">
        <f t="shared" si="28"/>
        <v>Y</v>
      </c>
      <c r="FP12" s="2" t="str">
        <f t="shared" si="29"/>
        <v>Y</v>
      </c>
      <c r="FQ12" s="2" t="str">
        <f t="shared" si="30"/>
        <v>Y</v>
      </c>
      <c r="FR12" s="2" t="str">
        <f t="shared" si="31"/>
        <v>Y</v>
      </c>
      <c r="FS12" s="2" t="str">
        <f t="shared" si="32"/>
        <v>Y</v>
      </c>
      <c r="FT12" s="2" t="str">
        <f t="shared" si="33"/>
        <v>Y</v>
      </c>
      <c r="FU12" s="2" t="str">
        <f t="shared" si="34"/>
        <v>Y</v>
      </c>
      <c r="FV12" s="2" t="str">
        <f t="shared" si="35"/>
        <v>Y</v>
      </c>
      <c r="FW12" s="2" t="str">
        <f t="shared" si="36"/>
        <v>Y</v>
      </c>
      <c r="FX12" s="2" t="str">
        <f t="shared" si="37"/>
        <v>Y</v>
      </c>
      <c r="FY12" s="2" t="str">
        <f t="shared" si="38"/>
        <v>Y</v>
      </c>
      <c r="FZ12" s="2" t="str">
        <f t="shared" si="39"/>
        <v>Y</v>
      </c>
      <c r="GA12" s="2" t="str">
        <f t="shared" si="40"/>
        <v>Y</v>
      </c>
      <c r="GB12" s="2" t="str">
        <f t="shared" si="41"/>
        <v>Y</v>
      </c>
      <c r="GC12" s="2" t="str">
        <f t="shared" si="42"/>
        <v>Y</v>
      </c>
      <c r="GD12" s="2" t="str">
        <f t="shared" si="43"/>
        <v>Y</v>
      </c>
      <c r="GE12" s="2" t="str">
        <f t="shared" si="44"/>
        <v>Y</v>
      </c>
      <c r="GF12" s="2" t="str">
        <f t="shared" si="45"/>
        <v>Y</v>
      </c>
      <c r="GG12" s="2" t="str">
        <f t="shared" si="46"/>
        <v>Y</v>
      </c>
      <c r="GH12" s="2" t="str">
        <f t="shared" si="47"/>
        <v>Y</v>
      </c>
      <c r="GI12" s="2" t="str">
        <f t="shared" si="48"/>
        <v>Y</v>
      </c>
      <c r="GJ12" s="2" t="str">
        <f t="shared" si="49"/>
        <v>Y</v>
      </c>
      <c r="GK12" s="2" t="str">
        <f t="shared" si="50"/>
        <v>Y</v>
      </c>
      <c r="GL12" s="2" t="str">
        <f t="shared" si="51"/>
        <v>Y</v>
      </c>
      <c r="GM12" s="2" t="str">
        <f t="shared" si="66"/>
        <v>Y</v>
      </c>
      <c r="GN12" s="2" t="str">
        <f t="shared" si="67"/>
        <v>Y</v>
      </c>
      <c r="GO12" s="2" t="str">
        <f t="shared" si="68"/>
        <v>Y</v>
      </c>
      <c r="GP12" s="2" t="str">
        <f t="shared" si="69"/>
        <v>Y</v>
      </c>
      <c r="GQ12" s="2" t="str">
        <f t="shared" si="70"/>
        <v>Y</v>
      </c>
      <c r="GR12" s="2" t="str">
        <f t="shared" si="71"/>
        <v>Y</v>
      </c>
      <c r="GS12" s="2" t="str">
        <f t="shared" si="72"/>
        <v>Y</v>
      </c>
      <c r="GT12" s="2" t="str">
        <f t="shared" si="73"/>
        <v>Y</v>
      </c>
      <c r="GU12" s="2" t="str">
        <f t="shared" si="74"/>
        <v>Y</v>
      </c>
      <c r="GV12" s="2" t="str">
        <f t="shared" si="75"/>
        <v>Y</v>
      </c>
      <c r="GW12" s="2" t="str">
        <f t="shared" si="76"/>
        <v>Y</v>
      </c>
      <c r="GX12" s="49" t="str">
        <f t="shared" si="77"/>
        <v>Y</v>
      </c>
      <c r="GY12" s="50"/>
      <c r="GZ12" s="53"/>
    </row>
    <row r="13" spans="1:208" ht="48" x14ac:dyDescent="0.2">
      <c r="A13" s="48" t="s">
        <v>129</v>
      </c>
      <c r="B13" s="27">
        <v>2012</v>
      </c>
      <c r="C13" s="27" t="s">
        <v>57</v>
      </c>
      <c r="D13" s="27" t="s">
        <v>57</v>
      </c>
      <c r="E13" s="2" t="s">
        <v>57</v>
      </c>
      <c r="F13" s="27" t="s">
        <v>57</v>
      </c>
      <c r="G13" s="27" t="s">
        <v>57</v>
      </c>
      <c r="H13" s="27" t="s">
        <v>57</v>
      </c>
      <c r="I13" s="27">
        <v>30.6</v>
      </c>
      <c r="J13" s="27">
        <v>30.6</v>
      </c>
      <c r="K13" s="27" t="s">
        <v>57</v>
      </c>
      <c r="L13" s="2" t="s">
        <v>57</v>
      </c>
      <c r="M13" s="2" t="s">
        <v>57</v>
      </c>
      <c r="N13" s="2" t="s">
        <v>57</v>
      </c>
      <c r="O13" s="2" t="s">
        <v>57</v>
      </c>
      <c r="P13" s="2" t="s">
        <v>57</v>
      </c>
      <c r="Q13" s="2" t="s">
        <v>57</v>
      </c>
      <c r="R13" s="2" t="s">
        <v>57</v>
      </c>
      <c r="S13" s="2" t="s">
        <v>57</v>
      </c>
      <c r="T13" s="2" t="s">
        <v>57</v>
      </c>
      <c r="U13" s="27">
        <v>0</v>
      </c>
      <c r="V13" s="27">
        <v>0</v>
      </c>
      <c r="W13" s="27">
        <v>61</v>
      </c>
      <c r="X13" s="27">
        <v>61</v>
      </c>
      <c r="Y13" s="27">
        <v>0</v>
      </c>
      <c r="Z13" s="27">
        <v>0</v>
      </c>
      <c r="AA13" s="27">
        <v>0</v>
      </c>
      <c r="AB13" s="27">
        <v>0</v>
      </c>
      <c r="AC13" s="44"/>
      <c r="AD13" s="2" t="s">
        <v>113</v>
      </c>
      <c r="AE13" s="27" t="s">
        <v>113</v>
      </c>
      <c r="AF13" s="27" t="s">
        <v>114</v>
      </c>
      <c r="AG13" s="27" t="s">
        <v>82</v>
      </c>
      <c r="AH13" s="27" t="s">
        <v>82</v>
      </c>
      <c r="AI13" s="27" t="s">
        <v>83</v>
      </c>
      <c r="AJ13" s="27" t="s">
        <v>83</v>
      </c>
      <c r="AK13" s="27" t="s">
        <v>82</v>
      </c>
      <c r="AL13" s="27" t="s">
        <v>82</v>
      </c>
      <c r="AM13" s="27" t="s">
        <v>57</v>
      </c>
      <c r="AN13" s="27" t="s">
        <v>57</v>
      </c>
      <c r="AO13" s="27" t="s">
        <v>57</v>
      </c>
      <c r="AP13" s="27" t="s">
        <v>57</v>
      </c>
      <c r="AQ13" s="27" t="s">
        <v>57</v>
      </c>
      <c r="AR13" s="27" t="s">
        <v>57</v>
      </c>
      <c r="AS13" s="27">
        <v>61</v>
      </c>
      <c r="AT13" s="27">
        <v>61</v>
      </c>
      <c r="AU13" s="27">
        <v>3</v>
      </c>
      <c r="AV13" s="27">
        <v>3</v>
      </c>
      <c r="AW13" s="27" t="s">
        <v>84</v>
      </c>
      <c r="AX13" s="27" t="s">
        <v>84</v>
      </c>
      <c r="AY13" s="27">
        <v>5</v>
      </c>
      <c r="AZ13" s="27">
        <v>5</v>
      </c>
      <c r="BA13" s="27">
        <v>0</v>
      </c>
      <c r="BB13" s="27" t="s">
        <v>85</v>
      </c>
      <c r="BC13" s="27">
        <v>5</v>
      </c>
      <c r="BD13" s="27">
        <v>5</v>
      </c>
      <c r="BE13" s="27">
        <v>0</v>
      </c>
      <c r="BF13" s="27">
        <v>0</v>
      </c>
      <c r="BG13" s="27">
        <v>0</v>
      </c>
      <c r="BH13" s="27">
        <v>0</v>
      </c>
      <c r="BI13" s="27">
        <v>0</v>
      </c>
      <c r="BJ13" s="27">
        <v>0</v>
      </c>
      <c r="BK13" s="27">
        <v>0</v>
      </c>
      <c r="BL13" s="27">
        <v>0</v>
      </c>
      <c r="BM13" s="27">
        <v>0</v>
      </c>
      <c r="BN13" s="27">
        <v>0</v>
      </c>
      <c r="BO13" s="27">
        <v>0</v>
      </c>
      <c r="BP13" s="27">
        <v>0</v>
      </c>
      <c r="BQ13" s="27">
        <v>0</v>
      </c>
      <c r="BR13" s="27">
        <v>0</v>
      </c>
      <c r="BS13" s="27">
        <v>0</v>
      </c>
      <c r="BT13" s="27">
        <v>0</v>
      </c>
      <c r="BU13" s="27">
        <v>0</v>
      </c>
      <c r="BV13" s="27">
        <v>0</v>
      </c>
      <c r="BW13" s="27">
        <v>0</v>
      </c>
      <c r="BX13" s="27">
        <v>0</v>
      </c>
      <c r="BY13" s="27">
        <v>0</v>
      </c>
      <c r="BZ13" s="27">
        <v>0</v>
      </c>
      <c r="CA13" s="61">
        <v>0</v>
      </c>
      <c r="CB13" s="27">
        <v>0</v>
      </c>
      <c r="CC13" s="27">
        <v>0</v>
      </c>
      <c r="CD13" s="27">
        <v>0</v>
      </c>
      <c r="CE13" s="27">
        <v>0</v>
      </c>
      <c r="CF13" s="27">
        <v>0</v>
      </c>
      <c r="CG13" s="27" t="s">
        <v>108</v>
      </c>
      <c r="CH13" s="27" t="s">
        <v>57</v>
      </c>
      <c r="CI13" s="27" t="s">
        <v>57</v>
      </c>
      <c r="CJ13" s="27" t="s">
        <v>57</v>
      </c>
      <c r="CK13" s="27" t="s">
        <v>108</v>
      </c>
      <c r="CL13" s="27" t="s">
        <v>57</v>
      </c>
      <c r="CM13" s="27" t="s">
        <v>108</v>
      </c>
      <c r="CN13" s="27" t="s">
        <v>83</v>
      </c>
      <c r="CO13" s="27" t="s">
        <v>119</v>
      </c>
      <c r="CP13" s="27" t="s">
        <v>119</v>
      </c>
      <c r="CQ13" s="27" t="s">
        <v>108</v>
      </c>
      <c r="CR13" s="27" t="s">
        <v>57</v>
      </c>
      <c r="CS13" s="27" t="s">
        <v>57</v>
      </c>
      <c r="CT13" s="27" t="s">
        <v>57</v>
      </c>
      <c r="CU13" s="27" t="s">
        <v>57</v>
      </c>
      <c r="CV13" s="27" t="s">
        <v>57</v>
      </c>
      <c r="CW13" s="27" t="s">
        <v>57</v>
      </c>
      <c r="CX13" s="27" t="s">
        <v>57</v>
      </c>
      <c r="CY13" s="27" t="s">
        <v>57</v>
      </c>
      <c r="CZ13" s="27" t="s">
        <v>57</v>
      </c>
      <c r="DA13" s="27" t="s">
        <v>57</v>
      </c>
      <c r="DB13" s="27" t="s">
        <v>57</v>
      </c>
      <c r="DC13" s="27" t="s">
        <v>57</v>
      </c>
      <c r="DD13" s="2" t="s">
        <v>57</v>
      </c>
      <c r="DE13" s="27" t="s">
        <v>57</v>
      </c>
      <c r="DF13" s="27" t="s">
        <v>57</v>
      </c>
      <c r="DG13" s="27" t="s">
        <v>57</v>
      </c>
      <c r="DH13" s="27" t="s">
        <v>57</v>
      </c>
      <c r="DI13" s="27" t="s">
        <v>110</v>
      </c>
      <c r="DJ13" s="27" t="s">
        <v>87</v>
      </c>
      <c r="DK13" s="27" t="s">
        <v>57</v>
      </c>
      <c r="DL13" s="27" t="s">
        <v>57</v>
      </c>
      <c r="DM13" s="27" t="s">
        <v>130</v>
      </c>
      <c r="DN13" s="27" t="s">
        <v>104</v>
      </c>
      <c r="DO13" s="27">
        <v>1</v>
      </c>
      <c r="DP13" s="27">
        <v>1</v>
      </c>
      <c r="DQ13" s="27">
        <v>1</v>
      </c>
      <c r="DR13" s="27">
        <v>0</v>
      </c>
      <c r="DS13" s="27">
        <v>1</v>
      </c>
      <c r="DT13" s="27">
        <v>1</v>
      </c>
      <c r="DU13" s="27">
        <v>1</v>
      </c>
      <c r="DV13" s="27">
        <v>1</v>
      </c>
      <c r="DW13" s="27">
        <v>1</v>
      </c>
      <c r="DX13" s="27">
        <v>0</v>
      </c>
      <c r="DY13" s="27">
        <v>1</v>
      </c>
      <c r="DZ13" s="27">
        <v>1</v>
      </c>
      <c r="EA13" s="27">
        <v>1</v>
      </c>
      <c r="EB13" s="27">
        <v>1</v>
      </c>
      <c r="EC13" s="27">
        <v>1</v>
      </c>
      <c r="ED13" s="27">
        <v>1</v>
      </c>
      <c r="EE13" s="27">
        <v>1</v>
      </c>
      <c r="EF13" s="27">
        <v>1</v>
      </c>
      <c r="EG13" s="27">
        <v>1</v>
      </c>
      <c r="EH13" s="27">
        <v>1</v>
      </c>
      <c r="EI13" s="27">
        <f t="shared" si="64"/>
        <v>10</v>
      </c>
      <c r="EJ13" s="27">
        <f t="shared" si="65"/>
        <v>8</v>
      </c>
      <c r="EK13" s="48" t="s">
        <v>129</v>
      </c>
      <c r="EL13" s="59">
        <v>2012</v>
      </c>
      <c r="EM13" s="2" t="str">
        <f t="shared" si="0"/>
        <v>Y</v>
      </c>
      <c r="EN13" s="2" t="str">
        <f t="shared" si="1"/>
        <v>Y</v>
      </c>
      <c r="EO13" s="2" t="str">
        <f t="shared" si="2"/>
        <v>Y</v>
      </c>
      <c r="EP13" s="2"/>
      <c r="EQ13" s="2" t="str">
        <f t="shared" si="4"/>
        <v>Y</v>
      </c>
      <c r="ER13" s="2" t="str">
        <f t="shared" si="5"/>
        <v>Y</v>
      </c>
      <c r="ES13" s="2" t="str">
        <f t="shared" si="6"/>
        <v>Y</v>
      </c>
      <c r="ET13" s="2" t="str">
        <f t="shared" si="7"/>
        <v>Y</v>
      </c>
      <c r="EU13" s="2" t="str">
        <f t="shared" si="8"/>
        <v>Y</v>
      </c>
      <c r="EV13" s="2" t="str">
        <f t="shared" si="9"/>
        <v>Y</v>
      </c>
      <c r="EW13" s="2" t="str">
        <f t="shared" si="10"/>
        <v>Y</v>
      </c>
      <c r="EX13" s="2" t="str">
        <f t="shared" si="11"/>
        <v>Y</v>
      </c>
      <c r="EY13" s="2" t="str">
        <f t="shared" si="12"/>
        <v>Y</v>
      </c>
      <c r="EZ13" s="2" t="str">
        <f t="shared" si="13"/>
        <v>Y</v>
      </c>
      <c r="FA13" s="2" t="str">
        <f t="shared" si="14"/>
        <v>Y</v>
      </c>
      <c r="FB13" s="2" t="str">
        <f t="shared" si="15"/>
        <v>Y</v>
      </c>
      <c r="FC13" s="2"/>
      <c r="FD13" s="2"/>
      <c r="FE13" s="2"/>
      <c r="FF13" s="2" t="str">
        <f t="shared" si="19"/>
        <v>Y</v>
      </c>
      <c r="FG13" s="2" t="str">
        <f t="shared" si="20"/>
        <v>Y</v>
      </c>
      <c r="FH13" s="2" t="str">
        <f t="shared" si="21"/>
        <v>Y</v>
      </c>
      <c r="FI13" s="2"/>
      <c r="FJ13" s="2"/>
      <c r="FK13" s="2" t="str">
        <f t="shared" si="24"/>
        <v>Y</v>
      </c>
      <c r="FL13" s="2" t="str">
        <f t="shared" si="25"/>
        <v>Y</v>
      </c>
      <c r="FM13" s="2" t="str">
        <f t="shared" si="26"/>
        <v>Y</v>
      </c>
      <c r="FN13" s="2" t="str">
        <f t="shared" si="27"/>
        <v>Y</v>
      </c>
      <c r="FO13" s="2" t="str">
        <f t="shared" si="28"/>
        <v>Y</v>
      </c>
      <c r="FP13" s="2" t="str">
        <f t="shared" si="29"/>
        <v>Y</v>
      </c>
      <c r="FQ13" s="2" t="str">
        <f t="shared" si="30"/>
        <v>Y</v>
      </c>
      <c r="FR13" s="2" t="str">
        <f t="shared" si="31"/>
        <v>Y</v>
      </c>
      <c r="FS13" s="2" t="str">
        <f t="shared" si="32"/>
        <v>Y</v>
      </c>
      <c r="FT13" s="2" t="str">
        <f t="shared" si="33"/>
        <v>Y</v>
      </c>
      <c r="FU13" s="2" t="str">
        <f t="shared" si="34"/>
        <v>Y</v>
      </c>
      <c r="FV13" s="2" t="str">
        <f t="shared" si="35"/>
        <v>Y</v>
      </c>
      <c r="FW13" s="2" t="str">
        <f t="shared" si="36"/>
        <v>Y</v>
      </c>
      <c r="FX13" s="2" t="str">
        <f t="shared" si="37"/>
        <v>Y</v>
      </c>
      <c r="FY13" s="2" t="str">
        <f t="shared" si="38"/>
        <v>Y</v>
      </c>
      <c r="FZ13" s="2" t="str">
        <f t="shared" si="39"/>
        <v>N</v>
      </c>
      <c r="GA13" s="2" t="str">
        <f t="shared" si="40"/>
        <v>Y</v>
      </c>
      <c r="GB13" s="2"/>
      <c r="GC13" s="2" t="str">
        <f t="shared" si="42"/>
        <v>N</v>
      </c>
      <c r="GD13" s="2" t="str">
        <f t="shared" si="43"/>
        <v>Y</v>
      </c>
      <c r="GE13" s="2" t="str">
        <f t="shared" si="44"/>
        <v>N</v>
      </c>
      <c r="GF13" s="2"/>
      <c r="GG13" s="2" t="str">
        <f t="shared" si="46"/>
        <v>Y</v>
      </c>
      <c r="GH13" s="2" t="str">
        <f t="shared" si="47"/>
        <v>Y</v>
      </c>
      <c r="GI13" s="2" t="str">
        <f t="shared" si="48"/>
        <v>Y</v>
      </c>
      <c r="GJ13" s="2" t="str">
        <f t="shared" si="49"/>
        <v>Y</v>
      </c>
      <c r="GK13" s="2" t="str">
        <f t="shared" si="50"/>
        <v>Y</v>
      </c>
      <c r="GL13" s="2" t="str">
        <f t="shared" si="51"/>
        <v>Y</v>
      </c>
      <c r="GM13" s="2" t="str">
        <f t="shared" si="66"/>
        <v>Y</v>
      </c>
      <c r="GN13" s="2" t="str">
        <f t="shared" si="67"/>
        <v>Y</v>
      </c>
      <c r="GO13" s="2" t="str">
        <f t="shared" si="68"/>
        <v>N</v>
      </c>
      <c r="GP13" s="2" t="str">
        <f t="shared" si="69"/>
        <v>Y</v>
      </c>
      <c r="GQ13" s="2" t="str">
        <f t="shared" si="70"/>
        <v>Y</v>
      </c>
      <c r="GR13" s="2" t="str">
        <f t="shared" si="71"/>
        <v>N</v>
      </c>
      <c r="GS13" s="2" t="str">
        <f t="shared" si="72"/>
        <v>Y</v>
      </c>
      <c r="GT13" s="2" t="str">
        <f t="shared" si="73"/>
        <v>Y</v>
      </c>
      <c r="GU13" s="2" t="str">
        <f t="shared" si="74"/>
        <v>Y</v>
      </c>
      <c r="GV13" s="2" t="str">
        <f t="shared" si="75"/>
        <v>Y</v>
      </c>
      <c r="GW13" s="2" t="str">
        <f t="shared" si="76"/>
        <v>Y</v>
      </c>
      <c r="GX13" s="49" t="str">
        <f t="shared" si="77"/>
        <v>N</v>
      </c>
      <c r="GY13" s="50"/>
      <c r="GZ13" s="53"/>
    </row>
    <row r="14" spans="1:208" ht="48" x14ac:dyDescent="0.2">
      <c r="A14" s="26" t="s">
        <v>131</v>
      </c>
      <c r="B14" s="27">
        <v>2020</v>
      </c>
      <c r="C14" s="27">
        <v>134</v>
      </c>
      <c r="D14" s="27">
        <v>134</v>
      </c>
      <c r="E14" s="2">
        <v>78</v>
      </c>
      <c r="F14" s="27">
        <v>78</v>
      </c>
      <c r="G14" s="27" t="s">
        <v>57</v>
      </c>
      <c r="H14" s="27" t="s">
        <v>57</v>
      </c>
      <c r="I14" s="27" t="s">
        <v>57</v>
      </c>
      <c r="J14" s="27" t="s">
        <v>57</v>
      </c>
      <c r="K14" s="27" t="s">
        <v>132</v>
      </c>
      <c r="L14" s="2" t="s">
        <v>132</v>
      </c>
      <c r="M14" s="2">
        <v>5</v>
      </c>
      <c r="N14" s="2">
        <v>5</v>
      </c>
      <c r="O14" s="2">
        <v>203</v>
      </c>
      <c r="P14" s="2">
        <v>203</v>
      </c>
      <c r="Q14" s="2">
        <v>4</v>
      </c>
      <c r="R14" s="2">
        <v>4</v>
      </c>
      <c r="S14" s="2">
        <v>0</v>
      </c>
      <c r="T14" s="2">
        <v>0</v>
      </c>
      <c r="U14" s="27">
        <v>4</v>
      </c>
      <c r="V14" s="27">
        <v>4</v>
      </c>
      <c r="W14" s="27">
        <v>61</v>
      </c>
      <c r="X14" s="27">
        <v>61</v>
      </c>
      <c r="Y14" s="27">
        <v>147</v>
      </c>
      <c r="Z14" s="27">
        <v>147</v>
      </c>
      <c r="AA14" s="27">
        <v>0</v>
      </c>
      <c r="AB14" s="27">
        <v>0</v>
      </c>
      <c r="AC14" s="44" t="s">
        <v>133</v>
      </c>
      <c r="AD14" s="2" t="s">
        <v>126</v>
      </c>
      <c r="AE14" s="27" t="s">
        <v>126</v>
      </c>
      <c r="AF14" s="27" t="s">
        <v>103</v>
      </c>
      <c r="AG14" s="27" t="s">
        <v>82</v>
      </c>
      <c r="AH14" s="27" t="s">
        <v>82</v>
      </c>
      <c r="AI14" s="27" t="s">
        <v>83</v>
      </c>
      <c r="AJ14" s="27" t="s">
        <v>83</v>
      </c>
      <c r="AK14" s="27" t="s">
        <v>82</v>
      </c>
      <c r="AL14" s="27" t="s">
        <v>82</v>
      </c>
      <c r="AM14" s="27">
        <v>112</v>
      </c>
      <c r="AN14" s="27">
        <v>112</v>
      </c>
      <c r="AO14" s="27">
        <v>100</v>
      </c>
      <c r="AP14" s="27">
        <v>100</v>
      </c>
      <c r="AQ14" s="27">
        <v>0</v>
      </c>
      <c r="AR14" s="27">
        <v>0</v>
      </c>
      <c r="AS14" s="27">
        <v>212</v>
      </c>
      <c r="AT14" s="27">
        <v>212</v>
      </c>
      <c r="AU14" s="27">
        <v>1</v>
      </c>
      <c r="AV14" s="27">
        <v>1</v>
      </c>
      <c r="AW14" s="27" t="s">
        <v>84</v>
      </c>
      <c r="AX14" s="27" t="s">
        <v>99</v>
      </c>
      <c r="AY14" s="27">
        <v>1</v>
      </c>
      <c r="AZ14" s="27">
        <v>1</v>
      </c>
      <c r="BA14" s="27" t="s">
        <v>85</v>
      </c>
      <c r="BB14" s="27" t="s">
        <v>85</v>
      </c>
      <c r="BC14" s="27">
        <v>1</v>
      </c>
      <c r="BD14" s="27">
        <v>1</v>
      </c>
      <c r="BE14" s="27" t="s">
        <v>85</v>
      </c>
      <c r="BF14" s="27" t="s">
        <v>85</v>
      </c>
      <c r="BG14" s="27" t="s">
        <v>85</v>
      </c>
      <c r="BH14" s="27" t="s">
        <v>85</v>
      </c>
      <c r="BI14" s="27" t="s">
        <v>85</v>
      </c>
      <c r="BJ14" s="27" t="s">
        <v>85</v>
      </c>
      <c r="BK14" s="27" t="s">
        <v>85</v>
      </c>
      <c r="BL14" s="27" t="s">
        <v>85</v>
      </c>
      <c r="BM14" s="27" t="s">
        <v>85</v>
      </c>
      <c r="BN14" s="27" t="s">
        <v>85</v>
      </c>
      <c r="BO14" s="27" t="s">
        <v>85</v>
      </c>
      <c r="BP14" s="27" t="s">
        <v>85</v>
      </c>
      <c r="BQ14" s="27" t="s">
        <v>85</v>
      </c>
      <c r="BR14" s="27" t="s">
        <v>85</v>
      </c>
      <c r="BS14" s="27" t="s">
        <v>85</v>
      </c>
      <c r="BT14" s="27" t="s">
        <v>85</v>
      </c>
      <c r="BU14" s="27" t="s">
        <v>85</v>
      </c>
      <c r="BV14" s="27" t="s">
        <v>85</v>
      </c>
      <c r="BW14" s="27" t="s">
        <v>85</v>
      </c>
      <c r="BX14" s="27" t="s">
        <v>85</v>
      </c>
      <c r="BY14" s="27" t="s">
        <v>85</v>
      </c>
      <c r="BZ14" s="27" t="s">
        <v>85</v>
      </c>
      <c r="CA14" s="27" t="s">
        <v>85</v>
      </c>
      <c r="CB14" s="27" t="s">
        <v>85</v>
      </c>
      <c r="CC14" s="27" t="s">
        <v>85</v>
      </c>
      <c r="CD14" s="27" t="s">
        <v>85</v>
      </c>
      <c r="CE14" s="27" t="s">
        <v>85</v>
      </c>
      <c r="CF14" s="27" t="s">
        <v>85</v>
      </c>
      <c r="CG14" s="27" t="s">
        <v>119</v>
      </c>
      <c r="CH14" s="27" t="s">
        <v>119</v>
      </c>
      <c r="CI14" s="27">
        <v>0</v>
      </c>
      <c r="CJ14" s="27">
        <v>0</v>
      </c>
      <c r="CK14" s="27">
        <v>0</v>
      </c>
      <c r="CL14" s="27">
        <v>0</v>
      </c>
      <c r="CM14" s="27" t="s">
        <v>119</v>
      </c>
      <c r="CN14" s="27" t="s">
        <v>119</v>
      </c>
      <c r="CO14" s="27" t="s">
        <v>119</v>
      </c>
      <c r="CP14" s="27" t="s">
        <v>119</v>
      </c>
      <c r="CQ14" s="27" t="s">
        <v>86</v>
      </c>
      <c r="CR14" s="27" t="s">
        <v>86</v>
      </c>
      <c r="CS14" s="27">
        <v>0</v>
      </c>
      <c r="CT14" s="27">
        <v>0</v>
      </c>
      <c r="CU14" s="27" t="s">
        <v>86</v>
      </c>
      <c r="CV14" s="27" t="s">
        <v>86</v>
      </c>
      <c r="CW14" s="27" t="s">
        <v>83</v>
      </c>
      <c r="CX14" s="27" t="s">
        <v>83</v>
      </c>
      <c r="CY14" s="27" t="s">
        <v>119</v>
      </c>
      <c r="CZ14" s="27" t="s">
        <v>119</v>
      </c>
      <c r="DA14" s="27" t="s">
        <v>57</v>
      </c>
      <c r="DB14" s="27" t="s">
        <v>57</v>
      </c>
      <c r="DC14" s="27" t="s">
        <v>57</v>
      </c>
      <c r="DD14" s="2" t="s">
        <v>57</v>
      </c>
      <c r="DE14" s="27" t="s">
        <v>119</v>
      </c>
      <c r="DF14" s="27" t="s">
        <v>119</v>
      </c>
      <c r="DG14" s="27" t="s">
        <v>57</v>
      </c>
      <c r="DH14" s="27" t="s">
        <v>57</v>
      </c>
      <c r="DI14" s="27" t="s">
        <v>87</v>
      </c>
      <c r="DJ14" s="27" t="s">
        <v>87</v>
      </c>
      <c r="DK14" s="27" t="s">
        <v>96</v>
      </c>
      <c r="DL14" s="27" t="s">
        <v>96</v>
      </c>
      <c r="DM14" s="27" t="s">
        <v>104</v>
      </c>
      <c r="DN14" s="27" t="s">
        <v>104</v>
      </c>
      <c r="DO14" s="27">
        <v>1</v>
      </c>
      <c r="DP14" s="27">
        <v>1</v>
      </c>
      <c r="DQ14" s="27">
        <v>1</v>
      </c>
      <c r="DR14" s="27">
        <v>1</v>
      </c>
      <c r="DS14" s="27">
        <v>1</v>
      </c>
      <c r="DT14" s="27">
        <v>1</v>
      </c>
      <c r="DU14" s="27">
        <v>1</v>
      </c>
      <c r="DV14" s="27">
        <v>1</v>
      </c>
      <c r="DW14" s="27">
        <v>1</v>
      </c>
      <c r="DX14" s="27">
        <v>1</v>
      </c>
      <c r="DY14" s="27">
        <v>1</v>
      </c>
      <c r="DZ14" s="27">
        <v>1</v>
      </c>
      <c r="EA14" s="27">
        <v>1</v>
      </c>
      <c r="EB14" s="27">
        <v>1</v>
      </c>
      <c r="EC14" s="27">
        <v>1</v>
      </c>
      <c r="ED14" s="27">
        <v>1</v>
      </c>
      <c r="EE14" s="27">
        <v>1</v>
      </c>
      <c r="EF14" s="27">
        <v>1</v>
      </c>
      <c r="EG14" s="27">
        <v>1</v>
      </c>
      <c r="EH14" s="27">
        <v>1</v>
      </c>
      <c r="EI14" s="27">
        <f t="shared" si="64"/>
        <v>10</v>
      </c>
      <c r="EJ14" s="27">
        <f t="shared" si="65"/>
        <v>10</v>
      </c>
      <c r="EK14" s="28" t="s">
        <v>131</v>
      </c>
      <c r="EL14" s="59">
        <v>2020</v>
      </c>
      <c r="EM14" s="2" t="str">
        <f t="shared" si="0"/>
        <v>Y</v>
      </c>
      <c r="EN14" s="2" t="str">
        <f t="shared" si="1"/>
        <v>Y</v>
      </c>
      <c r="EO14" s="2" t="str">
        <f t="shared" si="2"/>
        <v>Y</v>
      </c>
      <c r="EP14" s="2" t="str">
        <f t="shared" si="3"/>
        <v>Y</v>
      </c>
      <c r="EQ14" s="2" t="str">
        <f t="shared" si="4"/>
        <v>Y</v>
      </c>
      <c r="ER14" s="2" t="str">
        <f t="shared" si="5"/>
        <v>Y</v>
      </c>
      <c r="ES14" s="2" t="str">
        <f t="shared" si="6"/>
        <v>Y</v>
      </c>
      <c r="ET14" s="2" t="str">
        <f t="shared" si="7"/>
        <v>Y</v>
      </c>
      <c r="EU14" s="2" t="str">
        <f t="shared" si="8"/>
        <v>Y</v>
      </c>
      <c r="EV14" s="2" t="str">
        <f t="shared" si="9"/>
        <v>Y</v>
      </c>
      <c r="EW14" s="2" t="str">
        <f t="shared" si="10"/>
        <v>Y</v>
      </c>
      <c r="EX14" s="2" t="str">
        <f t="shared" si="11"/>
        <v>Y</v>
      </c>
      <c r="EY14" s="2" t="str">
        <f t="shared" si="12"/>
        <v>Y</v>
      </c>
      <c r="EZ14" s="2" t="str">
        <f t="shared" si="13"/>
        <v>Y</v>
      </c>
      <c r="FA14" s="2" t="str">
        <f t="shared" si="14"/>
        <v>Y</v>
      </c>
      <c r="FB14" s="2" t="str">
        <f t="shared" si="15"/>
        <v>Y</v>
      </c>
      <c r="FC14" s="2" t="str">
        <f t="shared" si="16"/>
        <v>Y</v>
      </c>
      <c r="FD14" s="2" t="str">
        <f t="shared" si="17"/>
        <v>Y</v>
      </c>
      <c r="FE14" s="2" t="str">
        <f t="shared" si="18"/>
        <v>Y</v>
      </c>
      <c r="FF14" s="2" t="str">
        <f t="shared" si="19"/>
        <v>Y</v>
      </c>
      <c r="FG14" s="2" t="str">
        <f t="shared" si="20"/>
        <v>Y</v>
      </c>
      <c r="FH14" s="2" t="str">
        <f t="shared" si="21"/>
        <v>Y</v>
      </c>
      <c r="FI14" s="2" t="str">
        <f t="shared" si="22"/>
        <v>Y</v>
      </c>
      <c r="FJ14" s="2" t="str">
        <f t="shared" si="23"/>
        <v>Y</v>
      </c>
      <c r="FK14" s="2" t="str">
        <f t="shared" si="24"/>
        <v>Y</v>
      </c>
      <c r="FL14" s="2" t="str">
        <f t="shared" si="25"/>
        <v>Y</v>
      </c>
      <c r="FM14" s="2" t="str">
        <f t="shared" si="26"/>
        <v>Y</v>
      </c>
      <c r="FN14" s="2" t="str">
        <f t="shared" si="27"/>
        <v>Y</v>
      </c>
      <c r="FO14" s="2" t="str">
        <f t="shared" si="28"/>
        <v>Y</v>
      </c>
      <c r="FP14" s="2" t="str">
        <f t="shared" si="29"/>
        <v>Y</v>
      </c>
      <c r="FQ14" s="2" t="str">
        <f t="shared" si="30"/>
        <v>Y</v>
      </c>
      <c r="FR14" s="2" t="str">
        <f t="shared" si="31"/>
        <v>Y</v>
      </c>
      <c r="FS14" s="2" t="str">
        <f t="shared" si="32"/>
        <v>Y</v>
      </c>
      <c r="FT14" s="2" t="str">
        <f t="shared" si="33"/>
        <v>Y</v>
      </c>
      <c r="FU14" s="2" t="str">
        <f t="shared" si="34"/>
        <v>Y</v>
      </c>
      <c r="FV14" s="2" t="str">
        <f t="shared" si="35"/>
        <v>Y</v>
      </c>
      <c r="FW14" s="2" t="str">
        <f t="shared" si="36"/>
        <v>Y</v>
      </c>
      <c r="FX14" s="2" t="str">
        <f t="shared" si="37"/>
        <v>Y</v>
      </c>
      <c r="FY14" s="2" t="str">
        <f t="shared" si="38"/>
        <v>Y</v>
      </c>
      <c r="FZ14" s="2" t="str">
        <f t="shared" si="39"/>
        <v>Y</v>
      </c>
      <c r="GA14" s="2" t="str">
        <f t="shared" si="40"/>
        <v>Y</v>
      </c>
      <c r="GB14" s="2" t="str">
        <f t="shared" si="41"/>
        <v>Y</v>
      </c>
      <c r="GC14" s="2" t="str">
        <f t="shared" si="42"/>
        <v>Y</v>
      </c>
      <c r="GD14" s="2" t="str">
        <f t="shared" si="43"/>
        <v>Y</v>
      </c>
      <c r="GE14" s="2" t="str">
        <f t="shared" si="44"/>
        <v>Y</v>
      </c>
      <c r="GF14" s="2" t="str">
        <f t="shared" si="45"/>
        <v>Y</v>
      </c>
      <c r="GG14" s="2" t="str">
        <f t="shared" si="46"/>
        <v>Y</v>
      </c>
      <c r="GH14" s="2" t="str">
        <f t="shared" si="47"/>
        <v>Y</v>
      </c>
      <c r="GI14" s="2" t="str">
        <f t="shared" si="48"/>
        <v>Y</v>
      </c>
      <c r="GJ14" s="2" t="str">
        <f t="shared" si="49"/>
        <v>Y</v>
      </c>
      <c r="GK14" s="2" t="str">
        <f t="shared" si="50"/>
        <v>Y</v>
      </c>
      <c r="GL14" s="2" t="str">
        <f t="shared" si="51"/>
        <v>Y</v>
      </c>
      <c r="GM14" s="2" t="str">
        <f t="shared" si="66"/>
        <v>Y</v>
      </c>
      <c r="GN14" s="2" t="str">
        <f t="shared" si="67"/>
        <v>Y</v>
      </c>
      <c r="GO14" s="2" t="str">
        <f t="shared" si="68"/>
        <v>Y</v>
      </c>
      <c r="GP14" s="2" t="str">
        <f t="shared" si="69"/>
        <v>Y</v>
      </c>
      <c r="GQ14" s="2" t="str">
        <f t="shared" si="70"/>
        <v>Y</v>
      </c>
      <c r="GR14" s="2" t="str">
        <f t="shared" si="71"/>
        <v>Y</v>
      </c>
      <c r="GS14" s="2" t="str">
        <f t="shared" si="72"/>
        <v>Y</v>
      </c>
      <c r="GT14" s="2" t="str">
        <f t="shared" si="73"/>
        <v>Y</v>
      </c>
      <c r="GU14" s="2" t="str">
        <f t="shared" si="74"/>
        <v>Y</v>
      </c>
      <c r="GV14" s="2" t="str">
        <f t="shared" si="75"/>
        <v>Y</v>
      </c>
      <c r="GW14" s="2" t="str">
        <f t="shared" si="76"/>
        <v>Y</v>
      </c>
      <c r="GX14" s="49" t="str">
        <f t="shared" si="77"/>
        <v>Y</v>
      </c>
      <c r="GY14" s="50"/>
      <c r="GZ14" s="53"/>
    </row>
    <row r="15" spans="1:208" ht="48" x14ac:dyDescent="0.2">
      <c r="A15" s="26" t="s">
        <v>134</v>
      </c>
      <c r="B15" s="27">
        <v>2020</v>
      </c>
      <c r="C15" s="27">
        <v>119</v>
      </c>
      <c r="D15" s="27">
        <v>119</v>
      </c>
      <c r="E15" s="2">
        <v>81</v>
      </c>
      <c r="F15" s="27">
        <v>81</v>
      </c>
      <c r="G15" s="27" t="s">
        <v>57</v>
      </c>
      <c r="H15" s="27" t="s">
        <v>57</v>
      </c>
      <c r="I15" s="27" t="s">
        <v>57</v>
      </c>
      <c r="J15" s="27" t="s">
        <v>57</v>
      </c>
      <c r="K15" s="27">
        <v>47</v>
      </c>
      <c r="L15" s="2">
        <v>47</v>
      </c>
      <c r="M15" s="2">
        <v>0</v>
      </c>
      <c r="N15" s="2">
        <v>0</v>
      </c>
      <c r="O15" s="2">
        <v>200</v>
      </c>
      <c r="P15" s="2">
        <v>200</v>
      </c>
      <c r="Q15" s="2">
        <v>0</v>
      </c>
      <c r="R15" s="2">
        <v>0</v>
      </c>
      <c r="S15" s="2">
        <v>0</v>
      </c>
      <c r="T15" s="2">
        <v>0</v>
      </c>
      <c r="U15" s="27">
        <v>0</v>
      </c>
      <c r="V15" s="27">
        <v>0</v>
      </c>
      <c r="W15" s="27">
        <v>200</v>
      </c>
      <c r="X15" s="27">
        <v>200</v>
      </c>
      <c r="Y15" s="27">
        <v>0</v>
      </c>
      <c r="Z15" s="27">
        <v>0</v>
      </c>
      <c r="AA15" s="27">
        <v>0</v>
      </c>
      <c r="AB15" s="27">
        <v>0</v>
      </c>
      <c r="AC15" s="44" t="s">
        <v>101</v>
      </c>
      <c r="AD15" s="2" t="s">
        <v>135</v>
      </c>
      <c r="AE15" s="27" t="s">
        <v>135</v>
      </c>
      <c r="AF15" s="27" t="s">
        <v>103</v>
      </c>
      <c r="AG15" s="27" t="s">
        <v>83</v>
      </c>
      <c r="AH15" s="27" t="s">
        <v>83</v>
      </c>
      <c r="AI15" s="27" t="s">
        <v>82</v>
      </c>
      <c r="AJ15" s="27" t="s">
        <v>82</v>
      </c>
      <c r="AK15" s="27" t="s">
        <v>82</v>
      </c>
      <c r="AL15" s="27" t="s">
        <v>82</v>
      </c>
      <c r="AM15" s="27" t="s">
        <v>57</v>
      </c>
      <c r="AN15" s="27" t="s">
        <v>57</v>
      </c>
      <c r="AO15" s="27" t="s">
        <v>57</v>
      </c>
      <c r="AP15" s="27" t="s">
        <v>57</v>
      </c>
      <c r="AQ15" s="27" t="s">
        <v>57</v>
      </c>
      <c r="AR15" s="27" t="s">
        <v>57</v>
      </c>
      <c r="AS15" s="27">
        <v>200</v>
      </c>
      <c r="AT15" s="27">
        <v>200</v>
      </c>
      <c r="AU15" s="27">
        <v>50</v>
      </c>
      <c r="AV15" s="27">
        <v>50</v>
      </c>
      <c r="AW15" s="27" t="s">
        <v>94</v>
      </c>
      <c r="AX15" s="27" t="s">
        <v>95</v>
      </c>
      <c r="AY15" s="27">
        <f t="shared" si="78"/>
        <v>50</v>
      </c>
      <c r="AZ15" s="27">
        <f t="shared" si="80"/>
        <v>50</v>
      </c>
      <c r="BA15" s="27">
        <f t="shared" si="79"/>
        <v>0</v>
      </c>
      <c r="BB15" s="27">
        <f t="shared" si="81"/>
        <v>0</v>
      </c>
      <c r="BC15" s="27">
        <v>1</v>
      </c>
      <c r="BD15" s="27">
        <v>1</v>
      </c>
      <c r="BE15" s="27">
        <v>0</v>
      </c>
      <c r="BF15" s="27">
        <v>0</v>
      </c>
      <c r="BG15" s="27">
        <v>0</v>
      </c>
      <c r="BH15" s="27">
        <v>0</v>
      </c>
      <c r="BI15" s="27">
        <v>0</v>
      </c>
      <c r="BJ15" s="27">
        <v>0</v>
      </c>
      <c r="BK15" s="27">
        <v>4</v>
      </c>
      <c r="BL15" s="27">
        <v>4</v>
      </c>
      <c r="BM15" s="27">
        <v>7</v>
      </c>
      <c r="BN15" s="27">
        <v>7</v>
      </c>
      <c r="BO15" s="27">
        <v>0</v>
      </c>
      <c r="BP15" s="27">
        <v>0</v>
      </c>
      <c r="BQ15" s="27">
        <v>0</v>
      </c>
      <c r="BR15" s="27">
        <v>0</v>
      </c>
      <c r="BS15" s="27">
        <v>0</v>
      </c>
      <c r="BT15" s="27">
        <v>0</v>
      </c>
      <c r="BU15" s="27">
        <v>19</v>
      </c>
      <c r="BV15" s="27">
        <v>19</v>
      </c>
      <c r="BW15" s="27">
        <v>0</v>
      </c>
      <c r="BX15" s="27">
        <v>0</v>
      </c>
      <c r="BY15" s="27">
        <v>19</v>
      </c>
      <c r="BZ15" s="27">
        <v>19</v>
      </c>
      <c r="CA15" s="27">
        <v>0</v>
      </c>
      <c r="CB15" s="27">
        <v>0</v>
      </c>
      <c r="CC15" s="27">
        <v>0</v>
      </c>
      <c r="CD15" s="27">
        <v>0</v>
      </c>
      <c r="CE15" s="27">
        <v>0</v>
      </c>
      <c r="CF15" s="27">
        <v>0</v>
      </c>
      <c r="CG15" s="27" t="s">
        <v>57</v>
      </c>
      <c r="CH15" s="27" t="s">
        <v>57</v>
      </c>
      <c r="CI15" s="27" t="s">
        <v>86</v>
      </c>
      <c r="CJ15" s="27" t="s">
        <v>86</v>
      </c>
      <c r="CK15" s="27">
        <v>0</v>
      </c>
      <c r="CL15" s="27">
        <v>0</v>
      </c>
      <c r="CM15" s="27" t="s">
        <v>86</v>
      </c>
      <c r="CN15" s="27" t="s">
        <v>86</v>
      </c>
      <c r="CO15" s="27">
        <v>0</v>
      </c>
      <c r="CP15" s="27">
        <v>0</v>
      </c>
      <c r="CQ15" s="27" t="s">
        <v>86</v>
      </c>
      <c r="CR15" s="27" t="s">
        <v>86</v>
      </c>
      <c r="CS15" s="27" t="s">
        <v>86</v>
      </c>
      <c r="CT15" s="27" t="s">
        <v>86</v>
      </c>
      <c r="CU15" s="27" t="s">
        <v>86</v>
      </c>
      <c r="CV15" s="27" t="s">
        <v>86</v>
      </c>
      <c r="CW15" s="27" t="s">
        <v>57</v>
      </c>
      <c r="CX15" s="30" t="s">
        <v>57</v>
      </c>
      <c r="CY15" s="27" t="s">
        <v>57</v>
      </c>
      <c r="CZ15" s="27" t="s">
        <v>57</v>
      </c>
      <c r="DA15" s="27" t="s">
        <v>86</v>
      </c>
      <c r="DB15" s="27" t="s">
        <v>86</v>
      </c>
      <c r="DC15" s="27" t="s">
        <v>57</v>
      </c>
      <c r="DD15" s="2" t="s">
        <v>57</v>
      </c>
      <c r="DE15" s="27" t="s">
        <v>57</v>
      </c>
      <c r="DF15" s="27" t="s">
        <v>57</v>
      </c>
      <c r="DG15" s="27" t="s">
        <v>57</v>
      </c>
      <c r="DH15" s="27" t="s">
        <v>57</v>
      </c>
      <c r="DI15" s="27" t="s">
        <v>87</v>
      </c>
      <c r="DJ15" s="27" t="s">
        <v>87</v>
      </c>
      <c r="DK15" s="27" t="s">
        <v>136</v>
      </c>
      <c r="DL15" s="27" t="s">
        <v>136</v>
      </c>
      <c r="DM15" s="27" t="s">
        <v>137</v>
      </c>
      <c r="DN15" s="27" t="s">
        <v>138</v>
      </c>
      <c r="DO15" s="27">
        <v>1</v>
      </c>
      <c r="DP15" s="27">
        <v>1</v>
      </c>
      <c r="DQ15" s="27">
        <v>1</v>
      </c>
      <c r="DR15" s="27">
        <v>1</v>
      </c>
      <c r="DS15" s="27">
        <v>1</v>
      </c>
      <c r="DT15" s="27">
        <v>1</v>
      </c>
      <c r="DU15" s="27">
        <v>1</v>
      </c>
      <c r="DV15" s="27">
        <v>1</v>
      </c>
      <c r="DW15" s="27">
        <v>1</v>
      </c>
      <c r="DX15" s="27">
        <v>1</v>
      </c>
      <c r="DY15" s="27">
        <v>1</v>
      </c>
      <c r="DZ15" s="27">
        <v>1</v>
      </c>
      <c r="EA15" s="27">
        <v>1</v>
      </c>
      <c r="EB15" s="27">
        <v>1</v>
      </c>
      <c r="EC15" s="27">
        <v>1</v>
      </c>
      <c r="ED15" s="27">
        <v>1</v>
      </c>
      <c r="EE15" s="27">
        <v>1</v>
      </c>
      <c r="EF15" s="27">
        <v>1</v>
      </c>
      <c r="EG15" s="27">
        <v>1</v>
      </c>
      <c r="EH15" s="27">
        <v>1</v>
      </c>
      <c r="EI15" s="27">
        <f t="shared" si="64"/>
        <v>10</v>
      </c>
      <c r="EJ15" s="27">
        <f t="shared" si="65"/>
        <v>10</v>
      </c>
      <c r="EK15" s="28" t="s">
        <v>134</v>
      </c>
      <c r="EL15" s="59">
        <v>2020</v>
      </c>
      <c r="EM15" s="2" t="str">
        <f t="shared" si="0"/>
        <v>Y</v>
      </c>
      <c r="EN15" s="2" t="str">
        <f t="shared" si="1"/>
        <v>Y</v>
      </c>
      <c r="EO15" s="2" t="str">
        <f t="shared" si="2"/>
        <v>Y</v>
      </c>
      <c r="EP15" s="2" t="str">
        <f t="shared" si="3"/>
        <v>Y</v>
      </c>
      <c r="EQ15" s="2" t="str">
        <f t="shared" si="4"/>
        <v>Y</v>
      </c>
      <c r="ER15" s="2" t="str">
        <f t="shared" si="5"/>
        <v>Y</v>
      </c>
      <c r="ES15" s="2" t="str">
        <f t="shared" si="6"/>
        <v>Y</v>
      </c>
      <c r="ET15" s="2" t="str">
        <f t="shared" si="7"/>
        <v>Y</v>
      </c>
      <c r="EU15" s="2" t="str">
        <f t="shared" si="8"/>
        <v>Y</v>
      </c>
      <c r="EV15" s="2" t="str">
        <f t="shared" si="9"/>
        <v>Y</v>
      </c>
      <c r="EW15" s="2" t="str">
        <f t="shared" si="10"/>
        <v>Y</v>
      </c>
      <c r="EX15" s="2" t="str">
        <f t="shared" si="11"/>
        <v>Y</v>
      </c>
      <c r="EY15" s="2" t="str">
        <f t="shared" si="12"/>
        <v>Y</v>
      </c>
      <c r="EZ15" s="2" t="str">
        <f t="shared" si="13"/>
        <v>Y</v>
      </c>
      <c r="FA15" s="2" t="str">
        <f t="shared" si="14"/>
        <v>Y</v>
      </c>
      <c r="FB15" s="2" t="str">
        <f t="shared" si="15"/>
        <v>Y</v>
      </c>
      <c r="FC15" s="2" t="str">
        <f t="shared" si="16"/>
        <v>Y</v>
      </c>
      <c r="FD15" s="2" t="str">
        <f t="shared" si="17"/>
        <v>Y</v>
      </c>
      <c r="FE15" s="2" t="str">
        <f t="shared" si="18"/>
        <v>Y</v>
      </c>
      <c r="FF15" s="2" t="str">
        <f t="shared" si="19"/>
        <v>Y</v>
      </c>
      <c r="FG15" s="2" t="str">
        <f t="shared" si="20"/>
        <v>Y</v>
      </c>
      <c r="FH15" s="2" t="str">
        <f t="shared" si="21"/>
        <v>Y</v>
      </c>
      <c r="FI15" s="2" t="str">
        <f t="shared" si="22"/>
        <v>Y</v>
      </c>
      <c r="FJ15" s="2" t="str">
        <f t="shared" si="23"/>
        <v>Y</v>
      </c>
      <c r="FK15" s="2" t="str">
        <f t="shared" si="24"/>
        <v>Y</v>
      </c>
      <c r="FL15" s="2" t="str">
        <f t="shared" si="25"/>
        <v>Y</v>
      </c>
      <c r="FM15" s="2" t="str">
        <f t="shared" si="26"/>
        <v>Y</v>
      </c>
      <c r="FN15" s="2" t="str">
        <f t="shared" si="27"/>
        <v>Y</v>
      </c>
      <c r="FO15" s="2" t="str">
        <f t="shared" si="28"/>
        <v>Y</v>
      </c>
      <c r="FP15" s="2" t="str">
        <f t="shared" si="29"/>
        <v>Y</v>
      </c>
      <c r="FQ15" s="2" t="str">
        <f t="shared" si="30"/>
        <v>Y</v>
      </c>
      <c r="FR15" s="2" t="str">
        <f t="shared" si="31"/>
        <v>Y</v>
      </c>
      <c r="FS15" s="2" t="str">
        <f t="shared" si="32"/>
        <v>Y</v>
      </c>
      <c r="FT15" s="2" t="str">
        <f t="shared" si="33"/>
        <v>Y</v>
      </c>
      <c r="FU15" s="2" t="str">
        <f t="shared" si="34"/>
        <v>Y</v>
      </c>
      <c r="FV15" s="2" t="str">
        <f t="shared" si="35"/>
        <v>Y</v>
      </c>
      <c r="FW15" s="2" t="str">
        <f t="shared" si="36"/>
        <v>Y</v>
      </c>
      <c r="FX15" s="2" t="str">
        <f t="shared" si="37"/>
        <v>Y</v>
      </c>
      <c r="FY15" s="2" t="str">
        <f t="shared" si="38"/>
        <v>Y</v>
      </c>
      <c r="FZ15" s="2" t="str">
        <f t="shared" si="39"/>
        <v>Y</v>
      </c>
      <c r="GA15" s="2" t="str">
        <f t="shared" si="40"/>
        <v>Y</v>
      </c>
      <c r="GB15" s="2" t="str">
        <f t="shared" si="41"/>
        <v>Y</v>
      </c>
      <c r="GC15" s="2" t="str">
        <f t="shared" si="42"/>
        <v>Y</v>
      </c>
      <c r="GD15" s="2" t="str">
        <f t="shared" si="43"/>
        <v>Y</v>
      </c>
      <c r="GE15" s="2" t="str">
        <f t="shared" si="44"/>
        <v>Y</v>
      </c>
      <c r="GF15" s="2" t="str">
        <f t="shared" si="45"/>
        <v>Y</v>
      </c>
      <c r="GG15" s="2" t="str">
        <f t="shared" si="46"/>
        <v>Y</v>
      </c>
      <c r="GH15" s="2" t="str">
        <f t="shared" si="47"/>
        <v>Y</v>
      </c>
      <c r="GI15" s="2" t="str">
        <f t="shared" si="48"/>
        <v>Y</v>
      </c>
      <c r="GJ15" s="2" t="str">
        <f t="shared" si="49"/>
        <v>Y</v>
      </c>
      <c r="GK15" s="2" t="str">
        <f t="shared" si="50"/>
        <v>Y</v>
      </c>
      <c r="GL15" s="2" t="str">
        <f t="shared" si="51"/>
        <v>Y</v>
      </c>
      <c r="GM15" s="2" t="str">
        <f t="shared" ref="GM15:GM26" si="82">IF(DG15=DH15,"Y","N")</f>
        <v>Y</v>
      </c>
      <c r="GN15" s="2" t="str">
        <f t="shared" ref="GN15:GN26" si="83">IF(DO15=DP15,"Y","N")</f>
        <v>Y</v>
      </c>
      <c r="GO15" s="2" t="str">
        <f t="shared" ref="GO15:GO26" si="84">IF(DQ15=DR15,"Y","N")</f>
        <v>Y</v>
      </c>
      <c r="GP15" s="2" t="str">
        <f t="shared" ref="GP15:GP26" si="85">IF(DS15=DT15,"Y","N")</f>
        <v>Y</v>
      </c>
      <c r="GQ15" s="2" t="str">
        <f t="shared" ref="GQ15:GQ26" si="86">IF(DU15=DV15,"Y","N")</f>
        <v>Y</v>
      </c>
      <c r="GR15" s="2" t="str">
        <f t="shared" ref="GR15:GR26" si="87">IF(DW15=DX15,"Y","N")</f>
        <v>Y</v>
      </c>
      <c r="GS15" s="2" t="str">
        <f t="shared" ref="GS15:GS26" si="88">IF(DY15=DZ15,"Y","N")</f>
        <v>Y</v>
      </c>
      <c r="GT15" s="2" t="str">
        <f t="shared" ref="GT15:GT26" si="89">IF(EA15=EB15,"Y","N")</f>
        <v>Y</v>
      </c>
      <c r="GU15" s="2" t="str">
        <f t="shared" ref="GU15:GU26" si="90">IF(EC15=ED15,"Y","N")</f>
        <v>Y</v>
      </c>
      <c r="GV15" s="2" t="str">
        <f t="shared" ref="GV15:GV26" si="91">IF(EE15=EF15,"Y","N")</f>
        <v>Y</v>
      </c>
      <c r="GW15" s="2" t="str">
        <f t="shared" ref="GW15:GW26" si="92">IF(EG15=EH15,"Y","N")</f>
        <v>Y</v>
      </c>
      <c r="GX15" s="49" t="str">
        <f t="shared" ref="GX15:GX26" si="93">IF(EI15=EJ15,"Y","N")</f>
        <v>Y</v>
      </c>
      <c r="GY15" s="50"/>
      <c r="GZ15" s="53"/>
    </row>
    <row r="16" spans="1:208" ht="32" x14ac:dyDescent="0.2">
      <c r="A16" s="26" t="s">
        <v>139</v>
      </c>
      <c r="B16" s="27">
        <v>2017</v>
      </c>
      <c r="C16" s="27">
        <v>43</v>
      </c>
      <c r="D16" s="27">
        <v>43</v>
      </c>
      <c r="E16" s="2">
        <v>5</v>
      </c>
      <c r="F16" s="27">
        <v>5</v>
      </c>
      <c r="G16" s="27" t="s">
        <v>57</v>
      </c>
      <c r="H16" s="27" t="s">
        <v>57</v>
      </c>
      <c r="I16" s="27" t="s">
        <v>57</v>
      </c>
      <c r="J16" s="27" t="s">
        <v>57</v>
      </c>
      <c r="K16" s="27">
        <v>25.6</v>
      </c>
      <c r="L16" s="2">
        <v>25.6</v>
      </c>
      <c r="M16" s="2" t="s">
        <v>57</v>
      </c>
      <c r="N16" s="2" t="s">
        <v>57</v>
      </c>
      <c r="O16" s="2" t="s">
        <v>57</v>
      </c>
      <c r="P16" s="2" t="s">
        <v>57</v>
      </c>
      <c r="Q16" s="2" t="s">
        <v>57</v>
      </c>
      <c r="R16" s="2" t="s">
        <v>57</v>
      </c>
      <c r="S16" s="2" t="s">
        <v>57</v>
      </c>
      <c r="T16" s="2" t="s">
        <v>57</v>
      </c>
      <c r="U16" s="62">
        <v>0</v>
      </c>
      <c r="V16" s="62">
        <v>0</v>
      </c>
      <c r="W16" s="62">
        <v>48</v>
      </c>
      <c r="X16" s="62">
        <v>48</v>
      </c>
      <c r="Y16" s="27">
        <v>0</v>
      </c>
      <c r="Z16" s="27">
        <v>0</v>
      </c>
      <c r="AA16" s="27">
        <v>0</v>
      </c>
      <c r="AB16" s="27">
        <v>0</v>
      </c>
      <c r="AC16" s="44" t="s">
        <v>101</v>
      </c>
      <c r="AD16" s="2" t="s">
        <v>140</v>
      </c>
      <c r="AE16" s="27" t="s">
        <v>140</v>
      </c>
      <c r="AF16" s="27" t="s">
        <v>103</v>
      </c>
      <c r="AG16" s="27" t="s">
        <v>82</v>
      </c>
      <c r="AH16" s="27" t="s">
        <v>82</v>
      </c>
      <c r="AI16" s="27" t="s">
        <v>83</v>
      </c>
      <c r="AJ16" s="27" t="s">
        <v>83</v>
      </c>
      <c r="AK16" s="27" t="s">
        <v>83</v>
      </c>
      <c r="AL16" s="27" t="s">
        <v>83</v>
      </c>
      <c r="AM16" s="27">
        <v>48</v>
      </c>
      <c r="AN16" s="27">
        <v>48</v>
      </c>
      <c r="AO16" s="27">
        <v>0</v>
      </c>
      <c r="AP16" s="27">
        <v>0</v>
      </c>
      <c r="AQ16" s="27">
        <v>0</v>
      </c>
      <c r="AR16" s="27">
        <v>0</v>
      </c>
      <c r="AS16" s="27">
        <v>48</v>
      </c>
      <c r="AT16" s="27">
        <v>48</v>
      </c>
      <c r="AU16" s="27">
        <v>23</v>
      </c>
      <c r="AV16" s="27">
        <v>23</v>
      </c>
      <c r="AW16" s="27" t="s">
        <v>84</v>
      </c>
      <c r="AX16" s="27" t="s">
        <v>99</v>
      </c>
      <c r="AY16" s="27" t="s">
        <v>85</v>
      </c>
      <c r="AZ16" s="27" t="s">
        <v>85</v>
      </c>
      <c r="BA16" s="27">
        <v>23</v>
      </c>
      <c r="BB16" s="27">
        <v>23</v>
      </c>
      <c r="BC16" s="27" t="s">
        <v>85</v>
      </c>
      <c r="BD16" s="27" t="s">
        <v>85</v>
      </c>
      <c r="BE16" s="27" t="s">
        <v>85</v>
      </c>
      <c r="BF16" s="27" t="s">
        <v>85</v>
      </c>
      <c r="BG16" s="27">
        <v>23</v>
      </c>
      <c r="BH16" s="27">
        <v>23</v>
      </c>
      <c r="BI16" s="27" t="s">
        <v>85</v>
      </c>
      <c r="BJ16" s="27" t="s">
        <v>85</v>
      </c>
      <c r="BK16" s="27" t="s">
        <v>85</v>
      </c>
      <c r="BL16" s="27" t="s">
        <v>85</v>
      </c>
      <c r="BM16" s="27" t="s">
        <v>85</v>
      </c>
      <c r="BN16" s="27" t="s">
        <v>85</v>
      </c>
      <c r="BO16" s="27" t="s">
        <v>85</v>
      </c>
      <c r="BP16" s="27" t="s">
        <v>85</v>
      </c>
      <c r="BQ16" s="27" t="s">
        <v>85</v>
      </c>
      <c r="BR16" s="27" t="s">
        <v>85</v>
      </c>
      <c r="BS16" s="27" t="s">
        <v>85</v>
      </c>
      <c r="BT16" s="27" t="s">
        <v>85</v>
      </c>
      <c r="BU16" s="27" t="s">
        <v>85</v>
      </c>
      <c r="BV16" s="27" t="s">
        <v>85</v>
      </c>
      <c r="BW16" s="27" t="s">
        <v>85</v>
      </c>
      <c r="BX16" s="27" t="s">
        <v>85</v>
      </c>
      <c r="BY16" s="27" t="s">
        <v>85</v>
      </c>
      <c r="BZ16" s="27" t="s">
        <v>85</v>
      </c>
      <c r="CA16" s="27" t="s">
        <v>85</v>
      </c>
      <c r="CB16" s="27" t="s">
        <v>85</v>
      </c>
      <c r="CC16" s="27" t="s">
        <v>85</v>
      </c>
      <c r="CD16" s="27" t="s">
        <v>85</v>
      </c>
      <c r="CE16" s="27" t="s">
        <v>85</v>
      </c>
      <c r="CF16" s="27" t="s">
        <v>85</v>
      </c>
      <c r="CG16" s="27" t="s">
        <v>57</v>
      </c>
      <c r="CH16" s="27" t="s">
        <v>57</v>
      </c>
      <c r="CI16" s="27" t="s">
        <v>57</v>
      </c>
      <c r="CJ16" s="27" t="s">
        <v>57</v>
      </c>
      <c r="CK16" s="27" t="s">
        <v>57</v>
      </c>
      <c r="CL16" s="27" t="s">
        <v>57</v>
      </c>
      <c r="CM16" s="27" t="s">
        <v>57</v>
      </c>
      <c r="CN16" s="27" t="s">
        <v>57</v>
      </c>
      <c r="CO16" s="27" t="s">
        <v>57</v>
      </c>
      <c r="CP16" s="27" t="s">
        <v>57</v>
      </c>
      <c r="CQ16" s="27" t="s">
        <v>57</v>
      </c>
      <c r="CR16" s="27" t="s">
        <v>57</v>
      </c>
      <c r="CS16" s="27" t="s">
        <v>119</v>
      </c>
      <c r="CT16" s="27" t="s">
        <v>119</v>
      </c>
      <c r="CU16" s="27" t="s">
        <v>86</v>
      </c>
      <c r="CV16" s="27" t="s">
        <v>86</v>
      </c>
      <c r="CW16" s="27" t="s">
        <v>57</v>
      </c>
      <c r="CX16" s="27" t="s">
        <v>57</v>
      </c>
      <c r="CY16" s="27" t="s">
        <v>57</v>
      </c>
      <c r="CZ16" s="27" t="s">
        <v>57</v>
      </c>
      <c r="DA16" s="27" t="s">
        <v>57</v>
      </c>
      <c r="DB16" s="27" t="s">
        <v>57</v>
      </c>
      <c r="DC16" s="27" t="s">
        <v>57</v>
      </c>
      <c r="DD16" s="2" t="s">
        <v>57</v>
      </c>
      <c r="DE16" s="27" t="s">
        <v>57</v>
      </c>
      <c r="DF16" s="27" t="s">
        <v>57</v>
      </c>
      <c r="DG16" s="27" t="s">
        <v>57</v>
      </c>
      <c r="DH16" s="27" t="s">
        <v>57</v>
      </c>
      <c r="DI16" s="27" t="s">
        <v>87</v>
      </c>
      <c r="DJ16" s="27" t="s">
        <v>128</v>
      </c>
      <c r="DK16" s="27" t="s">
        <v>141</v>
      </c>
      <c r="DL16" s="27" t="s">
        <v>141</v>
      </c>
      <c r="DM16" s="27" t="s">
        <v>89</v>
      </c>
      <c r="DN16" s="27" t="s">
        <v>89</v>
      </c>
      <c r="DO16" s="27">
        <v>0</v>
      </c>
      <c r="DP16" s="27">
        <v>0</v>
      </c>
      <c r="DQ16" s="27">
        <v>1</v>
      </c>
      <c r="DR16" s="27">
        <v>1</v>
      </c>
      <c r="DS16" s="27">
        <v>1</v>
      </c>
      <c r="DT16" s="27">
        <v>1</v>
      </c>
      <c r="DU16" s="27">
        <v>1</v>
      </c>
      <c r="DV16" s="27">
        <v>1</v>
      </c>
      <c r="DW16" s="27">
        <v>1</v>
      </c>
      <c r="DX16" s="27">
        <v>1</v>
      </c>
      <c r="DY16" s="27">
        <v>1</v>
      </c>
      <c r="DZ16" s="27">
        <v>1</v>
      </c>
      <c r="EA16" s="27">
        <v>1</v>
      </c>
      <c r="EB16" s="27">
        <v>1</v>
      </c>
      <c r="EC16" s="27">
        <v>1</v>
      </c>
      <c r="ED16" s="27">
        <v>1</v>
      </c>
      <c r="EE16" s="27">
        <v>1</v>
      </c>
      <c r="EF16" s="27">
        <v>1</v>
      </c>
      <c r="EG16" s="27">
        <v>1</v>
      </c>
      <c r="EH16" s="27">
        <v>1</v>
      </c>
      <c r="EI16" s="27">
        <f t="shared" si="64"/>
        <v>9</v>
      </c>
      <c r="EJ16" s="27">
        <f t="shared" si="65"/>
        <v>9</v>
      </c>
      <c r="EK16" s="28" t="s">
        <v>139</v>
      </c>
      <c r="EL16" s="59">
        <v>2017</v>
      </c>
      <c r="EM16" s="2" t="str">
        <f t="shared" si="0"/>
        <v>Y</v>
      </c>
      <c r="EN16" s="2" t="str">
        <f t="shared" si="1"/>
        <v>Y</v>
      </c>
      <c r="EO16" s="2" t="str">
        <f t="shared" si="2"/>
        <v>Y</v>
      </c>
      <c r="EP16" s="2" t="str">
        <f t="shared" si="3"/>
        <v>Y</v>
      </c>
      <c r="EQ16" s="2" t="str">
        <f t="shared" si="4"/>
        <v>Y</v>
      </c>
      <c r="ER16" s="2" t="str">
        <f t="shared" si="5"/>
        <v>Y</v>
      </c>
      <c r="ES16" s="2" t="str">
        <f t="shared" si="6"/>
        <v>Y</v>
      </c>
      <c r="ET16" s="2" t="str">
        <f t="shared" si="7"/>
        <v>Y</v>
      </c>
      <c r="EU16" s="2" t="str">
        <f t="shared" si="8"/>
        <v>Y</v>
      </c>
      <c r="EV16" s="2" t="str">
        <f t="shared" si="9"/>
        <v>Y</v>
      </c>
      <c r="EW16" s="2" t="str">
        <f t="shared" si="10"/>
        <v>Y</v>
      </c>
      <c r="EX16" s="2" t="str">
        <f t="shared" si="11"/>
        <v>Y</v>
      </c>
      <c r="EY16" s="2" t="str">
        <f t="shared" si="12"/>
        <v>Y</v>
      </c>
      <c r="EZ16" s="2" t="str">
        <f t="shared" si="13"/>
        <v>Y</v>
      </c>
      <c r="FA16" s="2" t="str">
        <f t="shared" si="14"/>
        <v>Y</v>
      </c>
      <c r="FB16" s="2" t="str">
        <f t="shared" si="15"/>
        <v>Y</v>
      </c>
      <c r="FC16" s="2" t="str">
        <f t="shared" si="16"/>
        <v>Y</v>
      </c>
      <c r="FD16" s="2" t="str">
        <f t="shared" si="17"/>
        <v>Y</v>
      </c>
      <c r="FE16" s="2" t="str">
        <f t="shared" si="18"/>
        <v>Y</v>
      </c>
      <c r="FF16" s="2" t="str">
        <f t="shared" si="19"/>
        <v>Y</v>
      </c>
      <c r="FG16" s="2" t="str">
        <f t="shared" si="20"/>
        <v>Y</v>
      </c>
      <c r="FH16" s="2" t="str">
        <f t="shared" si="21"/>
        <v>Y</v>
      </c>
      <c r="FI16" s="2" t="str">
        <f t="shared" si="22"/>
        <v>Y</v>
      </c>
      <c r="FJ16" s="2" t="str">
        <f t="shared" si="23"/>
        <v>Y</v>
      </c>
      <c r="FK16" s="2" t="str">
        <f t="shared" si="24"/>
        <v>Y</v>
      </c>
      <c r="FL16" s="2" t="str">
        <f t="shared" si="25"/>
        <v>Y</v>
      </c>
      <c r="FM16" s="2" t="str">
        <f t="shared" si="26"/>
        <v>Y</v>
      </c>
      <c r="FN16" s="2" t="str">
        <f t="shared" si="27"/>
        <v>Y</v>
      </c>
      <c r="FO16" s="2" t="str">
        <f t="shared" si="28"/>
        <v>Y</v>
      </c>
      <c r="FP16" s="2" t="str">
        <f t="shared" si="29"/>
        <v>Y</v>
      </c>
      <c r="FQ16" s="2" t="str">
        <f t="shared" si="30"/>
        <v>Y</v>
      </c>
      <c r="FR16" s="2" t="str">
        <f t="shared" si="31"/>
        <v>Y</v>
      </c>
      <c r="FS16" s="2" t="str">
        <f t="shared" si="32"/>
        <v>Y</v>
      </c>
      <c r="FT16" s="2" t="str">
        <f t="shared" si="33"/>
        <v>Y</v>
      </c>
      <c r="FU16" s="2" t="str">
        <f t="shared" si="34"/>
        <v>Y</v>
      </c>
      <c r="FV16" s="2" t="str">
        <f t="shared" si="35"/>
        <v>Y</v>
      </c>
      <c r="FW16" s="2" t="str">
        <f t="shared" si="36"/>
        <v>Y</v>
      </c>
      <c r="FX16" s="2" t="str">
        <f t="shared" si="37"/>
        <v>Y</v>
      </c>
      <c r="FY16" s="2" t="str">
        <f t="shared" si="38"/>
        <v>Y</v>
      </c>
      <c r="FZ16" s="2" t="str">
        <f t="shared" si="39"/>
        <v>Y</v>
      </c>
      <c r="GA16" s="2" t="str">
        <f t="shared" si="40"/>
        <v>Y</v>
      </c>
      <c r="GB16" s="2" t="str">
        <f t="shared" si="41"/>
        <v>Y</v>
      </c>
      <c r="GC16" s="2" t="str">
        <f t="shared" si="42"/>
        <v>Y</v>
      </c>
      <c r="GD16" s="2" t="str">
        <f t="shared" si="43"/>
        <v>Y</v>
      </c>
      <c r="GE16" s="2" t="str">
        <f t="shared" si="44"/>
        <v>Y</v>
      </c>
      <c r="GF16" s="2" t="str">
        <f t="shared" si="45"/>
        <v>Y</v>
      </c>
      <c r="GG16" s="2" t="str">
        <f t="shared" si="46"/>
        <v>Y</v>
      </c>
      <c r="GH16" s="2" t="str">
        <f t="shared" si="47"/>
        <v>Y</v>
      </c>
      <c r="GI16" s="2" t="str">
        <f t="shared" si="48"/>
        <v>Y</v>
      </c>
      <c r="GJ16" s="2" t="str">
        <f t="shared" si="49"/>
        <v>Y</v>
      </c>
      <c r="GK16" s="2" t="str">
        <f t="shared" si="50"/>
        <v>Y</v>
      </c>
      <c r="GL16" s="2" t="str">
        <f t="shared" si="51"/>
        <v>Y</v>
      </c>
      <c r="GM16" s="2" t="str">
        <f t="shared" si="82"/>
        <v>Y</v>
      </c>
      <c r="GN16" s="2" t="str">
        <f t="shared" si="83"/>
        <v>Y</v>
      </c>
      <c r="GO16" s="2" t="str">
        <f t="shared" si="84"/>
        <v>Y</v>
      </c>
      <c r="GP16" s="2" t="str">
        <f t="shared" si="85"/>
        <v>Y</v>
      </c>
      <c r="GQ16" s="2" t="str">
        <f t="shared" si="86"/>
        <v>Y</v>
      </c>
      <c r="GR16" s="2" t="str">
        <f t="shared" si="87"/>
        <v>Y</v>
      </c>
      <c r="GS16" s="2" t="str">
        <f t="shared" si="88"/>
        <v>Y</v>
      </c>
      <c r="GT16" s="2" t="str">
        <f t="shared" si="89"/>
        <v>Y</v>
      </c>
      <c r="GU16" s="2" t="str">
        <f t="shared" si="90"/>
        <v>Y</v>
      </c>
      <c r="GV16" s="2" t="str">
        <f t="shared" si="91"/>
        <v>Y</v>
      </c>
      <c r="GW16" s="2" t="str">
        <f t="shared" si="92"/>
        <v>Y</v>
      </c>
      <c r="GX16" s="49" t="str">
        <f t="shared" si="93"/>
        <v>Y</v>
      </c>
      <c r="GY16" s="50"/>
      <c r="GZ16" s="53"/>
    </row>
    <row r="17" spans="1:208" ht="32" x14ac:dyDescent="0.2">
      <c r="A17" s="26" t="s">
        <v>142</v>
      </c>
      <c r="B17" s="27" t="s">
        <v>143</v>
      </c>
      <c r="C17" s="27" t="s">
        <v>57</v>
      </c>
      <c r="D17" s="27" t="s">
        <v>57</v>
      </c>
      <c r="E17" s="2" t="s">
        <v>57</v>
      </c>
      <c r="F17" s="27" t="s">
        <v>57</v>
      </c>
      <c r="G17" s="27" t="s">
        <v>57</v>
      </c>
      <c r="H17" s="27" t="s">
        <v>57</v>
      </c>
      <c r="I17" s="27" t="s">
        <v>57</v>
      </c>
      <c r="J17" s="27" t="s">
        <v>57</v>
      </c>
      <c r="K17" s="27" t="s">
        <v>57</v>
      </c>
      <c r="L17" s="2" t="s">
        <v>57</v>
      </c>
      <c r="M17" s="2" t="s">
        <v>57</v>
      </c>
      <c r="N17" s="2" t="s">
        <v>57</v>
      </c>
      <c r="O17" s="2" t="s">
        <v>57</v>
      </c>
      <c r="P17" s="2" t="s">
        <v>57</v>
      </c>
      <c r="Q17" s="2" t="s">
        <v>57</v>
      </c>
      <c r="R17" s="2" t="s">
        <v>57</v>
      </c>
      <c r="S17" s="2" t="s">
        <v>57</v>
      </c>
      <c r="T17" s="2" t="s">
        <v>57</v>
      </c>
      <c r="U17" s="62" t="s">
        <v>57</v>
      </c>
      <c r="V17" s="62" t="s">
        <v>57</v>
      </c>
      <c r="W17" s="62">
        <v>18297</v>
      </c>
      <c r="X17" s="62">
        <v>18297</v>
      </c>
      <c r="Y17" s="27" t="s">
        <v>57</v>
      </c>
      <c r="Z17" s="27" t="s">
        <v>57</v>
      </c>
      <c r="AA17" s="27" t="s">
        <v>57</v>
      </c>
      <c r="AB17" s="27" t="s">
        <v>57</v>
      </c>
      <c r="AC17" s="44"/>
      <c r="AD17" s="2" t="s">
        <v>126</v>
      </c>
      <c r="AE17" s="27" t="s">
        <v>126</v>
      </c>
      <c r="AF17" s="27"/>
      <c r="AG17" s="27" t="s">
        <v>83</v>
      </c>
      <c r="AH17" s="27" t="s">
        <v>83</v>
      </c>
      <c r="AI17" s="27" t="s">
        <v>82</v>
      </c>
      <c r="AJ17" s="27" t="s">
        <v>82</v>
      </c>
      <c r="AK17" s="27" t="s">
        <v>82</v>
      </c>
      <c r="AL17" s="27" t="s">
        <v>82</v>
      </c>
      <c r="AM17" s="27" t="s">
        <v>57</v>
      </c>
      <c r="AN17" s="27" t="s">
        <v>57</v>
      </c>
      <c r="AO17" s="27" t="s">
        <v>57</v>
      </c>
      <c r="AP17" s="27" t="s">
        <v>57</v>
      </c>
      <c r="AQ17" s="27" t="s">
        <v>57</v>
      </c>
      <c r="AR17" s="27" t="s">
        <v>57</v>
      </c>
      <c r="AS17" s="27">
        <v>18297</v>
      </c>
      <c r="AT17" s="27">
        <v>18297</v>
      </c>
      <c r="AU17" s="27">
        <v>553</v>
      </c>
      <c r="AV17" s="27">
        <v>553</v>
      </c>
      <c r="AW17" s="27" t="s">
        <v>94</v>
      </c>
      <c r="AX17" s="27" t="s">
        <v>94</v>
      </c>
      <c r="AY17" s="27" t="s">
        <v>57</v>
      </c>
      <c r="AZ17" s="27" t="s">
        <v>57</v>
      </c>
      <c r="BA17" s="27" t="s">
        <v>57</v>
      </c>
      <c r="BB17" s="27" t="s">
        <v>57</v>
      </c>
      <c r="BC17" s="27" t="s">
        <v>57</v>
      </c>
      <c r="BD17" s="27" t="s">
        <v>57</v>
      </c>
      <c r="BE17" s="27" t="s">
        <v>57</v>
      </c>
      <c r="BF17" s="27" t="s">
        <v>57</v>
      </c>
      <c r="BG17" s="27" t="s">
        <v>57</v>
      </c>
      <c r="BH17" s="27" t="s">
        <v>57</v>
      </c>
      <c r="BI17" s="27" t="s">
        <v>57</v>
      </c>
      <c r="BJ17" s="27" t="s">
        <v>57</v>
      </c>
      <c r="BK17" s="27" t="s">
        <v>57</v>
      </c>
      <c r="BL17" s="27" t="s">
        <v>57</v>
      </c>
      <c r="BM17" s="27" t="s">
        <v>57</v>
      </c>
      <c r="BN17" s="27" t="s">
        <v>57</v>
      </c>
      <c r="BO17" s="27" t="s">
        <v>57</v>
      </c>
      <c r="BP17" s="27" t="s">
        <v>57</v>
      </c>
      <c r="BQ17" s="27" t="s">
        <v>57</v>
      </c>
      <c r="BR17" s="27" t="s">
        <v>57</v>
      </c>
      <c r="BS17" s="27" t="s">
        <v>57</v>
      </c>
      <c r="BT17" s="27" t="s">
        <v>57</v>
      </c>
      <c r="BU17" s="27" t="s">
        <v>57</v>
      </c>
      <c r="BV17" s="27" t="s">
        <v>57</v>
      </c>
      <c r="BW17" s="27" t="s">
        <v>57</v>
      </c>
      <c r="BX17" s="27" t="s">
        <v>57</v>
      </c>
      <c r="BY17" s="27" t="s">
        <v>57</v>
      </c>
      <c r="BZ17" s="27" t="s">
        <v>57</v>
      </c>
      <c r="CA17" s="27" t="s">
        <v>57</v>
      </c>
      <c r="CB17" s="27" t="s">
        <v>57</v>
      </c>
      <c r="CC17" s="27" t="s">
        <v>57</v>
      </c>
      <c r="CD17" s="27" t="s">
        <v>57</v>
      </c>
      <c r="CE17" s="27">
        <v>553</v>
      </c>
      <c r="CF17" s="27">
        <v>553</v>
      </c>
      <c r="CG17" s="27" t="s">
        <v>57</v>
      </c>
      <c r="CH17" s="27" t="s">
        <v>57</v>
      </c>
      <c r="CI17" s="27" t="s">
        <v>57</v>
      </c>
      <c r="CJ17" s="27" t="s">
        <v>57</v>
      </c>
      <c r="CK17" s="27" t="s">
        <v>57</v>
      </c>
      <c r="CL17" s="27" t="s">
        <v>57</v>
      </c>
      <c r="CM17" s="27" t="s">
        <v>57</v>
      </c>
      <c r="CN17" s="27" t="s">
        <v>57</v>
      </c>
      <c r="CO17" s="27" t="s">
        <v>57</v>
      </c>
      <c r="CP17" s="27" t="s">
        <v>57</v>
      </c>
      <c r="CQ17" s="27" t="s">
        <v>57</v>
      </c>
      <c r="CR17" s="27" t="s">
        <v>57</v>
      </c>
      <c r="CS17" s="27" t="s">
        <v>57</v>
      </c>
      <c r="CT17" s="27" t="s">
        <v>57</v>
      </c>
      <c r="CU17" s="27" t="s">
        <v>57</v>
      </c>
      <c r="CV17" s="27" t="s">
        <v>57</v>
      </c>
      <c r="CW17" s="27" t="s">
        <v>57</v>
      </c>
      <c r="CX17" s="27" t="s">
        <v>57</v>
      </c>
      <c r="CY17" s="27" t="s">
        <v>57</v>
      </c>
      <c r="CZ17" s="27" t="s">
        <v>57</v>
      </c>
      <c r="DA17" s="27" t="s">
        <v>57</v>
      </c>
      <c r="DB17" s="27" t="s">
        <v>57</v>
      </c>
      <c r="DC17" s="27" t="s">
        <v>57</v>
      </c>
      <c r="DD17" s="2" t="s">
        <v>57</v>
      </c>
      <c r="DE17" s="27" t="s">
        <v>57</v>
      </c>
      <c r="DF17" s="27" t="s">
        <v>57</v>
      </c>
      <c r="DG17" s="27" t="s">
        <v>57</v>
      </c>
      <c r="DH17" s="27" t="s">
        <v>57</v>
      </c>
      <c r="DI17" s="27" t="s">
        <v>57</v>
      </c>
      <c r="DJ17" s="27" t="s">
        <v>57</v>
      </c>
      <c r="DK17" s="27" t="s">
        <v>57</v>
      </c>
      <c r="DL17" s="27" t="s">
        <v>57</v>
      </c>
      <c r="DM17" s="27" t="s">
        <v>57</v>
      </c>
      <c r="DN17" s="27" t="s">
        <v>57</v>
      </c>
      <c r="DO17" s="27">
        <v>1</v>
      </c>
      <c r="DP17" s="27">
        <v>1</v>
      </c>
      <c r="DQ17" s="27">
        <v>1</v>
      </c>
      <c r="DR17" s="27">
        <v>1</v>
      </c>
      <c r="DS17" s="27">
        <v>1</v>
      </c>
      <c r="DT17" s="27">
        <v>1</v>
      </c>
      <c r="DU17" s="27">
        <v>1</v>
      </c>
      <c r="DV17" s="27">
        <v>0</v>
      </c>
      <c r="DW17" s="27">
        <v>1</v>
      </c>
      <c r="DX17" s="27">
        <v>1</v>
      </c>
      <c r="DY17" s="27">
        <v>1</v>
      </c>
      <c r="DZ17" s="27">
        <v>1</v>
      </c>
      <c r="EA17" s="27">
        <v>0</v>
      </c>
      <c r="EB17" s="27">
        <v>1</v>
      </c>
      <c r="EC17" s="27">
        <v>1</v>
      </c>
      <c r="ED17" s="27">
        <v>1</v>
      </c>
      <c r="EE17" s="27">
        <v>1</v>
      </c>
      <c r="EF17" s="27">
        <v>1</v>
      </c>
      <c r="EG17" s="27">
        <v>1</v>
      </c>
      <c r="EH17" s="27">
        <v>1</v>
      </c>
      <c r="EI17" s="27">
        <f t="shared" si="64"/>
        <v>9</v>
      </c>
      <c r="EJ17" s="27">
        <f t="shared" si="65"/>
        <v>9</v>
      </c>
      <c r="EK17" s="26" t="s">
        <v>142</v>
      </c>
      <c r="EL17" s="59" t="s">
        <v>143</v>
      </c>
      <c r="EM17" s="2"/>
      <c r="EN17" s="2"/>
      <c r="EO17" s="2" t="str">
        <f t="shared" si="2"/>
        <v>Y</v>
      </c>
      <c r="EP17" s="2" t="str">
        <f t="shared" si="3"/>
        <v>Y</v>
      </c>
      <c r="EQ17" s="2"/>
      <c r="ER17" s="2" t="str">
        <f t="shared" si="5"/>
        <v>Y</v>
      </c>
      <c r="ES17" s="2" t="str">
        <f t="shared" si="6"/>
        <v>Y</v>
      </c>
      <c r="ET17" s="2" t="str">
        <f t="shared" si="7"/>
        <v>Y</v>
      </c>
      <c r="EU17" s="2" t="str">
        <f t="shared" si="8"/>
        <v>Y</v>
      </c>
      <c r="EV17" s="2"/>
      <c r="EW17" s="2" t="str">
        <f t="shared" si="10"/>
        <v>Y</v>
      </c>
      <c r="EX17" s="2"/>
      <c r="EY17" s="2"/>
      <c r="EZ17" s="2" t="str">
        <f t="shared" si="13"/>
        <v>Y</v>
      </c>
      <c r="FA17" s="2" t="str">
        <f t="shared" si="14"/>
        <v>Y</v>
      </c>
      <c r="FB17" s="2" t="str">
        <f t="shared" si="15"/>
        <v>Y</v>
      </c>
      <c r="FC17" s="2"/>
      <c r="FD17" s="2"/>
      <c r="FE17" s="2"/>
      <c r="FF17" s="2" t="str">
        <f t="shared" si="19"/>
        <v>Y</v>
      </c>
      <c r="FG17" s="2" t="str">
        <f t="shared" si="20"/>
        <v>Y</v>
      </c>
      <c r="FH17" s="2" t="str">
        <f t="shared" si="21"/>
        <v>Y</v>
      </c>
      <c r="FI17" s="2"/>
      <c r="FJ17" s="2"/>
      <c r="FK17" s="2" t="str">
        <f t="shared" si="24"/>
        <v>Y</v>
      </c>
      <c r="FL17" s="2" t="str">
        <f t="shared" si="25"/>
        <v>Y</v>
      </c>
      <c r="FM17" s="2"/>
      <c r="FN17" s="2" t="str">
        <f t="shared" si="27"/>
        <v>Y</v>
      </c>
      <c r="FO17" s="2" t="str">
        <f t="shared" si="28"/>
        <v>Y</v>
      </c>
      <c r="FP17" s="2" t="str">
        <f t="shared" si="29"/>
        <v>Y</v>
      </c>
      <c r="FQ17" s="2" t="str">
        <f t="shared" si="30"/>
        <v>Y</v>
      </c>
      <c r="FR17" s="2" t="str">
        <f t="shared" si="31"/>
        <v>Y</v>
      </c>
      <c r="FS17" s="2" t="str">
        <f t="shared" si="32"/>
        <v>Y</v>
      </c>
      <c r="FT17" s="2" t="str">
        <f t="shared" si="33"/>
        <v>Y</v>
      </c>
      <c r="FU17" s="2" t="str">
        <f t="shared" si="34"/>
        <v>Y</v>
      </c>
      <c r="FV17" s="2" t="str">
        <f t="shared" si="35"/>
        <v>Y</v>
      </c>
      <c r="FW17" s="2" t="str">
        <f t="shared" si="36"/>
        <v>Y</v>
      </c>
      <c r="FX17" s="2" t="str">
        <f t="shared" si="37"/>
        <v>Y</v>
      </c>
      <c r="FY17" s="2"/>
      <c r="FZ17" s="2" t="str">
        <f t="shared" si="39"/>
        <v>Y</v>
      </c>
      <c r="GA17" s="2" t="str">
        <f t="shared" si="40"/>
        <v>Y</v>
      </c>
      <c r="GB17" s="2" t="str">
        <f t="shared" si="41"/>
        <v>Y</v>
      </c>
      <c r="GC17" s="2" t="str">
        <f t="shared" si="42"/>
        <v>Y</v>
      </c>
      <c r="GD17" s="2" t="str">
        <f t="shared" si="43"/>
        <v>Y</v>
      </c>
      <c r="GE17" s="2" t="str">
        <f t="shared" si="44"/>
        <v>Y</v>
      </c>
      <c r="GF17" s="2" t="str">
        <f t="shared" si="45"/>
        <v>Y</v>
      </c>
      <c r="GG17" s="2" t="str">
        <f t="shared" si="46"/>
        <v>Y</v>
      </c>
      <c r="GH17" s="2" t="str">
        <f t="shared" si="47"/>
        <v>Y</v>
      </c>
      <c r="GI17" s="2" t="str">
        <f t="shared" si="48"/>
        <v>Y</v>
      </c>
      <c r="GJ17" s="2" t="str">
        <f t="shared" si="49"/>
        <v>Y</v>
      </c>
      <c r="GK17" s="2" t="str">
        <f t="shared" si="50"/>
        <v>Y</v>
      </c>
      <c r="GL17" s="2" t="str">
        <f t="shared" si="51"/>
        <v>Y</v>
      </c>
      <c r="GM17" s="2" t="str">
        <f t="shared" si="82"/>
        <v>Y</v>
      </c>
      <c r="GN17" s="2" t="str">
        <f t="shared" si="83"/>
        <v>Y</v>
      </c>
      <c r="GO17" s="2" t="str">
        <f t="shared" si="84"/>
        <v>Y</v>
      </c>
      <c r="GP17" s="2" t="str">
        <f t="shared" si="85"/>
        <v>Y</v>
      </c>
      <c r="GQ17" s="2" t="str">
        <f t="shared" si="86"/>
        <v>N</v>
      </c>
      <c r="GR17" s="2" t="str">
        <f t="shared" si="87"/>
        <v>Y</v>
      </c>
      <c r="GS17" s="2" t="str">
        <f t="shared" si="88"/>
        <v>Y</v>
      </c>
      <c r="GT17" s="2" t="str">
        <f t="shared" si="89"/>
        <v>N</v>
      </c>
      <c r="GU17" s="2" t="str">
        <f t="shared" si="90"/>
        <v>Y</v>
      </c>
      <c r="GV17" s="2" t="str">
        <f t="shared" si="91"/>
        <v>Y</v>
      </c>
      <c r="GW17" s="2" t="str">
        <f t="shared" si="92"/>
        <v>Y</v>
      </c>
      <c r="GX17" s="49" t="str">
        <f t="shared" si="93"/>
        <v>Y</v>
      </c>
      <c r="GY17" s="50"/>
      <c r="GZ17" s="53"/>
    </row>
    <row r="18" spans="1:208" ht="32" x14ac:dyDescent="0.2">
      <c r="A18" s="26" t="s">
        <v>144</v>
      </c>
      <c r="B18" s="27">
        <v>2021</v>
      </c>
      <c r="C18" s="27">
        <v>249</v>
      </c>
      <c r="D18" s="27">
        <v>249</v>
      </c>
      <c r="E18" s="2">
        <v>183</v>
      </c>
      <c r="F18" s="27">
        <v>183</v>
      </c>
      <c r="G18" s="27" t="s">
        <v>57</v>
      </c>
      <c r="H18" s="27" t="s">
        <v>57</v>
      </c>
      <c r="I18" s="27" t="s">
        <v>57</v>
      </c>
      <c r="J18" s="27" t="s">
        <v>57</v>
      </c>
      <c r="K18" s="27">
        <v>38.299999999999997</v>
      </c>
      <c r="L18" s="2">
        <v>38.299999999999997</v>
      </c>
      <c r="M18" s="2" t="s">
        <v>57</v>
      </c>
      <c r="N18" s="2" t="s">
        <v>57</v>
      </c>
      <c r="O18" s="2" t="s">
        <v>57</v>
      </c>
      <c r="P18" s="2" t="s">
        <v>57</v>
      </c>
      <c r="Q18" s="2" t="s">
        <v>57</v>
      </c>
      <c r="R18" s="2" t="s">
        <v>57</v>
      </c>
      <c r="S18" s="2" t="s">
        <v>57</v>
      </c>
      <c r="T18" s="2" t="s">
        <v>57</v>
      </c>
      <c r="U18" s="27">
        <v>0</v>
      </c>
      <c r="V18" s="27">
        <v>0</v>
      </c>
      <c r="W18" s="27">
        <v>8</v>
      </c>
      <c r="X18" s="27">
        <v>8</v>
      </c>
      <c r="Y18" s="27">
        <v>424</v>
      </c>
      <c r="Z18" s="27">
        <v>424</v>
      </c>
      <c r="AA18" s="27">
        <v>0</v>
      </c>
      <c r="AB18" s="27">
        <v>0</v>
      </c>
      <c r="AC18" s="44" t="s">
        <v>133</v>
      </c>
      <c r="AD18" s="2" t="s">
        <v>145</v>
      </c>
      <c r="AE18" s="27" t="s">
        <v>145</v>
      </c>
      <c r="AF18" s="27" t="s">
        <v>103</v>
      </c>
      <c r="AG18" s="27" t="s">
        <v>82</v>
      </c>
      <c r="AH18" s="27" t="s">
        <v>82</v>
      </c>
      <c r="AI18" s="27" t="s">
        <v>83</v>
      </c>
      <c r="AJ18" s="27" t="s">
        <v>83</v>
      </c>
      <c r="AK18" s="27" t="s">
        <v>83</v>
      </c>
      <c r="AL18" s="27" t="s">
        <v>83</v>
      </c>
      <c r="AM18" s="27">
        <v>432</v>
      </c>
      <c r="AN18" s="27">
        <v>432</v>
      </c>
      <c r="AO18" s="27">
        <v>0</v>
      </c>
      <c r="AP18" s="27">
        <v>0</v>
      </c>
      <c r="AQ18" s="27">
        <v>0</v>
      </c>
      <c r="AR18" s="27">
        <v>0</v>
      </c>
      <c r="AS18" s="27">
        <v>432</v>
      </c>
      <c r="AT18" s="27">
        <v>432</v>
      </c>
      <c r="AU18" s="27">
        <v>38</v>
      </c>
      <c r="AV18" s="27">
        <v>38</v>
      </c>
      <c r="AW18" s="27" t="s">
        <v>94</v>
      </c>
      <c r="AX18" s="27" t="s">
        <v>95</v>
      </c>
      <c r="AY18" s="27">
        <v>13</v>
      </c>
      <c r="AZ18" s="27">
        <v>13</v>
      </c>
      <c r="BA18" s="27">
        <v>25</v>
      </c>
      <c r="BB18" s="27">
        <v>25</v>
      </c>
      <c r="BC18" s="27" t="s">
        <v>85</v>
      </c>
      <c r="BD18" s="27" t="s">
        <v>85</v>
      </c>
      <c r="BE18" s="27" t="s">
        <v>85</v>
      </c>
      <c r="BF18" s="27" t="s">
        <v>85</v>
      </c>
      <c r="BG18" s="27">
        <v>25</v>
      </c>
      <c r="BH18" s="27">
        <v>25</v>
      </c>
      <c r="BI18" s="27" t="s">
        <v>85</v>
      </c>
      <c r="BJ18" s="27" t="s">
        <v>85</v>
      </c>
      <c r="BK18" s="27" t="s">
        <v>85</v>
      </c>
      <c r="BL18" s="27" t="s">
        <v>85</v>
      </c>
      <c r="BM18" s="27" t="s">
        <v>85</v>
      </c>
      <c r="BN18" s="27" t="s">
        <v>85</v>
      </c>
      <c r="BO18" s="27" t="s">
        <v>85</v>
      </c>
      <c r="BP18" s="27" t="s">
        <v>85</v>
      </c>
      <c r="BQ18" s="27" t="s">
        <v>85</v>
      </c>
      <c r="BR18" s="27" t="s">
        <v>85</v>
      </c>
      <c r="BS18" s="27" t="s">
        <v>85</v>
      </c>
      <c r="BT18" s="27" t="s">
        <v>85</v>
      </c>
      <c r="BU18" s="27" t="s">
        <v>85</v>
      </c>
      <c r="BV18" s="27" t="s">
        <v>85</v>
      </c>
      <c r="BW18" s="27" t="s">
        <v>85</v>
      </c>
      <c r="BX18" s="27" t="s">
        <v>85</v>
      </c>
      <c r="BY18" s="27" t="s">
        <v>85</v>
      </c>
      <c r="BZ18" s="27" t="s">
        <v>85</v>
      </c>
      <c r="CA18" s="27" t="s">
        <v>85</v>
      </c>
      <c r="CB18" s="27" t="s">
        <v>85</v>
      </c>
      <c r="CC18" s="27" t="s">
        <v>85</v>
      </c>
      <c r="CD18" s="27" t="s">
        <v>85</v>
      </c>
      <c r="CE18" s="27">
        <v>13</v>
      </c>
      <c r="CF18" s="27">
        <v>13</v>
      </c>
      <c r="CG18" s="27" t="s">
        <v>57</v>
      </c>
      <c r="CH18" s="27" t="s">
        <v>57</v>
      </c>
      <c r="CI18" s="27" t="s">
        <v>57</v>
      </c>
      <c r="CJ18" s="27" t="s">
        <v>57</v>
      </c>
      <c r="CK18" s="27" t="s">
        <v>57</v>
      </c>
      <c r="CL18" s="27" t="s">
        <v>57</v>
      </c>
      <c r="CM18" s="27" t="s">
        <v>57</v>
      </c>
      <c r="CN18" s="27" t="s">
        <v>57</v>
      </c>
      <c r="CO18" s="27" t="s">
        <v>57</v>
      </c>
      <c r="CP18" s="27" t="s">
        <v>57</v>
      </c>
      <c r="CQ18" s="27" t="s">
        <v>57</v>
      </c>
      <c r="CR18" s="27" t="s">
        <v>57</v>
      </c>
      <c r="CS18" s="27" t="s">
        <v>57</v>
      </c>
      <c r="CT18" s="27" t="s">
        <v>57</v>
      </c>
      <c r="CU18" s="27" t="s">
        <v>86</v>
      </c>
      <c r="CV18" s="27" t="s">
        <v>86</v>
      </c>
      <c r="CW18" s="27" t="s">
        <v>83</v>
      </c>
      <c r="CX18" s="27" t="s">
        <v>83</v>
      </c>
      <c r="CY18" s="27" t="s">
        <v>86</v>
      </c>
      <c r="CZ18" s="27" t="s">
        <v>86</v>
      </c>
      <c r="DA18" s="27" t="s">
        <v>86</v>
      </c>
      <c r="DB18" s="27" t="s">
        <v>86</v>
      </c>
      <c r="DC18" s="27" t="s">
        <v>83</v>
      </c>
      <c r="DD18" s="2" t="s">
        <v>83</v>
      </c>
      <c r="DE18" s="27" t="s">
        <v>57</v>
      </c>
      <c r="DF18" s="27" t="s">
        <v>57</v>
      </c>
      <c r="DG18" s="27" t="s">
        <v>57</v>
      </c>
      <c r="DH18" s="27" t="s">
        <v>57</v>
      </c>
      <c r="DI18" s="27" t="s">
        <v>87</v>
      </c>
      <c r="DJ18" s="27" t="s">
        <v>128</v>
      </c>
      <c r="DK18" s="27" t="s">
        <v>96</v>
      </c>
      <c r="DL18" s="27" t="s">
        <v>96</v>
      </c>
      <c r="DM18" s="27" t="s">
        <v>89</v>
      </c>
      <c r="DN18" s="27" t="s">
        <v>89</v>
      </c>
      <c r="DO18" s="27">
        <v>1</v>
      </c>
      <c r="DP18" s="27">
        <v>1</v>
      </c>
      <c r="DQ18" s="27">
        <v>1</v>
      </c>
      <c r="DR18" s="27">
        <v>1</v>
      </c>
      <c r="DS18" s="27">
        <v>1</v>
      </c>
      <c r="DT18" s="27">
        <v>1</v>
      </c>
      <c r="DU18" s="27">
        <v>1</v>
      </c>
      <c r="DV18" s="27">
        <v>1</v>
      </c>
      <c r="DW18" s="27">
        <v>1</v>
      </c>
      <c r="DX18" s="27">
        <v>1</v>
      </c>
      <c r="DY18" s="27">
        <v>1</v>
      </c>
      <c r="DZ18" s="27">
        <v>1</v>
      </c>
      <c r="EA18" s="27">
        <v>1</v>
      </c>
      <c r="EB18" s="27">
        <v>1</v>
      </c>
      <c r="EC18" s="27">
        <v>1</v>
      </c>
      <c r="ED18" s="27">
        <v>1</v>
      </c>
      <c r="EE18" s="27">
        <v>1</v>
      </c>
      <c r="EF18" s="27">
        <v>1</v>
      </c>
      <c r="EG18" s="27">
        <v>1</v>
      </c>
      <c r="EH18" s="27">
        <v>1</v>
      </c>
      <c r="EI18" s="27">
        <f t="shared" si="64"/>
        <v>10</v>
      </c>
      <c r="EJ18" s="27">
        <f t="shared" si="65"/>
        <v>10</v>
      </c>
      <c r="EK18" s="28" t="s">
        <v>144</v>
      </c>
      <c r="EL18" s="29">
        <v>2021</v>
      </c>
      <c r="EM18" s="2" t="str">
        <f t="shared" si="0"/>
        <v>Y</v>
      </c>
      <c r="EN18" s="2" t="str">
        <f t="shared" si="1"/>
        <v>Y</v>
      </c>
      <c r="EO18" s="2" t="str">
        <f t="shared" si="2"/>
        <v>Y</v>
      </c>
      <c r="EP18" s="2" t="str">
        <f t="shared" si="3"/>
        <v>Y</v>
      </c>
      <c r="EQ18" s="2" t="str">
        <f t="shared" si="4"/>
        <v>Y</v>
      </c>
      <c r="ER18" s="2" t="str">
        <f t="shared" si="5"/>
        <v>Y</v>
      </c>
      <c r="ES18" s="2" t="str">
        <f t="shared" si="6"/>
        <v>Y</v>
      </c>
      <c r="ET18" s="2" t="str">
        <f t="shared" si="7"/>
        <v>Y</v>
      </c>
      <c r="EU18" s="2" t="str">
        <f t="shared" si="8"/>
        <v>Y</v>
      </c>
      <c r="EV18" s="2" t="str">
        <f t="shared" si="9"/>
        <v>Y</v>
      </c>
      <c r="EW18" s="2" t="str">
        <f t="shared" si="10"/>
        <v>Y</v>
      </c>
      <c r="EX18" s="2" t="str">
        <f t="shared" si="11"/>
        <v>Y</v>
      </c>
      <c r="EY18" s="2" t="str">
        <f t="shared" si="12"/>
        <v>Y</v>
      </c>
      <c r="EZ18" s="2" t="str">
        <f t="shared" si="13"/>
        <v>Y</v>
      </c>
      <c r="FA18" s="2" t="str">
        <f t="shared" si="14"/>
        <v>Y</v>
      </c>
      <c r="FB18" s="2" t="str">
        <f t="shared" si="15"/>
        <v>Y</v>
      </c>
      <c r="FC18" s="2" t="str">
        <f t="shared" si="16"/>
        <v>Y</v>
      </c>
      <c r="FD18" s="2" t="str">
        <f t="shared" si="17"/>
        <v>Y</v>
      </c>
      <c r="FE18" s="2" t="str">
        <f t="shared" si="18"/>
        <v>Y</v>
      </c>
      <c r="FF18" s="2" t="str">
        <f t="shared" si="19"/>
        <v>Y</v>
      </c>
      <c r="FG18" s="2" t="str">
        <f t="shared" si="20"/>
        <v>Y</v>
      </c>
      <c r="FH18" s="2" t="str">
        <f t="shared" si="21"/>
        <v>Y</v>
      </c>
      <c r="FI18" s="2" t="str">
        <f t="shared" si="22"/>
        <v>Y</v>
      </c>
      <c r="FJ18" s="2" t="str">
        <f t="shared" si="23"/>
        <v>Y</v>
      </c>
      <c r="FK18" s="2" t="str">
        <f t="shared" si="24"/>
        <v>Y</v>
      </c>
      <c r="FL18" s="2" t="str">
        <f t="shared" si="25"/>
        <v>Y</v>
      </c>
      <c r="FM18" s="2" t="str">
        <f t="shared" si="26"/>
        <v>Y</v>
      </c>
      <c r="FN18" s="2" t="str">
        <f t="shared" si="27"/>
        <v>Y</v>
      </c>
      <c r="FO18" s="2" t="str">
        <f t="shared" si="28"/>
        <v>Y</v>
      </c>
      <c r="FP18" s="2" t="str">
        <f t="shared" si="29"/>
        <v>Y</v>
      </c>
      <c r="FQ18" s="2" t="str">
        <f t="shared" si="30"/>
        <v>Y</v>
      </c>
      <c r="FR18" s="2" t="str">
        <f t="shared" si="31"/>
        <v>Y</v>
      </c>
      <c r="FS18" s="2" t="str">
        <f t="shared" si="32"/>
        <v>Y</v>
      </c>
      <c r="FT18" s="2" t="str">
        <f t="shared" si="33"/>
        <v>Y</v>
      </c>
      <c r="FU18" s="2" t="str">
        <f t="shared" si="34"/>
        <v>Y</v>
      </c>
      <c r="FV18" s="2" t="str">
        <f t="shared" si="35"/>
        <v>Y</v>
      </c>
      <c r="FW18" s="2" t="str">
        <f t="shared" si="36"/>
        <v>Y</v>
      </c>
      <c r="FX18" s="2" t="str">
        <f t="shared" si="37"/>
        <v>Y</v>
      </c>
      <c r="FY18" s="2" t="str">
        <f t="shared" si="38"/>
        <v>Y</v>
      </c>
      <c r="FZ18" s="2" t="str">
        <f t="shared" si="39"/>
        <v>Y</v>
      </c>
      <c r="GA18" s="2" t="str">
        <f t="shared" si="40"/>
        <v>Y</v>
      </c>
      <c r="GB18" s="2" t="str">
        <f t="shared" si="41"/>
        <v>Y</v>
      </c>
      <c r="GC18" s="2" t="str">
        <f t="shared" si="42"/>
        <v>Y</v>
      </c>
      <c r="GD18" s="2" t="str">
        <f t="shared" si="43"/>
        <v>Y</v>
      </c>
      <c r="GE18" s="2" t="str">
        <f t="shared" si="44"/>
        <v>Y</v>
      </c>
      <c r="GF18" s="2" t="str">
        <f t="shared" si="45"/>
        <v>Y</v>
      </c>
      <c r="GG18" s="2" t="str">
        <f t="shared" si="46"/>
        <v>Y</v>
      </c>
      <c r="GH18" s="2" t="str">
        <f t="shared" si="47"/>
        <v>Y</v>
      </c>
      <c r="GI18" s="2" t="str">
        <f t="shared" si="48"/>
        <v>Y</v>
      </c>
      <c r="GJ18" s="2" t="str">
        <f t="shared" si="49"/>
        <v>Y</v>
      </c>
      <c r="GK18" s="2" t="str">
        <f t="shared" si="50"/>
        <v>Y</v>
      </c>
      <c r="GL18" s="2" t="str">
        <f t="shared" si="51"/>
        <v>Y</v>
      </c>
      <c r="GM18" s="2" t="str">
        <f t="shared" si="82"/>
        <v>Y</v>
      </c>
      <c r="GN18" s="2" t="str">
        <f t="shared" si="83"/>
        <v>Y</v>
      </c>
      <c r="GO18" s="2" t="str">
        <f t="shared" si="84"/>
        <v>Y</v>
      </c>
      <c r="GP18" s="2" t="str">
        <f t="shared" si="85"/>
        <v>Y</v>
      </c>
      <c r="GQ18" s="2" t="str">
        <f t="shared" si="86"/>
        <v>Y</v>
      </c>
      <c r="GR18" s="2" t="str">
        <f t="shared" si="87"/>
        <v>Y</v>
      </c>
      <c r="GS18" s="2" t="str">
        <f t="shared" si="88"/>
        <v>Y</v>
      </c>
      <c r="GT18" s="2" t="str">
        <f t="shared" si="89"/>
        <v>Y</v>
      </c>
      <c r="GU18" s="2" t="str">
        <f t="shared" si="90"/>
        <v>Y</v>
      </c>
      <c r="GV18" s="2" t="str">
        <f t="shared" si="91"/>
        <v>Y</v>
      </c>
      <c r="GW18" s="2" t="str">
        <f t="shared" si="92"/>
        <v>Y</v>
      </c>
      <c r="GX18" s="49" t="str">
        <f t="shared" si="93"/>
        <v>Y</v>
      </c>
      <c r="GY18" s="50">
        <v>1</v>
      </c>
      <c r="GZ18" s="53">
        <v>1</v>
      </c>
    </row>
    <row r="19" spans="1:208" ht="48" x14ac:dyDescent="0.2">
      <c r="A19" s="26" t="s">
        <v>146</v>
      </c>
      <c r="B19" s="27">
        <v>2016</v>
      </c>
      <c r="C19" s="27">
        <v>204</v>
      </c>
      <c r="D19" s="27">
        <v>204</v>
      </c>
      <c r="E19" s="2">
        <v>202</v>
      </c>
      <c r="F19" s="27">
        <v>202</v>
      </c>
      <c r="G19" s="27" t="s">
        <v>57</v>
      </c>
      <c r="H19" s="27" t="s">
        <v>57</v>
      </c>
      <c r="I19" s="27" t="s">
        <v>57</v>
      </c>
      <c r="J19" s="27" t="s">
        <v>57</v>
      </c>
      <c r="K19" s="27">
        <v>15.9</v>
      </c>
      <c r="L19" s="2">
        <v>15.9</v>
      </c>
      <c r="M19" s="2">
        <v>364</v>
      </c>
      <c r="N19" s="2">
        <v>364</v>
      </c>
      <c r="O19" s="2" t="s">
        <v>57</v>
      </c>
      <c r="P19" s="2" t="s">
        <v>57</v>
      </c>
      <c r="Q19" s="2" t="s">
        <v>57</v>
      </c>
      <c r="R19" s="2" t="s">
        <v>57</v>
      </c>
      <c r="S19" s="2">
        <v>45</v>
      </c>
      <c r="T19" s="2">
        <v>45</v>
      </c>
      <c r="U19" s="27">
        <v>0</v>
      </c>
      <c r="V19" s="27">
        <v>0</v>
      </c>
      <c r="W19" s="27">
        <v>409</v>
      </c>
      <c r="X19" s="27">
        <v>409</v>
      </c>
      <c r="Y19" s="27">
        <v>0</v>
      </c>
      <c r="Z19" s="27">
        <v>0</v>
      </c>
      <c r="AA19" s="27">
        <v>0</v>
      </c>
      <c r="AB19" s="27">
        <v>0</v>
      </c>
      <c r="AC19" s="44" t="s">
        <v>101</v>
      </c>
      <c r="AD19" s="2" t="s">
        <v>147</v>
      </c>
      <c r="AE19" s="27" t="s">
        <v>147</v>
      </c>
      <c r="AF19" s="27" t="s">
        <v>107</v>
      </c>
      <c r="AG19" s="27" t="s">
        <v>83</v>
      </c>
      <c r="AH19" s="27" t="s">
        <v>83</v>
      </c>
      <c r="AI19" s="27" t="s">
        <v>82</v>
      </c>
      <c r="AJ19" s="27" t="s">
        <v>82</v>
      </c>
      <c r="AK19" s="27" t="s">
        <v>57</v>
      </c>
      <c r="AL19" s="27" t="s">
        <v>57</v>
      </c>
      <c r="AM19" s="27" t="s">
        <v>57</v>
      </c>
      <c r="AN19" s="27" t="s">
        <v>57</v>
      </c>
      <c r="AO19" s="27" t="s">
        <v>57</v>
      </c>
      <c r="AP19" s="27" t="s">
        <v>57</v>
      </c>
      <c r="AQ19" s="27" t="s">
        <v>57</v>
      </c>
      <c r="AR19" s="27" t="s">
        <v>57</v>
      </c>
      <c r="AS19" s="27">
        <v>409</v>
      </c>
      <c r="AT19" s="27">
        <v>409</v>
      </c>
      <c r="AU19" s="27">
        <v>32</v>
      </c>
      <c r="AV19" s="27">
        <v>32</v>
      </c>
      <c r="AW19" s="27" t="s">
        <v>95</v>
      </c>
      <c r="AX19" s="27" t="s">
        <v>95</v>
      </c>
      <c r="AY19" s="27">
        <v>32</v>
      </c>
      <c r="AZ19" s="27">
        <v>32</v>
      </c>
      <c r="BA19" s="27" t="s">
        <v>85</v>
      </c>
      <c r="BB19" s="27" t="s">
        <v>85</v>
      </c>
      <c r="BC19" s="27" t="s">
        <v>85</v>
      </c>
      <c r="BD19" s="27" t="s">
        <v>85</v>
      </c>
      <c r="BE19" s="27" t="s">
        <v>85</v>
      </c>
      <c r="BF19" s="27" t="s">
        <v>85</v>
      </c>
      <c r="BG19" s="27" t="s">
        <v>85</v>
      </c>
      <c r="BH19" s="27" t="s">
        <v>85</v>
      </c>
      <c r="BI19" s="27" t="s">
        <v>85</v>
      </c>
      <c r="BJ19" s="27" t="s">
        <v>85</v>
      </c>
      <c r="BK19" s="27" t="s">
        <v>85</v>
      </c>
      <c r="BL19" s="27" t="s">
        <v>85</v>
      </c>
      <c r="BM19" s="27" t="s">
        <v>85</v>
      </c>
      <c r="BN19" s="27" t="s">
        <v>85</v>
      </c>
      <c r="BO19" s="27" t="s">
        <v>85</v>
      </c>
      <c r="BP19" s="27" t="s">
        <v>85</v>
      </c>
      <c r="BQ19" s="27" t="s">
        <v>85</v>
      </c>
      <c r="BR19" s="27" t="s">
        <v>85</v>
      </c>
      <c r="BS19" s="27" t="s">
        <v>85</v>
      </c>
      <c r="BT19" s="27" t="s">
        <v>85</v>
      </c>
      <c r="BU19" s="27" t="s">
        <v>85</v>
      </c>
      <c r="BV19" s="27" t="s">
        <v>85</v>
      </c>
      <c r="BW19" s="27" t="s">
        <v>85</v>
      </c>
      <c r="BX19" s="27" t="s">
        <v>85</v>
      </c>
      <c r="BY19" s="27" t="s">
        <v>85</v>
      </c>
      <c r="BZ19" s="27" t="s">
        <v>85</v>
      </c>
      <c r="CA19" s="27" t="s">
        <v>85</v>
      </c>
      <c r="CB19" s="27" t="s">
        <v>85</v>
      </c>
      <c r="CC19" s="27" t="s">
        <v>85</v>
      </c>
      <c r="CD19" s="27" t="s">
        <v>85</v>
      </c>
      <c r="CE19" s="27">
        <v>32</v>
      </c>
      <c r="CF19" s="27">
        <v>32</v>
      </c>
      <c r="CG19" s="27" t="s">
        <v>57</v>
      </c>
      <c r="CH19" s="27" t="s">
        <v>57</v>
      </c>
      <c r="CI19" s="27" t="s">
        <v>57</v>
      </c>
      <c r="CJ19" s="27" t="s">
        <v>57</v>
      </c>
      <c r="CK19" s="27" t="s">
        <v>57</v>
      </c>
      <c r="CL19" s="27" t="s">
        <v>57</v>
      </c>
      <c r="CM19" s="27" t="s">
        <v>57</v>
      </c>
      <c r="CN19" s="27" t="s">
        <v>57</v>
      </c>
      <c r="CO19" s="27" t="s">
        <v>57</v>
      </c>
      <c r="CP19" s="27" t="s">
        <v>57</v>
      </c>
      <c r="CQ19" s="27" t="s">
        <v>57</v>
      </c>
      <c r="CR19" s="27" t="s">
        <v>57</v>
      </c>
      <c r="CS19" s="27" t="s">
        <v>57</v>
      </c>
      <c r="CT19" s="27" t="s">
        <v>57</v>
      </c>
      <c r="CU19" s="27" t="s">
        <v>86</v>
      </c>
      <c r="CV19" s="27" t="s">
        <v>86</v>
      </c>
      <c r="CW19" s="27" t="s">
        <v>83</v>
      </c>
      <c r="CX19" s="27" t="s">
        <v>83</v>
      </c>
      <c r="CY19" s="27" t="s">
        <v>57</v>
      </c>
      <c r="CZ19" s="27" t="s">
        <v>57</v>
      </c>
      <c r="DA19" s="27" t="s">
        <v>57</v>
      </c>
      <c r="DB19" s="27" t="s">
        <v>57</v>
      </c>
      <c r="DC19" s="27" t="s">
        <v>57</v>
      </c>
      <c r="DD19" s="2" t="s">
        <v>57</v>
      </c>
      <c r="DE19" s="27" t="s">
        <v>57</v>
      </c>
      <c r="DF19" s="27" t="s">
        <v>57</v>
      </c>
      <c r="DG19" s="27" t="s">
        <v>57</v>
      </c>
      <c r="DH19" s="27" t="s">
        <v>57</v>
      </c>
      <c r="DI19" s="27" t="s">
        <v>87</v>
      </c>
      <c r="DJ19" s="27" t="s">
        <v>87</v>
      </c>
      <c r="DK19" s="27" t="s">
        <v>136</v>
      </c>
      <c r="DL19" s="27" t="s">
        <v>136</v>
      </c>
      <c r="DM19" s="27" t="s">
        <v>148</v>
      </c>
      <c r="DN19" s="27" t="s">
        <v>148</v>
      </c>
      <c r="DO19" s="27">
        <v>1</v>
      </c>
      <c r="DP19" s="27">
        <v>1</v>
      </c>
      <c r="DQ19" s="27">
        <v>1</v>
      </c>
      <c r="DR19" s="27">
        <v>1</v>
      </c>
      <c r="DS19" s="27">
        <v>1</v>
      </c>
      <c r="DT19" s="27">
        <v>1</v>
      </c>
      <c r="DU19" s="27">
        <v>1</v>
      </c>
      <c r="DV19" s="27">
        <v>1</v>
      </c>
      <c r="DW19" s="27">
        <v>1</v>
      </c>
      <c r="DX19" s="27">
        <v>1</v>
      </c>
      <c r="DY19" s="27">
        <v>0</v>
      </c>
      <c r="DZ19" s="27">
        <v>0</v>
      </c>
      <c r="EA19" s="27">
        <v>1</v>
      </c>
      <c r="EB19" s="27">
        <v>1</v>
      </c>
      <c r="EC19" s="27">
        <v>1</v>
      </c>
      <c r="ED19" s="27">
        <v>1</v>
      </c>
      <c r="EE19" s="27">
        <v>1</v>
      </c>
      <c r="EF19" s="27">
        <v>1</v>
      </c>
      <c r="EG19" s="27">
        <v>1</v>
      </c>
      <c r="EH19" s="27">
        <v>1</v>
      </c>
      <c r="EI19" s="27">
        <f t="shared" si="64"/>
        <v>9</v>
      </c>
      <c r="EJ19" s="27">
        <f t="shared" si="65"/>
        <v>9</v>
      </c>
      <c r="EK19" s="28" t="s">
        <v>146</v>
      </c>
      <c r="EL19" s="29">
        <v>2016</v>
      </c>
      <c r="EM19" s="2" t="str">
        <f t="shared" si="0"/>
        <v>Y</v>
      </c>
      <c r="EN19" s="2" t="str">
        <f t="shared" si="1"/>
        <v>Y</v>
      </c>
      <c r="EO19" s="2" t="str">
        <f t="shared" si="2"/>
        <v>Y</v>
      </c>
      <c r="EP19" s="2" t="str">
        <f t="shared" si="3"/>
        <v>Y</v>
      </c>
      <c r="EQ19" s="2" t="str">
        <f t="shared" si="4"/>
        <v>Y</v>
      </c>
      <c r="ER19" s="2" t="str">
        <f t="shared" si="5"/>
        <v>Y</v>
      </c>
      <c r="ES19" s="2" t="str">
        <f t="shared" si="6"/>
        <v>Y</v>
      </c>
      <c r="ET19" s="2" t="str">
        <f t="shared" si="7"/>
        <v>Y</v>
      </c>
      <c r="EU19" s="2" t="str">
        <f t="shared" si="8"/>
        <v>Y</v>
      </c>
      <c r="EV19" s="2" t="str">
        <f t="shared" si="9"/>
        <v>Y</v>
      </c>
      <c r="EW19" s="2" t="str">
        <f t="shared" si="10"/>
        <v>Y</v>
      </c>
      <c r="EX19" s="2" t="str">
        <f t="shared" si="11"/>
        <v>Y</v>
      </c>
      <c r="EY19" s="2" t="str">
        <f t="shared" si="12"/>
        <v>Y</v>
      </c>
      <c r="EZ19" s="2" t="str">
        <f t="shared" si="13"/>
        <v>Y</v>
      </c>
      <c r="FA19" s="2" t="str">
        <f t="shared" si="14"/>
        <v>Y</v>
      </c>
      <c r="FB19" s="2" t="str">
        <f t="shared" si="15"/>
        <v>Y</v>
      </c>
      <c r="FC19" s="2" t="str">
        <f t="shared" si="16"/>
        <v>Y</v>
      </c>
      <c r="FD19" s="2" t="str">
        <f t="shared" si="17"/>
        <v>Y</v>
      </c>
      <c r="FE19" s="2" t="str">
        <f t="shared" si="18"/>
        <v>Y</v>
      </c>
      <c r="FF19" s="2" t="str">
        <f t="shared" si="19"/>
        <v>Y</v>
      </c>
      <c r="FG19" s="2" t="str">
        <f t="shared" si="20"/>
        <v>Y</v>
      </c>
      <c r="FH19" s="2" t="str">
        <f t="shared" si="21"/>
        <v>Y</v>
      </c>
      <c r="FI19" s="2" t="str">
        <f t="shared" si="22"/>
        <v>Y</v>
      </c>
      <c r="FJ19" s="2" t="str">
        <f t="shared" si="23"/>
        <v>Y</v>
      </c>
      <c r="FK19" s="2" t="str">
        <f t="shared" si="24"/>
        <v>Y</v>
      </c>
      <c r="FL19" s="2" t="str">
        <f t="shared" si="25"/>
        <v>Y</v>
      </c>
      <c r="FM19" s="2" t="str">
        <f t="shared" si="26"/>
        <v>Y</v>
      </c>
      <c r="FN19" s="2" t="str">
        <f t="shared" si="27"/>
        <v>Y</v>
      </c>
      <c r="FO19" s="2" t="str">
        <f t="shared" si="28"/>
        <v>Y</v>
      </c>
      <c r="FP19" s="2" t="str">
        <f t="shared" si="29"/>
        <v>Y</v>
      </c>
      <c r="FQ19" s="2" t="str">
        <f t="shared" si="30"/>
        <v>Y</v>
      </c>
      <c r="FR19" s="2" t="str">
        <f t="shared" si="31"/>
        <v>Y</v>
      </c>
      <c r="FS19" s="2" t="str">
        <f t="shared" si="32"/>
        <v>Y</v>
      </c>
      <c r="FT19" s="2" t="str">
        <f t="shared" si="33"/>
        <v>Y</v>
      </c>
      <c r="FU19" s="2" t="str">
        <f t="shared" si="34"/>
        <v>Y</v>
      </c>
      <c r="FV19" s="2" t="str">
        <f t="shared" si="35"/>
        <v>Y</v>
      </c>
      <c r="FW19" s="2" t="str">
        <f t="shared" si="36"/>
        <v>Y</v>
      </c>
      <c r="FX19" s="2" t="str">
        <f t="shared" si="37"/>
        <v>Y</v>
      </c>
      <c r="FY19" s="2" t="str">
        <f t="shared" si="38"/>
        <v>Y</v>
      </c>
      <c r="FZ19" s="2" t="str">
        <f t="shared" si="39"/>
        <v>Y</v>
      </c>
      <c r="GA19" s="2" t="str">
        <f t="shared" si="40"/>
        <v>Y</v>
      </c>
      <c r="GB19" s="2" t="str">
        <f t="shared" si="41"/>
        <v>Y</v>
      </c>
      <c r="GC19" s="2" t="str">
        <f t="shared" si="42"/>
        <v>Y</v>
      </c>
      <c r="GD19" s="2" t="str">
        <f t="shared" si="43"/>
        <v>Y</v>
      </c>
      <c r="GE19" s="2" t="str">
        <f t="shared" si="44"/>
        <v>Y</v>
      </c>
      <c r="GF19" s="2" t="str">
        <f t="shared" si="45"/>
        <v>Y</v>
      </c>
      <c r="GG19" s="2" t="str">
        <f t="shared" si="46"/>
        <v>Y</v>
      </c>
      <c r="GH19" s="2" t="str">
        <f t="shared" si="47"/>
        <v>Y</v>
      </c>
      <c r="GI19" s="2" t="str">
        <f t="shared" si="48"/>
        <v>Y</v>
      </c>
      <c r="GJ19" s="2" t="str">
        <f t="shared" si="49"/>
        <v>Y</v>
      </c>
      <c r="GK19" s="2" t="str">
        <f t="shared" si="50"/>
        <v>Y</v>
      </c>
      <c r="GL19" s="2" t="str">
        <f t="shared" si="51"/>
        <v>Y</v>
      </c>
      <c r="GM19" s="2" t="str">
        <f t="shared" si="82"/>
        <v>Y</v>
      </c>
      <c r="GN19" s="2" t="str">
        <f t="shared" si="83"/>
        <v>Y</v>
      </c>
      <c r="GO19" s="2" t="str">
        <f t="shared" si="84"/>
        <v>Y</v>
      </c>
      <c r="GP19" s="2" t="str">
        <f t="shared" si="85"/>
        <v>Y</v>
      </c>
      <c r="GQ19" s="2" t="str">
        <f t="shared" si="86"/>
        <v>Y</v>
      </c>
      <c r="GR19" s="2" t="str">
        <f t="shared" si="87"/>
        <v>Y</v>
      </c>
      <c r="GS19" s="2" t="str">
        <f t="shared" si="88"/>
        <v>Y</v>
      </c>
      <c r="GT19" s="2" t="str">
        <f t="shared" si="89"/>
        <v>Y</v>
      </c>
      <c r="GU19" s="2" t="str">
        <f t="shared" si="90"/>
        <v>Y</v>
      </c>
      <c r="GV19" s="2" t="str">
        <f t="shared" si="91"/>
        <v>Y</v>
      </c>
      <c r="GW19" s="2" t="str">
        <f t="shared" si="92"/>
        <v>Y</v>
      </c>
      <c r="GX19" s="49" t="str">
        <f t="shared" si="93"/>
        <v>Y</v>
      </c>
      <c r="GY19" s="50">
        <v>1</v>
      </c>
      <c r="GZ19" s="53">
        <v>1</v>
      </c>
    </row>
    <row r="20" spans="1:208" ht="32" x14ac:dyDescent="0.2">
      <c r="A20" s="26" t="s">
        <v>149</v>
      </c>
      <c r="B20" s="27">
        <v>2007</v>
      </c>
      <c r="C20" s="27" t="s">
        <v>57</v>
      </c>
      <c r="D20" s="27" t="s">
        <v>57</v>
      </c>
      <c r="E20" s="2" t="s">
        <v>57</v>
      </c>
      <c r="F20" s="27" t="s">
        <v>57</v>
      </c>
      <c r="G20" s="27" t="s">
        <v>57</v>
      </c>
      <c r="H20" s="27" t="s">
        <v>57</v>
      </c>
      <c r="I20" s="27" t="s">
        <v>57</v>
      </c>
      <c r="J20" s="27" t="s">
        <v>57</v>
      </c>
      <c r="K20" s="27" t="s">
        <v>57</v>
      </c>
      <c r="L20" s="2" t="s">
        <v>57</v>
      </c>
      <c r="M20" s="2" t="s">
        <v>57</v>
      </c>
      <c r="N20" s="2" t="s">
        <v>57</v>
      </c>
      <c r="O20" s="2" t="s">
        <v>57</v>
      </c>
      <c r="P20" s="2" t="s">
        <v>57</v>
      </c>
      <c r="Q20" s="2" t="s">
        <v>57</v>
      </c>
      <c r="R20" s="2" t="s">
        <v>57</v>
      </c>
      <c r="S20" s="2" t="s">
        <v>57</v>
      </c>
      <c r="T20" s="2" t="s">
        <v>57</v>
      </c>
      <c r="U20" s="27" t="s">
        <v>57</v>
      </c>
      <c r="V20" s="27" t="s">
        <v>57</v>
      </c>
      <c r="W20" s="27" t="s">
        <v>57</v>
      </c>
      <c r="X20" s="27" t="s">
        <v>57</v>
      </c>
      <c r="Y20" s="27">
        <v>0</v>
      </c>
      <c r="Z20" s="27">
        <v>0</v>
      </c>
      <c r="AA20" s="27">
        <v>0</v>
      </c>
      <c r="AB20" s="27">
        <v>0</v>
      </c>
      <c r="AC20" s="44" t="s">
        <v>57</v>
      </c>
      <c r="AD20" s="2" t="s">
        <v>150</v>
      </c>
      <c r="AE20" s="27" t="s">
        <v>150</v>
      </c>
      <c r="AF20" s="27" t="s">
        <v>103</v>
      </c>
      <c r="AG20" s="27" t="s">
        <v>82</v>
      </c>
      <c r="AH20" s="27" t="s">
        <v>82</v>
      </c>
      <c r="AI20" s="27" t="s">
        <v>83</v>
      </c>
      <c r="AJ20" s="27" t="s">
        <v>83</v>
      </c>
      <c r="AK20" s="27" t="s">
        <v>82</v>
      </c>
      <c r="AL20" s="27" t="s">
        <v>82</v>
      </c>
      <c r="AM20" s="27" t="s">
        <v>57</v>
      </c>
      <c r="AN20" s="27" t="s">
        <v>57</v>
      </c>
      <c r="AO20" s="27" t="s">
        <v>57</v>
      </c>
      <c r="AP20" s="27" t="s">
        <v>57</v>
      </c>
      <c r="AQ20" s="27" t="s">
        <v>57</v>
      </c>
      <c r="AR20" s="27" t="s">
        <v>57</v>
      </c>
      <c r="AS20" s="27">
        <v>249</v>
      </c>
      <c r="AT20" s="27">
        <v>249</v>
      </c>
      <c r="AU20" s="27">
        <v>55</v>
      </c>
      <c r="AV20" s="27">
        <v>55</v>
      </c>
      <c r="AW20" s="27" t="s">
        <v>84</v>
      </c>
      <c r="AX20" s="27" t="s">
        <v>99</v>
      </c>
      <c r="AY20" s="27">
        <v>23</v>
      </c>
      <c r="AZ20" s="27">
        <v>23</v>
      </c>
      <c r="BA20" s="27">
        <v>33</v>
      </c>
      <c r="BB20" s="27">
        <v>33</v>
      </c>
      <c r="BC20" s="27" t="s">
        <v>85</v>
      </c>
      <c r="BD20" s="27" t="s">
        <v>85</v>
      </c>
      <c r="BE20" s="27" t="s">
        <v>85</v>
      </c>
      <c r="BF20" s="27" t="s">
        <v>85</v>
      </c>
      <c r="BG20" s="27">
        <v>33</v>
      </c>
      <c r="BH20" s="27">
        <v>33</v>
      </c>
      <c r="BI20" s="27" t="s">
        <v>85</v>
      </c>
      <c r="BJ20" s="27" t="s">
        <v>85</v>
      </c>
      <c r="BK20" s="27" t="s">
        <v>85</v>
      </c>
      <c r="BL20" s="27" t="s">
        <v>85</v>
      </c>
      <c r="BM20" s="27" t="s">
        <v>85</v>
      </c>
      <c r="BN20" s="27" t="s">
        <v>85</v>
      </c>
      <c r="BO20" s="27" t="s">
        <v>85</v>
      </c>
      <c r="BP20" s="27" t="s">
        <v>85</v>
      </c>
      <c r="BQ20" s="27" t="s">
        <v>85</v>
      </c>
      <c r="BR20" s="27" t="s">
        <v>85</v>
      </c>
      <c r="BS20" s="27" t="s">
        <v>85</v>
      </c>
      <c r="BT20" s="27" t="s">
        <v>85</v>
      </c>
      <c r="BU20" s="27" t="s">
        <v>85</v>
      </c>
      <c r="BV20" s="27" t="s">
        <v>85</v>
      </c>
      <c r="BW20" s="27" t="s">
        <v>85</v>
      </c>
      <c r="BX20" s="27" t="s">
        <v>85</v>
      </c>
      <c r="BY20" s="27" t="s">
        <v>85</v>
      </c>
      <c r="BZ20" s="27" t="s">
        <v>85</v>
      </c>
      <c r="CA20" s="27" t="s">
        <v>85</v>
      </c>
      <c r="CB20" s="27" t="s">
        <v>85</v>
      </c>
      <c r="CC20" s="27" t="s">
        <v>85</v>
      </c>
      <c r="CD20" s="27" t="s">
        <v>85</v>
      </c>
      <c r="CE20" s="27">
        <v>23</v>
      </c>
      <c r="CF20" s="27">
        <v>23</v>
      </c>
      <c r="CG20" s="27" t="s">
        <v>57</v>
      </c>
      <c r="CH20" s="27" t="s">
        <v>57</v>
      </c>
      <c r="CI20" s="27" t="s">
        <v>57</v>
      </c>
      <c r="CJ20" s="27" t="s">
        <v>57</v>
      </c>
      <c r="CK20" s="27" t="s">
        <v>57</v>
      </c>
      <c r="CL20" s="27" t="s">
        <v>57</v>
      </c>
      <c r="CM20" s="27" t="s">
        <v>57</v>
      </c>
      <c r="CN20" s="27" t="s">
        <v>57</v>
      </c>
      <c r="CO20" s="27" t="s">
        <v>57</v>
      </c>
      <c r="CP20" s="27" t="s">
        <v>57</v>
      </c>
      <c r="CQ20" s="27" t="s">
        <v>57</v>
      </c>
      <c r="CR20" s="27" t="s">
        <v>57</v>
      </c>
      <c r="CS20" s="27" t="s">
        <v>57</v>
      </c>
      <c r="CT20" s="27" t="s">
        <v>57</v>
      </c>
      <c r="CU20" s="27" t="s">
        <v>86</v>
      </c>
      <c r="CV20" s="27" t="s">
        <v>86</v>
      </c>
      <c r="CW20" s="27" t="s">
        <v>83</v>
      </c>
      <c r="CX20" s="27" t="s">
        <v>83</v>
      </c>
      <c r="CY20" s="27" t="s">
        <v>86</v>
      </c>
      <c r="CZ20" s="27" t="s">
        <v>86</v>
      </c>
      <c r="DA20" s="27" t="s">
        <v>57</v>
      </c>
      <c r="DB20" s="27" t="s">
        <v>57</v>
      </c>
      <c r="DC20" s="27" t="s">
        <v>57</v>
      </c>
      <c r="DD20" s="2" t="s">
        <v>57</v>
      </c>
      <c r="DE20" s="27" t="s">
        <v>57</v>
      </c>
      <c r="DF20" s="27" t="s">
        <v>57</v>
      </c>
      <c r="DG20" s="27" t="s">
        <v>57</v>
      </c>
      <c r="DH20" s="27" t="s">
        <v>57</v>
      </c>
      <c r="DI20" s="27" t="s">
        <v>87</v>
      </c>
      <c r="DJ20" s="27" t="s">
        <v>128</v>
      </c>
      <c r="DK20" s="27" t="s">
        <v>96</v>
      </c>
      <c r="DL20" s="27" t="s">
        <v>96</v>
      </c>
      <c r="DM20" s="27" t="s">
        <v>89</v>
      </c>
      <c r="DN20" s="27" t="s">
        <v>89</v>
      </c>
      <c r="DO20" s="27">
        <v>1</v>
      </c>
      <c r="DP20" s="27">
        <v>1</v>
      </c>
      <c r="DQ20" s="27">
        <v>1</v>
      </c>
      <c r="DR20" s="27">
        <v>1</v>
      </c>
      <c r="DS20" s="27">
        <v>1</v>
      </c>
      <c r="DT20" s="27">
        <v>1</v>
      </c>
      <c r="DU20" s="27">
        <v>1</v>
      </c>
      <c r="DV20" s="27">
        <v>1</v>
      </c>
      <c r="DW20" s="27">
        <v>1</v>
      </c>
      <c r="DX20" s="27">
        <v>1</v>
      </c>
      <c r="DY20" s="27">
        <v>1</v>
      </c>
      <c r="DZ20" s="27">
        <v>1</v>
      </c>
      <c r="EA20" s="27">
        <v>1</v>
      </c>
      <c r="EB20" s="27">
        <v>1</v>
      </c>
      <c r="EC20" s="27">
        <v>1</v>
      </c>
      <c r="ED20" s="27">
        <v>1</v>
      </c>
      <c r="EE20" s="27">
        <v>1</v>
      </c>
      <c r="EF20" s="27">
        <v>1</v>
      </c>
      <c r="EG20" s="27">
        <v>1</v>
      </c>
      <c r="EH20" s="27">
        <v>1</v>
      </c>
      <c r="EI20" s="27">
        <f t="shared" si="64"/>
        <v>10</v>
      </c>
      <c r="EJ20" s="27">
        <f t="shared" si="65"/>
        <v>10</v>
      </c>
      <c r="EK20" s="28" t="s">
        <v>149</v>
      </c>
      <c r="EL20" s="29">
        <v>2007</v>
      </c>
      <c r="EM20" s="2" t="str">
        <f t="shared" si="0"/>
        <v>Y</v>
      </c>
      <c r="EN20" s="2" t="str">
        <f t="shared" si="1"/>
        <v>Y</v>
      </c>
      <c r="EO20" s="2" t="str">
        <f t="shared" si="2"/>
        <v>Y</v>
      </c>
      <c r="EP20" s="2" t="str">
        <f t="shared" si="3"/>
        <v>Y</v>
      </c>
      <c r="EQ20" s="2" t="str">
        <f t="shared" si="4"/>
        <v>Y</v>
      </c>
      <c r="ER20" s="2" t="str">
        <f t="shared" si="5"/>
        <v>Y</v>
      </c>
      <c r="ES20" s="2" t="str">
        <f t="shared" si="6"/>
        <v>Y</v>
      </c>
      <c r="ET20" s="2" t="str">
        <f t="shared" si="7"/>
        <v>Y</v>
      </c>
      <c r="EU20" s="2" t="str">
        <f t="shared" si="8"/>
        <v>Y</v>
      </c>
      <c r="EV20" s="2" t="str">
        <f t="shared" si="9"/>
        <v>Y</v>
      </c>
      <c r="EW20" s="2" t="str">
        <f t="shared" si="10"/>
        <v>Y</v>
      </c>
      <c r="EX20" s="2" t="str">
        <f t="shared" si="11"/>
        <v>Y</v>
      </c>
      <c r="EY20" s="2" t="str">
        <f t="shared" si="12"/>
        <v>Y</v>
      </c>
      <c r="EZ20" s="2" t="str">
        <f t="shared" si="13"/>
        <v>Y</v>
      </c>
      <c r="FA20" s="2" t="str">
        <f t="shared" si="14"/>
        <v>Y</v>
      </c>
      <c r="FB20" s="2" t="str">
        <f t="shared" si="15"/>
        <v>Y</v>
      </c>
      <c r="FC20" s="2" t="str">
        <f t="shared" si="16"/>
        <v>Y</v>
      </c>
      <c r="FD20" s="2" t="str">
        <f t="shared" si="17"/>
        <v>Y</v>
      </c>
      <c r="FE20" s="2" t="str">
        <f t="shared" si="18"/>
        <v>Y</v>
      </c>
      <c r="FF20" s="2" t="str">
        <f t="shared" si="19"/>
        <v>Y</v>
      </c>
      <c r="FG20" s="2" t="str">
        <f t="shared" si="20"/>
        <v>Y</v>
      </c>
      <c r="FH20" s="2" t="str">
        <f t="shared" si="21"/>
        <v>Y</v>
      </c>
      <c r="FI20" s="2" t="str">
        <f t="shared" si="22"/>
        <v>Y</v>
      </c>
      <c r="FJ20" s="2" t="str">
        <f t="shared" si="23"/>
        <v>Y</v>
      </c>
      <c r="FK20" s="2" t="str">
        <f t="shared" si="24"/>
        <v>Y</v>
      </c>
      <c r="FL20" s="2" t="str">
        <f t="shared" si="25"/>
        <v>Y</v>
      </c>
      <c r="FM20" s="2" t="str">
        <f t="shared" si="26"/>
        <v>Y</v>
      </c>
      <c r="FN20" s="2" t="str">
        <f t="shared" si="27"/>
        <v>Y</v>
      </c>
      <c r="FO20" s="2" t="str">
        <f t="shared" si="28"/>
        <v>Y</v>
      </c>
      <c r="FP20" s="2" t="str">
        <f t="shared" si="29"/>
        <v>Y</v>
      </c>
      <c r="FQ20" s="2" t="str">
        <f t="shared" si="30"/>
        <v>Y</v>
      </c>
      <c r="FR20" s="2" t="str">
        <f t="shared" si="31"/>
        <v>Y</v>
      </c>
      <c r="FS20" s="2" t="str">
        <f t="shared" si="32"/>
        <v>Y</v>
      </c>
      <c r="FT20" s="2" t="str">
        <f t="shared" si="33"/>
        <v>Y</v>
      </c>
      <c r="FU20" s="2" t="str">
        <f t="shared" si="34"/>
        <v>Y</v>
      </c>
      <c r="FV20" s="2" t="str">
        <f t="shared" si="35"/>
        <v>Y</v>
      </c>
      <c r="FW20" s="2" t="str">
        <f t="shared" si="36"/>
        <v>Y</v>
      </c>
      <c r="FX20" s="2" t="str">
        <f t="shared" si="37"/>
        <v>Y</v>
      </c>
      <c r="FY20" s="2" t="str">
        <f t="shared" si="38"/>
        <v>Y</v>
      </c>
      <c r="FZ20" s="2" t="str">
        <f t="shared" si="39"/>
        <v>Y</v>
      </c>
      <c r="GA20" s="2" t="str">
        <f t="shared" si="40"/>
        <v>Y</v>
      </c>
      <c r="GB20" s="2" t="str">
        <f t="shared" si="41"/>
        <v>Y</v>
      </c>
      <c r="GC20" s="2" t="str">
        <f t="shared" si="42"/>
        <v>Y</v>
      </c>
      <c r="GD20" s="2" t="str">
        <f t="shared" si="43"/>
        <v>Y</v>
      </c>
      <c r="GE20" s="2" t="str">
        <f t="shared" si="44"/>
        <v>Y</v>
      </c>
      <c r="GF20" s="2" t="str">
        <f t="shared" si="45"/>
        <v>Y</v>
      </c>
      <c r="GG20" s="2" t="str">
        <f t="shared" si="46"/>
        <v>Y</v>
      </c>
      <c r="GH20" s="2" t="str">
        <f t="shared" si="47"/>
        <v>Y</v>
      </c>
      <c r="GI20" s="2" t="str">
        <f t="shared" si="48"/>
        <v>Y</v>
      </c>
      <c r="GJ20" s="2" t="str">
        <f t="shared" si="49"/>
        <v>Y</v>
      </c>
      <c r="GK20" s="2" t="str">
        <f t="shared" si="50"/>
        <v>Y</v>
      </c>
      <c r="GL20" s="2" t="str">
        <f t="shared" si="51"/>
        <v>Y</v>
      </c>
      <c r="GM20" s="2" t="str">
        <f t="shared" si="82"/>
        <v>Y</v>
      </c>
      <c r="GN20" s="2" t="str">
        <f t="shared" si="83"/>
        <v>Y</v>
      </c>
      <c r="GO20" s="2" t="str">
        <f t="shared" si="84"/>
        <v>Y</v>
      </c>
      <c r="GP20" s="2" t="str">
        <f t="shared" si="85"/>
        <v>Y</v>
      </c>
      <c r="GQ20" s="2" t="str">
        <f t="shared" si="86"/>
        <v>Y</v>
      </c>
      <c r="GR20" s="2" t="str">
        <f t="shared" si="87"/>
        <v>Y</v>
      </c>
      <c r="GS20" s="2" t="str">
        <f t="shared" si="88"/>
        <v>Y</v>
      </c>
      <c r="GT20" s="2" t="str">
        <f t="shared" si="89"/>
        <v>Y</v>
      </c>
      <c r="GU20" s="2" t="str">
        <f t="shared" si="90"/>
        <v>Y</v>
      </c>
      <c r="GV20" s="2" t="str">
        <f t="shared" si="91"/>
        <v>Y</v>
      </c>
      <c r="GW20" s="2" t="str">
        <f t="shared" si="92"/>
        <v>Y</v>
      </c>
      <c r="GX20" s="49" t="str">
        <f t="shared" si="93"/>
        <v>Y</v>
      </c>
      <c r="GY20" s="50">
        <v>1</v>
      </c>
      <c r="GZ20" s="53">
        <v>1</v>
      </c>
    </row>
    <row r="21" spans="1:208" ht="48" x14ac:dyDescent="0.2">
      <c r="A21" s="26" t="s">
        <v>151</v>
      </c>
      <c r="B21" s="27">
        <v>2021</v>
      </c>
      <c r="C21" s="27">
        <v>88</v>
      </c>
      <c r="D21" s="27">
        <v>88</v>
      </c>
      <c r="E21" s="2">
        <v>56</v>
      </c>
      <c r="F21" s="27">
        <v>56</v>
      </c>
      <c r="G21" s="27" t="s">
        <v>57</v>
      </c>
      <c r="H21" s="27" t="s">
        <v>57</v>
      </c>
      <c r="I21" s="27" t="s">
        <v>57</v>
      </c>
      <c r="J21" s="27" t="s">
        <v>57</v>
      </c>
      <c r="K21" s="27" t="s">
        <v>152</v>
      </c>
      <c r="L21" s="2" t="s">
        <v>152</v>
      </c>
      <c r="M21" s="2" t="s">
        <v>57</v>
      </c>
      <c r="N21" s="2" t="s">
        <v>57</v>
      </c>
      <c r="O21" s="2" t="s">
        <v>57</v>
      </c>
      <c r="P21" s="2" t="s">
        <v>57</v>
      </c>
      <c r="Q21" s="2" t="s">
        <v>57</v>
      </c>
      <c r="R21" s="2" t="s">
        <v>57</v>
      </c>
      <c r="S21" s="2" t="s">
        <v>57</v>
      </c>
      <c r="T21" s="2" t="s">
        <v>57</v>
      </c>
      <c r="U21" s="27">
        <v>0</v>
      </c>
      <c r="V21" s="27">
        <v>0</v>
      </c>
      <c r="W21" s="27">
        <v>144</v>
      </c>
      <c r="X21" s="27">
        <v>144</v>
      </c>
      <c r="Y21" s="27">
        <v>0</v>
      </c>
      <c r="Z21" s="27">
        <v>0</v>
      </c>
      <c r="AA21" s="27">
        <v>0</v>
      </c>
      <c r="AB21" s="27">
        <v>0</v>
      </c>
      <c r="AC21" s="44" t="s">
        <v>101</v>
      </c>
      <c r="AD21" s="2" t="s">
        <v>102</v>
      </c>
      <c r="AE21" s="27" t="s">
        <v>102</v>
      </c>
      <c r="AF21" s="27" t="s">
        <v>103</v>
      </c>
      <c r="AG21" s="27" t="s">
        <v>83</v>
      </c>
      <c r="AH21" s="27" t="s">
        <v>83</v>
      </c>
      <c r="AI21" s="27" t="s">
        <v>82</v>
      </c>
      <c r="AJ21" s="27" t="s">
        <v>82</v>
      </c>
      <c r="AK21" s="27" t="s">
        <v>82</v>
      </c>
      <c r="AL21" s="27" t="s">
        <v>82</v>
      </c>
      <c r="AM21" s="27" t="s">
        <v>57</v>
      </c>
      <c r="AN21" s="27" t="s">
        <v>57</v>
      </c>
      <c r="AO21" s="27" t="s">
        <v>57</v>
      </c>
      <c r="AP21" s="27" t="s">
        <v>57</v>
      </c>
      <c r="AQ21" s="27" t="s">
        <v>57</v>
      </c>
      <c r="AR21" s="27" t="s">
        <v>57</v>
      </c>
      <c r="AS21" s="27">
        <v>144</v>
      </c>
      <c r="AT21" s="27">
        <v>144</v>
      </c>
      <c r="AU21" s="27">
        <v>18</v>
      </c>
      <c r="AV21" s="27">
        <v>18</v>
      </c>
      <c r="AW21" s="27" t="s">
        <v>94</v>
      </c>
      <c r="AX21" s="27" t="s">
        <v>95</v>
      </c>
      <c r="AY21" s="27">
        <f t="shared" si="78"/>
        <v>17</v>
      </c>
      <c r="AZ21" s="27">
        <v>17</v>
      </c>
      <c r="BA21" s="27">
        <f t="shared" si="79"/>
        <v>0</v>
      </c>
      <c r="BB21" s="27">
        <f t="shared" si="81"/>
        <v>0</v>
      </c>
      <c r="BC21" s="27">
        <v>10</v>
      </c>
      <c r="BD21" s="27">
        <v>10</v>
      </c>
      <c r="BE21" s="27">
        <v>0</v>
      </c>
      <c r="BF21" s="27">
        <v>0</v>
      </c>
      <c r="BG21" s="27">
        <v>0</v>
      </c>
      <c r="BH21" s="27">
        <v>0</v>
      </c>
      <c r="BI21" s="27">
        <v>0</v>
      </c>
      <c r="BJ21" s="27">
        <v>0</v>
      </c>
      <c r="BK21" s="27">
        <v>0</v>
      </c>
      <c r="BL21" s="27">
        <v>0</v>
      </c>
      <c r="BM21" s="27">
        <v>1</v>
      </c>
      <c r="BN21" s="27">
        <v>1</v>
      </c>
      <c r="BO21" s="27">
        <v>0</v>
      </c>
      <c r="BP21" s="27">
        <v>0</v>
      </c>
      <c r="BQ21" s="27">
        <v>0</v>
      </c>
      <c r="BR21" s="27">
        <v>0</v>
      </c>
      <c r="BS21" s="27">
        <v>2</v>
      </c>
      <c r="BT21" s="27">
        <v>2</v>
      </c>
      <c r="BU21" s="27">
        <v>0</v>
      </c>
      <c r="BV21" s="27">
        <v>0</v>
      </c>
      <c r="BW21" s="27">
        <v>2</v>
      </c>
      <c r="BX21" s="27">
        <v>2</v>
      </c>
      <c r="BY21" s="27">
        <v>0</v>
      </c>
      <c r="BZ21" s="27">
        <v>0</v>
      </c>
      <c r="CA21" s="27">
        <v>2</v>
      </c>
      <c r="CB21" s="27">
        <v>2</v>
      </c>
      <c r="CC21" s="27">
        <v>0</v>
      </c>
      <c r="CD21" s="27">
        <v>0</v>
      </c>
      <c r="CE21" s="27">
        <v>0</v>
      </c>
      <c r="CF21" s="27">
        <v>0</v>
      </c>
      <c r="CG21" s="27" t="s">
        <v>119</v>
      </c>
      <c r="CH21" s="27" t="s">
        <v>119</v>
      </c>
      <c r="CI21" s="27" t="s">
        <v>86</v>
      </c>
      <c r="CJ21" s="27" t="s">
        <v>86</v>
      </c>
      <c r="CK21" s="27">
        <v>0</v>
      </c>
      <c r="CL21" s="27">
        <v>0</v>
      </c>
      <c r="CM21" s="27" t="s">
        <v>119</v>
      </c>
      <c r="CN21" s="27" t="s">
        <v>119</v>
      </c>
      <c r="CO21" s="27" t="s">
        <v>86</v>
      </c>
      <c r="CP21" s="27" t="s">
        <v>86</v>
      </c>
      <c r="CQ21" s="27" t="s">
        <v>86</v>
      </c>
      <c r="CR21" s="27" t="s">
        <v>86</v>
      </c>
      <c r="CS21" s="27">
        <v>0</v>
      </c>
      <c r="CT21" s="27">
        <v>0</v>
      </c>
      <c r="CU21" s="27" t="s">
        <v>86</v>
      </c>
      <c r="CV21" s="27" t="s">
        <v>86</v>
      </c>
      <c r="CW21" s="27" t="s">
        <v>57</v>
      </c>
      <c r="CX21" s="27" t="s">
        <v>57</v>
      </c>
      <c r="CY21" s="27" t="s">
        <v>86</v>
      </c>
      <c r="CZ21" s="27" t="s">
        <v>86</v>
      </c>
      <c r="DA21" s="27" t="s">
        <v>57</v>
      </c>
      <c r="DB21" s="27" t="s">
        <v>57</v>
      </c>
      <c r="DC21" s="27" t="s">
        <v>57</v>
      </c>
      <c r="DD21" s="2" t="s">
        <v>57</v>
      </c>
      <c r="DE21" s="27" t="s">
        <v>57</v>
      </c>
      <c r="DF21" s="27" t="s">
        <v>57</v>
      </c>
      <c r="DG21" s="27" t="s">
        <v>57</v>
      </c>
      <c r="DH21" s="27" t="s">
        <v>57</v>
      </c>
      <c r="DI21" s="27" t="s">
        <v>110</v>
      </c>
      <c r="DJ21" s="27" t="s">
        <v>153</v>
      </c>
      <c r="DK21" s="27" t="s">
        <v>136</v>
      </c>
      <c r="DL21" s="27" t="s">
        <v>154</v>
      </c>
      <c r="DM21" s="27" t="s">
        <v>104</v>
      </c>
      <c r="DN21" s="27" t="s">
        <v>104</v>
      </c>
      <c r="DO21" s="27">
        <v>1</v>
      </c>
      <c r="DP21" s="27">
        <v>1</v>
      </c>
      <c r="DQ21" s="27">
        <v>1</v>
      </c>
      <c r="DR21" s="27">
        <v>1</v>
      </c>
      <c r="DS21" s="27">
        <v>1</v>
      </c>
      <c r="DT21" s="27">
        <v>1</v>
      </c>
      <c r="DU21" s="27">
        <v>1</v>
      </c>
      <c r="DV21" s="27">
        <v>1</v>
      </c>
      <c r="DW21" s="27">
        <v>1</v>
      </c>
      <c r="DX21" s="27">
        <v>1</v>
      </c>
      <c r="DY21" s="27">
        <v>1</v>
      </c>
      <c r="DZ21" s="27">
        <v>1</v>
      </c>
      <c r="EA21" s="27">
        <v>1</v>
      </c>
      <c r="EB21" s="27">
        <v>1</v>
      </c>
      <c r="EC21" s="27">
        <v>1</v>
      </c>
      <c r="ED21" s="27">
        <v>1</v>
      </c>
      <c r="EE21" s="27">
        <v>1</v>
      </c>
      <c r="EF21" s="27">
        <v>1</v>
      </c>
      <c r="EG21" s="27">
        <v>1</v>
      </c>
      <c r="EH21" s="27">
        <v>1</v>
      </c>
      <c r="EI21" s="27">
        <f t="shared" si="64"/>
        <v>10</v>
      </c>
      <c r="EJ21" s="27">
        <f t="shared" si="65"/>
        <v>10</v>
      </c>
      <c r="EK21" s="28" t="s">
        <v>151</v>
      </c>
      <c r="EL21" s="29">
        <v>2021</v>
      </c>
      <c r="EM21" s="2" t="str">
        <f t="shared" si="0"/>
        <v>Y</v>
      </c>
      <c r="EN21" s="2" t="str">
        <f t="shared" si="1"/>
        <v>Y</v>
      </c>
      <c r="EO21" s="2" t="str">
        <f t="shared" si="2"/>
        <v>Y</v>
      </c>
      <c r="EP21" s="2" t="str">
        <f t="shared" si="3"/>
        <v>Y</v>
      </c>
      <c r="EQ21" s="2" t="str">
        <f t="shared" si="4"/>
        <v>Y</v>
      </c>
      <c r="ER21" s="2" t="str">
        <f t="shared" si="5"/>
        <v>Y</v>
      </c>
      <c r="ES21" s="2" t="str">
        <f t="shared" si="6"/>
        <v>Y</v>
      </c>
      <c r="ET21" s="2" t="str">
        <f t="shared" si="7"/>
        <v>Y</v>
      </c>
      <c r="EU21" s="2" t="str">
        <f t="shared" si="8"/>
        <v>Y</v>
      </c>
      <c r="EV21" s="2" t="str">
        <f t="shared" si="9"/>
        <v>Y</v>
      </c>
      <c r="EW21" s="2" t="str">
        <f t="shared" si="10"/>
        <v>Y</v>
      </c>
      <c r="EX21" s="2" t="str">
        <f t="shared" si="11"/>
        <v>Y</v>
      </c>
      <c r="EY21" s="2" t="str">
        <f t="shared" si="12"/>
        <v>Y</v>
      </c>
      <c r="EZ21" s="2" t="str">
        <f t="shared" si="13"/>
        <v>Y</v>
      </c>
      <c r="FA21" s="2" t="str">
        <f t="shared" si="14"/>
        <v>Y</v>
      </c>
      <c r="FB21" s="2" t="str">
        <f t="shared" si="15"/>
        <v>Y</v>
      </c>
      <c r="FC21" s="2" t="str">
        <f t="shared" si="16"/>
        <v>Y</v>
      </c>
      <c r="FD21" s="2" t="str">
        <f t="shared" si="17"/>
        <v>Y</v>
      </c>
      <c r="FE21" s="2" t="str">
        <f t="shared" si="18"/>
        <v>Y</v>
      </c>
      <c r="FF21" s="2" t="str">
        <f t="shared" si="19"/>
        <v>Y</v>
      </c>
      <c r="FG21" s="2" t="str">
        <f t="shared" si="20"/>
        <v>Y</v>
      </c>
      <c r="FH21" s="2" t="str">
        <f t="shared" si="21"/>
        <v>Y</v>
      </c>
      <c r="FI21" s="2" t="str">
        <f t="shared" si="22"/>
        <v>Y</v>
      </c>
      <c r="FJ21" s="2" t="str">
        <f t="shared" si="23"/>
        <v>Y</v>
      </c>
      <c r="FK21" s="2" t="str">
        <f t="shared" si="24"/>
        <v>Y</v>
      </c>
      <c r="FL21" s="2" t="str">
        <f t="shared" si="25"/>
        <v>Y</v>
      </c>
      <c r="FM21" s="2" t="str">
        <f t="shared" si="26"/>
        <v>Y</v>
      </c>
      <c r="FN21" s="2" t="str">
        <f t="shared" si="27"/>
        <v>Y</v>
      </c>
      <c r="FO21" s="2" t="str">
        <f t="shared" si="28"/>
        <v>Y</v>
      </c>
      <c r="FP21" s="2" t="str">
        <f t="shared" si="29"/>
        <v>Y</v>
      </c>
      <c r="FQ21" s="2" t="str">
        <f t="shared" si="30"/>
        <v>Y</v>
      </c>
      <c r="FR21" s="2" t="str">
        <f t="shared" si="31"/>
        <v>Y</v>
      </c>
      <c r="FS21" s="2" t="str">
        <f t="shared" si="32"/>
        <v>Y</v>
      </c>
      <c r="FT21" s="2" t="str">
        <f t="shared" si="33"/>
        <v>Y</v>
      </c>
      <c r="FU21" s="2" t="str">
        <f t="shared" si="34"/>
        <v>Y</v>
      </c>
      <c r="FV21" s="2" t="str">
        <f t="shared" si="35"/>
        <v>Y</v>
      </c>
      <c r="FW21" s="2" t="str">
        <f t="shared" si="36"/>
        <v>Y</v>
      </c>
      <c r="FX21" s="2" t="str">
        <f t="shared" si="37"/>
        <v>Y</v>
      </c>
      <c r="FY21" s="2" t="str">
        <f t="shared" si="38"/>
        <v>Y</v>
      </c>
      <c r="FZ21" s="2" t="str">
        <f t="shared" si="39"/>
        <v>Y</v>
      </c>
      <c r="GA21" s="2" t="str">
        <f t="shared" si="40"/>
        <v>Y</v>
      </c>
      <c r="GB21" s="2" t="str">
        <f t="shared" si="41"/>
        <v>Y</v>
      </c>
      <c r="GC21" s="2" t="str">
        <f t="shared" si="42"/>
        <v>Y</v>
      </c>
      <c r="GD21" s="2" t="str">
        <f t="shared" si="43"/>
        <v>Y</v>
      </c>
      <c r="GE21" s="2" t="str">
        <f t="shared" si="44"/>
        <v>Y</v>
      </c>
      <c r="GF21" s="2" t="str">
        <f t="shared" si="45"/>
        <v>Y</v>
      </c>
      <c r="GG21" s="2" t="str">
        <f t="shared" si="46"/>
        <v>Y</v>
      </c>
      <c r="GH21" s="2" t="str">
        <f t="shared" si="47"/>
        <v>Y</v>
      </c>
      <c r="GI21" s="2" t="str">
        <f t="shared" si="48"/>
        <v>Y</v>
      </c>
      <c r="GJ21" s="2" t="str">
        <f t="shared" si="49"/>
        <v>Y</v>
      </c>
      <c r="GK21" s="2" t="str">
        <f t="shared" si="50"/>
        <v>Y</v>
      </c>
      <c r="GL21" s="2" t="str">
        <f t="shared" si="51"/>
        <v>Y</v>
      </c>
      <c r="GM21" s="2" t="str">
        <f t="shared" si="82"/>
        <v>Y</v>
      </c>
      <c r="GN21" s="2" t="str">
        <f t="shared" si="83"/>
        <v>Y</v>
      </c>
      <c r="GO21" s="2" t="str">
        <f t="shared" si="84"/>
        <v>Y</v>
      </c>
      <c r="GP21" s="2" t="str">
        <f t="shared" si="85"/>
        <v>Y</v>
      </c>
      <c r="GQ21" s="2" t="str">
        <f t="shared" si="86"/>
        <v>Y</v>
      </c>
      <c r="GR21" s="2" t="str">
        <f t="shared" si="87"/>
        <v>Y</v>
      </c>
      <c r="GS21" s="2" t="str">
        <f t="shared" si="88"/>
        <v>Y</v>
      </c>
      <c r="GT21" s="2" t="str">
        <f t="shared" si="89"/>
        <v>Y</v>
      </c>
      <c r="GU21" s="2" t="str">
        <f t="shared" si="90"/>
        <v>Y</v>
      </c>
      <c r="GV21" s="2" t="str">
        <f t="shared" si="91"/>
        <v>Y</v>
      </c>
      <c r="GW21" s="2" t="str">
        <f t="shared" si="92"/>
        <v>Y</v>
      </c>
      <c r="GX21" s="49" t="str">
        <f t="shared" si="93"/>
        <v>Y</v>
      </c>
      <c r="GY21" s="50"/>
      <c r="GZ21" s="53"/>
    </row>
    <row r="22" spans="1:208" ht="48" x14ac:dyDescent="0.2">
      <c r="A22" s="26" t="s">
        <v>155</v>
      </c>
      <c r="B22" s="27">
        <v>2010</v>
      </c>
      <c r="C22" s="27">
        <v>308</v>
      </c>
      <c r="D22" s="27">
        <v>308</v>
      </c>
      <c r="E22" s="2">
        <v>231</v>
      </c>
      <c r="F22" s="27">
        <v>231</v>
      </c>
      <c r="G22" s="27" t="s">
        <v>57</v>
      </c>
      <c r="H22" s="27" t="s">
        <v>57</v>
      </c>
      <c r="I22" s="27" t="s">
        <v>57</v>
      </c>
      <c r="J22" s="27" t="s">
        <v>57</v>
      </c>
      <c r="K22" s="27" t="s">
        <v>57</v>
      </c>
      <c r="L22" s="2" t="s">
        <v>57</v>
      </c>
      <c r="M22" s="2" t="s">
        <v>57</v>
      </c>
      <c r="N22" s="2" t="s">
        <v>57</v>
      </c>
      <c r="O22" s="2">
        <v>534</v>
      </c>
      <c r="P22" s="2">
        <v>534</v>
      </c>
      <c r="Q22" s="2" t="s">
        <v>57</v>
      </c>
      <c r="R22" s="2" t="s">
        <v>57</v>
      </c>
      <c r="S22" s="2">
        <v>5</v>
      </c>
      <c r="T22" s="2">
        <v>5</v>
      </c>
      <c r="U22" s="27" t="s">
        <v>57</v>
      </c>
      <c r="V22" s="27" t="s">
        <v>57</v>
      </c>
      <c r="W22" s="27" t="s">
        <v>57</v>
      </c>
      <c r="X22" s="27" t="s">
        <v>57</v>
      </c>
      <c r="Y22" s="27" t="s">
        <v>57</v>
      </c>
      <c r="Z22" s="27" t="s">
        <v>57</v>
      </c>
      <c r="AA22" s="27" t="s">
        <v>57</v>
      </c>
      <c r="AB22" s="27" t="s">
        <v>57</v>
      </c>
      <c r="AC22" s="44" t="s">
        <v>57</v>
      </c>
      <c r="AD22" s="2" t="s">
        <v>126</v>
      </c>
      <c r="AE22" s="27" t="s">
        <v>126</v>
      </c>
      <c r="AF22" s="27" t="s">
        <v>103</v>
      </c>
      <c r="AG22" s="27" t="s">
        <v>82</v>
      </c>
      <c r="AH22" s="27" t="s">
        <v>82</v>
      </c>
      <c r="AI22" s="27" t="s">
        <v>83</v>
      </c>
      <c r="AJ22" s="27" t="s">
        <v>83</v>
      </c>
      <c r="AK22" s="27" t="s">
        <v>83</v>
      </c>
      <c r="AL22" s="27" t="s">
        <v>83</v>
      </c>
      <c r="AM22" s="27">
        <v>540</v>
      </c>
      <c r="AN22" s="27">
        <v>540</v>
      </c>
      <c r="AO22" s="27">
        <v>0</v>
      </c>
      <c r="AP22" s="27">
        <v>0</v>
      </c>
      <c r="AQ22" s="27">
        <v>0</v>
      </c>
      <c r="AR22" s="27">
        <v>0</v>
      </c>
      <c r="AS22" s="27">
        <v>540</v>
      </c>
      <c r="AT22" s="27">
        <v>540</v>
      </c>
      <c r="AU22" s="27">
        <v>87</v>
      </c>
      <c r="AV22" s="27">
        <v>87</v>
      </c>
      <c r="AW22" s="27" t="s">
        <v>84</v>
      </c>
      <c r="AX22" s="27" t="s">
        <v>99</v>
      </c>
      <c r="AY22" s="27">
        <v>41</v>
      </c>
      <c r="AZ22" s="27">
        <v>41</v>
      </c>
      <c r="BA22" s="27">
        <v>46</v>
      </c>
      <c r="BB22" s="27">
        <f t="shared" si="81"/>
        <v>46</v>
      </c>
      <c r="BC22" s="27" t="s">
        <v>85</v>
      </c>
      <c r="BD22" s="27" t="s">
        <v>85</v>
      </c>
      <c r="BE22" s="27" t="s">
        <v>85</v>
      </c>
      <c r="BF22" s="27" t="s">
        <v>85</v>
      </c>
      <c r="BG22" s="27">
        <v>46</v>
      </c>
      <c r="BH22" s="27">
        <v>46</v>
      </c>
      <c r="BI22" s="27" t="s">
        <v>85</v>
      </c>
      <c r="BJ22" s="27" t="s">
        <v>85</v>
      </c>
      <c r="BK22" s="27" t="s">
        <v>85</v>
      </c>
      <c r="BL22" s="27" t="s">
        <v>85</v>
      </c>
      <c r="BM22" s="27" t="s">
        <v>85</v>
      </c>
      <c r="BN22" s="27" t="s">
        <v>85</v>
      </c>
      <c r="BO22" s="27" t="s">
        <v>85</v>
      </c>
      <c r="BP22" s="27" t="s">
        <v>85</v>
      </c>
      <c r="BQ22" s="27" t="s">
        <v>85</v>
      </c>
      <c r="BR22" s="27" t="s">
        <v>85</v>
      </c>
      <c r="BS22" s="27" t="s">
        <v>85</v>
      </c>
      <c r="BT22" s="27" t="s">
        <v>85</v>
      </c>
      <c r="BU22" s="27" t="s">
        <v>85</v>
      </c>
      <c r="BV22" s="27" t="s">
        <v>85</v>
      </c>
      <c r="BW22" s="27" t="s">
        <v>85</v>
      </c>
      <c r="BX22" s="27" t="s">
        <v>85</v>
      </c>
      <c r="BY22" s="27" t="s">
        <v>85</v>
      </c>
      <c r="BZ22" s="27" t="s">
        <v>85</v>
      </c>
      <c r="CA22" s="27" t="s">
        <v>85</v>
      </c>
      <c r="CB22" s="27" t="s">
        <v>85</v>
      </c>
      <c r="CC22" s="27" t="s">
        <v>85</v>
      </c>
      <c r="CD22" s="27" t="s">
        <v>85</v>
      </c>
      <c r="CE22" s="27">
        <v>41</v>
      </c>
      <c r="CF22" s="27">
        <v>41</v>
      </c>
      <c r="CG22" s="27" t="s">
        <v>57</v>
      </c>
      <c r="CH22" s="27" t="s">
        <v>57</v>
      </c>
      <c r="CI22" s="27" t="s">
        <v>57</v>
      </c>
      <c r="CJ22" s="27" t="s">
        <v>57</v>
      </c>
      <c r="CK22" s="27" t="s">
        <v>57</v>
      </c>
      <c r="CL22" s="27" t="s">
        <v>57</v>
      </c>
      <c r="CM22" s="27" t="s">
        <v>57</v>
      </c>
      <c r="CN22" s="27" t="s">
        <v>57</v>
      </c>
      <c r="CO22" s="27" t="s">
        <v>57</v>
      </c>
      <c r="CP22" s="27" t="s">
        <v>57</v>
      </c>
      <c r="CQ22" s="27" t="s">
        <v>57</v>
      </c>
      <c r="CR22" s="27" t="s">
        <v>57</v>
      </c>
      <c r="CS22" s="27" t="s">
        <v>57</v>
      </c>
      <c r="CT22" s="27" t="s">
        <v>57</v>
      </c>
      <c r="CU22" s="27" t="s">
        <v>57</v>
      </c>
      <c r="CV22" s="27" t="s">
        <v>57</v>
      </c>
      <c r="CW22" s="27" t="s">
        <v>57</v>
      </c>
      <c r="CX22" s="27" t="s">
        <v>57</v>
      </c>
      <c r="CY22" s="27" t="s">
        <v>57</v>
      </c>
      <c r="CZ22" s="27" t="s">
        <v>57</v>
      </c>
      <c r="DA22" s="27" t="s">
        <v>57</v>
      </c>
      <c r="DB22" s="27" t="s">
        <v>57</v>
      </c>
      <c r="DC22" s="27" t="s">
        <v>57</v>
      </c>
      <c r="DD22" s="2" t="s">
        <v>57</v>
      </c>
      <c r="DE22" s="27" t="s">
        <v>57</v>
      </c>
      <c r="DF22" s="27" t="s">
        <v>57</v>
      </c>
      <c r="DG22" s="27" t="s">
        <v>57</v>
      </c>
      <c r="DH22" s="27" t="s">
        <v>57</v>
      </c>
      <c r="DI22" s="27" t="s">
        <v>87</v>
      </c>
      <c r="DJ22" s="27" t="s">
        <v>128</v>
      </c>
      <c r="DK22" s="27" t="s">
        <v>136</v>
      </c>
      <c r="DL22" s="27" t="s">
        <v>136</v>
      </c>
      <c r="DM22" s="27" t="s">
        <v>104</v>
      </c>
      <c r="DN22" s="27" t="s">
        <v>104</v>
      </c>
      <c r="DO22" s="27">
        <v>1</v>
      </c>
      <c r="DP22" s="27">
        <v>1</v>
      </c>
      <c r="DQ22" s="27">
        <v>1</v>
      </c>
      <c r="DR22" s="27">
        <v>1</v>
      </c>
      <c r="DS22" s="27">
        <v>1</v>
      </c>
      <c r="DT22" s="27">
        <v>1</v>
      </c>
      <c r="DU22" s="27">
        <v>0</v>
      </c>
      <c r="DV22" s="27">
        <v>0</v>
      </c>
      <c r="DW22" s="27">
        <v>1</v>
      </c>
      <c r="DX22" s="27">
        <v>1</v>
      </c>
      <c r="DY22" s="27">
        <v>0</v>
      </c>
      <c r="DZ22" s="27">
        <v>0</v>
      </c>
      <c r="EA22" s="27">
        <v>0</v>
      </c>
      <c r="EB22" s="27">
        <v>0</v>
      </c>
      <c r="EC22" s="27">
        <v>0</v>
      </c>
      <c r="ED22" s="27">
        <v>0</v>
      </c>
      <c r="EE22" s="27">
        <v>1</v>
      </c>
      <c r="EF22" s="27">
        <v>1</v>
      </c>
      <c r="EG22" s="27">
        <v>1</v>
      </c>
      <c r="EH22" s="27">
        <v>1</v>
      </c>
      <c r="EI22" s="27">
        <f t="shared" si="64"/>
        <v>6</v>
      </c>
      <c r="EJ22" s="27">
        <f t="shared" si="65"/>
        <v>6</v>
      </c>
      <c r="EK22" s="28" t="s">
        <v>155</v>
      </c>
      <c r="EL22" s="29">
        <v>2010</v>
      </c>
      <c r="EM22" s="2" t="str">
        <f t="shared" si="0"/>
        <v>Y</v>
      </c>
      <c r="EN22" s="2" t="str">
        <f t="shared" si="1"/>
        <v>Y</v>
      </c>
      <c r="EO22" s="2" t="str">
        <f t="shared" si="2"/>
        <v>Y</v>
      </c>
      <c r="EP22" s="2" t="str">
        <f t="shared" si="3"/>
        <v>Y</v>
      </c>
      <c r="EQ22" s="2" t="str">
        <f t="shared" si="4"/>
        <v>Y</v>
      </c>
      <c r="ER22" s="2" t="str">
        <f t="shared" si="5"/>
        <v>Y</v>
      </c>
      <c r="ES22" s="2" t="str">
        <f t="shared" si="6"/>
        <v>Y</v>
      </c>
      <c r="ET22" s="2" t="str">
        <f t="shared" si="7"/>
        <v>Y</v>
      </c>
      <c r="EU22" s="2" t="str">
        <f t="shared" si="8"/>
        <v>Y</v>
      </c>
      <c r="EV22" s="2" t="str">
        <f t="shared" si="9"/>
        <v>Y</v>
      </c>
      <c r="EW22" s="2" t="str">
        <f t="shared" si="10"/>
        <v>Y</v>
      </c>
      <c r="EX22" s="2" t="str">
        <f t="shared" si="11"/>
        <v>Y</v>
      </c>
      <c r="EY22" s="2" t="str">
        <f t="shared" si="12"/>
        <v>Y</v>
      </c>
      <c r="EZ22" s="2" t="str">
        <f t="shared" si="13"/>
        <v>Y</v>
      </c>
      <c r="FA22" s="2" t="str">
        <f t="shared" si="14"/>
        <v>Y</v>
      </c>
      <c r="FB22" s="2" t="str">
        <f t="shared" si="15"/>
        <v>Y</v>
      </c>
      <c r="FC22" s="2" t="str">
        <f t="shared" si="16"/>
        <v>Y</v>
      </c>
      <c r="FD22" s="2" t="str">
        <f t="shared" si="17"/>
        <v>Y</v>
      </c>
      <c r="FE22" s="2" t="str">
        <f t="shared" si="18"/>
        <v>Y</v>
      </c>
      <c r="FF22" s="2" t="str">
        <f t="shared" si="19"/>
        <v>Y</v>
      </c>
      <c r="FG22" s="2" t="str">
        <f t="shared" si="20"/>
        <v>Y</v>
      </c>
      <c r="FH22" s="2" t="str">
        <f t="shared" si="21"/>
        <v>Y</v>
      </c>
      <c r="FI22" s="2" t="str">
        <f t="shared" si="22"/>
        <v>Y</v>
      </c>
      <c r="FJ22" s="2" t="str">
        <f t="shared" si="23"/>
        <v>Y</v>
      </c>
      <c r="FK22" s="2" t="str">
        <f t="shared" si="24"/>
        <v>Y</v>
      </c>
      <c r="FL22" s="2" t="str">
        <f t="shared" si="25"/>
        <v>Y</v>
      </c>
      <c r="FM22" s="2" t="str">
        <f t="shared" si="26"/>
        <v>Y</v>
      </c>
      <c r="FN22" s="2" t="str">
        <f t="shared" si="27"/>
        <v>Y</v>
      </c>
      <c r="FO22" s="2" t="str">
        <f t="shared" si="28"/>
        <v>Y</v>
      </c>
      <c r="FP22" s="2" t="str">
        <f t="shared" si="29"/>
        <v>Y</v>
      </c>
      <c r="FQ22" s="2" t="str">
        <f t="shared" si="30"/>
        <v>Y</v>
      </c>
      <c r="FR22" s="2" t="str">
        <f t="shared" si="31"/>
        <v>Y</v>
      </c>
      <c r="FS22" s="2" t="str">
        <f t="shared" si="32"/>
        <v>Y</v>
      </c>
      <c r="FT22" s="2" t="str">
        <f t="shared" si="33"/>
        <v>Y</v>
      </c>
      <c r="FU22" s="2" t="str">
        <f t="shared" si="34"/>
        <v>Y</v>
      </c>
      <c r="FV22" s="2" t="str">
        <f t="shared" si="35"/>
        <v>Y</v>
      </c>
      <c r="FW22" s="2" t="str">
        <f t="shared" si="36"/>
        <v>Y</v>
      </c>
      <c r="FX22" s="2" t="str">
        <f t="shared" si="37"/>
        <v>Y</v>
      </c>
      <c r="FY22" s="2" t="str">
        <f t="shared" si="38"/>
        <v>Y</v>
      </c>
      <c r="FZ22" s="2" t="str">
        <f t="shared" si="39"/>
        <v>Y</v>
      </c>
      <c r="GA22" s="2" t="str">
        <f t="shared" si="40"/>
        <v>Y</v>
      </c>
      <c r="GB22" s="2" t="str">
        <f t="shared" si="41"/>
        <v>Y</v>
      </c>
      <c r="GC22" s="2" t="str">
        <f t="shared" si="42"/>
        <v>Y</v>
      </c>
      <c r="GD22" s="2" t="str">
        <f t="shared" si="43"/>
        <v>Y</v>
      </c>
      <c r="GE22" s="2" t="str">
        <f t="shared" si="44"/>
        <v>Y</v>
      </c>
      <c r="GF22" s="2" t="str">
        <f t="shared" si="45"/>
        <v>Y</v>
      </c>
      <c r="GG22" s="2" t="str">
        <f t="shared" si="46"/>
        <v>Y</v>
      </c>
      <c r="GH22" s="2" t="str">
        <f t="shared" si="47"/>
        <v>Y</v>
      </c>
      <c r="GI22" s="2" t="str">
        <f t="shared" si="48"/>
        <v>Y</v>
      </c>
      <c r="GJ22" s="2" t="str">
        <f t="shared" si="49"/>
        <v>Y</v>
      </c>
      <c r="GK22" s="2" t="str">
        <f t="shared" si="50"/>
        <v>Y</v>
      </c>
      <c r="GL22" s="2" t="str">
        <f t="shared" si="51"/>
        <v>Y</v>
      </c>
      <c r="GM22" s="2" t="str">
        <f t="shared" si="82"/>
        <v>Y</v>
      </c>
      <c r="GN22" s="2" t="str">
        <f t="shared" si="83"/>
        <v>Y</v>
      </c>
      <c r="GO22" s="2" t="str">
        <f t="shared" si="84"/>
        <v>Y</v>
      </c>
      <c r="GP22" s="2" t="str">
        <f t="shared" si="85"/>
        <v>Y</v>
      </c>
      <c r="GQ22" s="2" t="str">
        <f t="shared" si="86"/>
        <v>Y</v>
      </c>
      <c r="GR22" s="2" t="str">
        <f t="shared" si="87"/>
        <v>Y</v>
      </c>
      <c r="GS22" s="2" t="str">
        <f t="shared" si="88"/>
        <v>Y</v>
      </c>
      <c r="GT22" s="2" t="str">
        <f t="shared" si="89"/>
        <v>Y</v>
      </c>
      <c r="GU22" s="2" t="str">
        <f t="shared" si="90"/>
        <v>Y</v>
      </c>
      <c r="GV22" s="2" t="str">
        <f t="shared" si="91"/>
        <v>Y</v>
      </c>
      <c r="GW22" s="2" t="str">
        <f t="shared" si="92"/>
        <v>Y</v>
      </c>
      <c r="GX22" s="49" t="str">
        <f t="shared" si="93"/>
        <v>Y</v>
      </c>
      <c r="GY22" s="50">
        <v>1</v>
      </c>
      <c r="GZ22" s="53">
        <v>1</v>
      </c>
    </row>
    <row r="23" spans="1:208" ht="32" x14ac:dyDescent="0.2">
      <c r="A23" s="26" t="s">
        <v>156</v>
      </c>
      <c r="B23" s="27">
        <v>1990</v>
      </c>
      <c r="C23" s="27">
        <v>100</v>
      </c>
      <c r="D23" s="27">
        <v>100</v>
      </c>
      <c r="E23" s="2">
        <v>0</v>
      </c>
      <c r="F23" s="27">
        <v>0</v>
      </c>
      <c r="G23" s="27" t="s">
        <v>57</v>
      </c>
      <c r="H23" s="27" t="s">
        <v>57</v>
      </c>
      <c r="I23" s="27" t="s">
        <v>57</v>
      </c>
      <c r="J23" s="27" t="s">
        <v>57</v>
      </c>
      <c r="K23" s="27">
        <v>28.2</v>
      </c>
      <c r="L23" s="2">
        <v>28.2</v>
      </c>
      <c r="M23" s="2">
        <v>100</v>
      </c>
      <c r="N23" s="2">
        <v>100</v>
      </c>
      <c r="O23" s="2">
        <v>0</v>
      </c>
      <c r="P23" s="2">
        <v>0</v>
      </c>
      <c r="Q23" s="2">
        <v>0</v>
      </c>
      <c r="R23" s="2">
        <v>0</v>
      </c>
      <c r="S23" s="2">
        <v>0</v>
      </c>
      <c r="T23" s="2">
        <v>0</v>
      </c>
      <c r="U23" s="27">
        <v>0</v>
      </c>
      <c r="V23" s="27">
        <v>0</v>
      </c>
      <c r="W23" s="27">
        <v>100</v>
      </c>
      <c r="X23" s="27">
        <v>100</v>
      </c>
      <c r="Y23" s="27">
        <v>0</v>
      </c>
      <c r="Z23" s="27">
        <v>0</v>
      </c>
      <c r="AA23" s="27">
        <v>0</v>
      </c>
      <c r="AB23" s="27">
        <v>0</v>
      </c>
      <c r="AC23" s="44" t="s">
        <v>101</v>
      </c>
      <c r="AD23" s="2" t="s">
        <v>106</v>
      </c>
      <c r="AE23" s="27" t="s">
        <v>106</v>
      </c>
      <c r="AF23" s="27" t="s">
        <v>107</v>
      </c>
      <c r="AG23" s="27" t="s">
        <v>82</v>
      </c>
      <c r="AH23" s="27" t="s">
        <v>82</v>
      </c>
      <c r="AI23" s="27" t="s">
        <v>83</v>
      </c>
      <c r="AJ23" s="27" t="s">
        <v>83</v>
      </c>
      <c r="AK23" s="27" t="s">
        <v>82</v>
      </c>
      <c r="AL23" s="27" t="s">
        <v>82</v>
      </c>
      <c r="AM23" s="27" t="s">
        <v>57</v>
      </c>
      <c r="AN23" s="27" t="s">
        <v>57</v>
      </c>
      <c r="AO23" s="27" t="s">
        <v>57</v>
      </c>
      <c r="AP23" s="27" t="s">
        <v>57</v>
      </c>
      <c r="AQ23" s="27" t="s">
        <v>57</v>
      </c>
      <c r="AR23" s="27" t="s">
        <v>57</v>
      </c>
      <c r="AS23" s="27">
        <v>100</v>
      </c>
      <c r="AT23" s="27">
        <v>100</v>
      </c>
      <c r="AU23" s="27">
        <v>56</v>
      </c>
      <c r="AV23" s="27">
        <v>56</v>
      </c>
      <c r="AW23" s="27" t="s">
        <v>94</v>
      </c>
      <c r="AX23" s="27" t="s">
        <v>95</v>
      </c>
      <c r="AY23" s="27">
        <f t="shared" si="78"/>
        <v>8</v>
      </c>
      <c r="AZ23" s="27">
        <v>8</v>
      </c>
      <c r="BA23" s="27">
        <f t="shared" si="79"/>
        <v>43</v>
      </c>
      <c r="BB23" s="27">
        <v>43</v>
      </c>
      <c r="BC23" s="27">
        <v>0</v>
      </c>
      <c r="BD23" s="27">
        <v>0</v>
      </c>
      <c r="BE23" s="27">
        <v>0</v>
      </c>
      <c r="BF23" s="27">
        <v>0</v>
      </c>
      <c r="BG23" s="27">
        <v>43</v>
      </c>
      <c r="BH23" s="27">
        <v>43</v>
      </c>
      <c r="BI23" s="27">
        <v>0</v>
      </c>
      <c r="BJ23" s="27">
        <v>0</v>
      </c>
      <c r="BK23" s="27">
        <v>0</v>
      </c>
      <c r="BL23" s="27">
        <v>0</v>
      </c>
      <c r="BM23" s="27">
        <v>0</v>
      </c>
      <c r="BN23" s="27">
        <v>0</v>
      </c>
      <c r="BO23" s="27">
        <v>0</v>
      </c>
      <c r="BP23" s="27">
        <v>0</v>
      </c>
      <c r="BQ23" s="27">
        <v>0</v>
      </c>
      <c r="BR23" s="27">
        <v>0</v>
      </c>
      <c r="BS23" s="27">
        <v>2</v>
      </c>
      <c r="BT23" s="27">
        <v>2</v>
      </c>
      <c r="BU23" s="27">
        <v>0</v>
      </c>
      <c r="BV23" s="27">
        <v>0</v>
      </c>
      <c r="BW23" s="27">
        <v>0</v>
      </c>
      <c r="BX23" s="27">
        <v>0</v>
      </c>
      <c r="BY23" s="27">
        <v>6</v>
      </c>
      <c r="BZ23" s="27">
        <v>6</v>
      </c>
      <c r="CA23" s="27">
        <v>0</v>
      </c>
      <c r="CB23" s="27">
        <v>0</v>
      </c>
      <c r="CC23" s="27">
        <v>2</v>
      </c>
      <c r="CD23" s="27">
        <v>2</v>
      </c>
      <c r="CE23" s="27">
        <v>0</v>
      </c>
      <c r="CF23" s="27">
        <v>0</v>
      </c>
      <c r="CG23" s="27">
        <v>0</v>
      </c>
      <c r="CH23" s="27">
        <v>0</v>
      </c>
      <c r="CI23" s="27">
        <v>0</v>
      </c>
      <c r="CJ23" s="27">
        <v>0</v>
      </c>
      <c r="CK23" s="27">
        <v>0</v>
      </c>
      <c r="CL23" s="27">
        <v>0</v>
      </c>
      <c r="CM23" s="27" t="s">
        <v>119</v>
      </c>
      <c r="CN23" s="27" t="s">
        <v>119</v>
      </c>
      <c r="CO23" s="27">
        <v>0</v>
      </c>
      <c r="CP23" s="27">
        <v>0</v>
      </c>
      <c r="CQ23" s="27">
        <v>0</v>
      </c>
      <c r="CR23" s="27">
        <v>0</v>
      </c>
      <c r="CS23" s="27" t="s">
        <v>86</v>
      </c>
      <c r="CT23" s="27" t="s">
        <v>86</v>
      </c>
      <c r="CU23" s="27" t="s">
        <v>57</v>
      </c>
      <c r="CV23" s="27" t="s">
        <v>86</v>
      </c>
      <c r="CW23" s="27" t="s">
        <v>57</v>
      </c>
      <c r="CX23" s="27" t="s">
        <v>57</v>
      </c>
      <c r="CY23" s="27" t="s">
        <v>57</v>
      </c>
      <c r="CZ23" s="27" t="s">
        <v>57</v>
      </c>
      <c r="DA23" s="27" t="s">
        <v>57</v>
      </c>
      <c r="DB23" s="27" t="s">
        <v>57</v>
      </c>
      <c r="DC23" s="27" t="s">
        <v>57</v>
      </c>
      <c r="DD23" s="2" t="s">
        <v>57</v>
      </c>
      <c r="DE23" s="27" t="s">
        <v>57</v>
      </c>
      <c r="DF23" s="27" t="s">
        <v>57</v>
      </c>
      <c r="DG23" s="27" t="s">
        <v>57</v>
      </c>
      <c r="DH23" s="27" t="s">
        <v>57</v>
      </c>
      <c r="DI23" s="27" t="s">
        <v>87</v>
      </c>
      <c r="DJ23" s="27" t="s">
        <v>120</v>
      </c>
      <c r="DK23" s="27" t="s">
        <v>141</v>
      </c>
      <c r="DL23" s="27" t="s">
        <v>141</v>
      </c>
      <c r="DM23" s="27" t="s">
        <v>157</v>
      </c>
      <c r="DN23" s="27" t="s">
        <v>157</v>
      </c>
      <c r="DO23" s="27">
        <v>1</v>
      </c>
      <c r="DP23" s="27">
        <v>1</v>
      </c>
      <c r="DQ23" s="27">
        <v>1</v>
      </c>
      <c r="DR23" s="27">
        <v>1</v>
      </c>
      <c r="DS23" s="27">
        <v>1</v>
      </c>
      <c r="DT23" s="27">
        <v>1</v>
      </c>
      <c r="DU23" s="27">
        <v>1</v>
      </c>
      <c r="DV23" s="27">
        <v>1</v>
      </c>
      <c r="DW23" s="27">
        <v>1</v>
      </c>
      <c r="DX23" s="27">
        <v>1</v>
      </c>
      <c r="DY23" s="27">
        <v>1</v>
      </c>
      <c r="DZ23" s="27">
        <v>1</v>
      </c>
      <c r="EA23" s="27">
        <v>1</v>
      </c>
      <c r="EB23" s="27">
        <v>1</v>
      </c>
      <c r="EC23" s="27">
        <v>1</v>
      </c>
      <c r="ED23" s="27">
        <v>1</v>
      </c>
      <c r="EE23" s="27">
        <v>0</v>
      </c>
      <c r="EF23" s="27">
        <v>0</v>
      </c>
      <c r="EG23" s="27">
        <v>1</v>
      </c>
      <c r="EH23" s="27">
        <v>1</v>
      </c>
      <c r="EI23" s="27">
        <f t="shared" si="64"/>
        <v>9</v>
      </c>
      <c r="EJ23" s="27">
        <f t="shared" si="65"/>
        <v>9</v>
      </c>
      <c r="EK23" s="28" t="s">
        <v>156</v>
      </c>
      <c r="EL23" s="29">
        <v>1990</v>
      </c>
      <c r="EM23" s="2" t="str">
        <f t="shared" si="0"/>
        <v>Y</v>
      </c>
      <c r="EN23" s="2" t="str">
        <f t="shared" si="1"/>
        <v>Y</v>
      </c>
      <c r="EO23" s="2" t="str">
        <f t="shared" si="2"/>
        <v>Y</v>
      </c>
      <c r="EP23" s="2" t="str">
        <f t="shared" si="3"/>
        <v>Y</v>
      </c>
      <c r="EQ23" s="2" t="str">
        <f t="shared" si="4"/>
        <v>Y</v>
      </c>
      <c r="ER23" s="2" t="str">
        <f t="shared" si="5"/>
        <v>Y</v>
      </c>
      <c r="ES23" s="2" t="str">
        <f t="shared" si="6"/>
        <v>Y</v>
      </c>
      <c r="ET23" s="2" t="str">
        <f t="shared" si="7"/>
        <v>Y</v>
      </c>
      <c r="EU23" s="2" t="str">
        <f t="shared" si="8"/>
        <v>Y</v>
      </c>
      <c r="EV23" s="2" t="str">
        <f t="shared" si="9"/>
        <v>Y</v>
      </c>
      <c r="EW23" s="2" t="str">
        <f t="shared" si="10"/>
        <v>Y</v>
      </c>
      <c r="EX23" s="2" t="str">
        <f t="shared" si="11"/>
        <v>Y</v>
      </c>
      <c r="EY23" s="2" t="str">
        <f t="shared" si="12"/>
        <v>Y</v>
      </c>
      <c r="EZ23" s="2" t="str">
        <f t="shared" si="13"/>
        <v>Y</v>
      </c>
      <c r="FA23" s="2" t="str">
        <f t="shared" si="14"/>
        <v>Y</v>
      </c>
      <c r="FB23" s="2" t="str">
        <f t="shared" si="15"/>
        <v>Y</v>
      </c>
      <c r="FC23" s="2" t="str">
        <f t="shared" si="16"/>
        <v>Y</v>
      </c>
      <c r="FD23" s="2" t="str">
        <f t="shared" si="17"/>
        <v>Y</v>
      </c>
      <c r="FE23" s="2" t="str">
        <f t="shared" si="18"/>
        <v>Y</v>
      </c>
      <c r="FF23" s="2" t="str">
        <f t="shared" si="19"/>
        <v>Y</v>
      </c>
      <c r="FG23" s="2" t="str">
        <f t="shared" si="20"/>
        <v>Y</v>
      </c>
      <c r="FH23" s="2" t="str">
        <f t="shared" si="21"/>
        <v>Y</v>
      </c>
      <c r="FI23" s="2" t="str">
        <f t="shared" si="22"/>
        <v>Y</v>
      </c>
      <c r="FJ23" s="2" t="str">
        <f t="shared" si="23"/>
        <v>Y</v>
      </c>
      <c r="FK23" s="2" t="str">
        <f t="shared" si="24"/>
        <v>Y</v>
      </c>
      <c r="FL23" s="2" t="str">
        <f t="shared" si="25"/>
        <v>Y</v>
      </c>
      <c r="FM23" s="2" t="str">
        <f t="shared" si="26"/>
        <v>Y</v>
      </c>
      <c r="FN23" s="2" t="str">
        <f t="shared" si="27"/>
        <v>Y</v>
      </c>
      <c r="FO23" s="2" t="str">
        <f t="shared" si="28"/>
        <v>Y</v>
      </c>
      <c r="FP23" s="2" t="str">
        <f t="shared" si="29"/>
        <v>Y</v>
      </c>
      <c r="FQ23" s="2" t="str">
        <f t="shared" si="30"/>
        <v>Y</v>
      </c>
      <c r="FR23" s="2" t="str">
        <f t="shared" si="31"/>
        <v>Y</v>
      </c>
      <c r="FS23" s="2" t="str">
        <f t="shared" si="32"/>
        <v>Y</v>
      </c>
      <c r="FT23" s="2" t="str">
        <f t="shared" si="33"/>
        <v>Y</v>
      </c>
      <c r="FU23" s="2" t="str">
        <f t="shared" si="34"/>
        <v>Y</v>
      </c>
      <c r="FV23" s="2" t="str">
        <f t="shared" si="35"/>
        <v>Y</v>
      </c>
      <c r="FW23" s="2" t="str">
        <f t="shared" si="36"/>
        <v>Y</v>
      </c>
      <c r="FX23" s="2" t="str">
        <f t="shared" si="37"/>
        <v>Y</v>
      </c>
      <c r="FY23" s="2" t="str">
        <f t="shared" si="38"/>
        <v>Y</v>
      </c>
      <c r="FZ23" s="2" t="str">
        <f t="shared" si="39"/>
        <v>Y</v>
      </c>
      <c r="GA23" s="2" t="str">
        <f t="shared" si="40"/>
        <v>Y</v>
      </c>
      <c r="GB23" s="2" t="str">
        <f t="shared" si="41"/>
        <v>Y</v>
      </c>
      <c r="GC23" s="2" t="str">
        <f t="shared" si="42"/>
        <v>Y</v>
      </c>
      <c r="GD23" s="2" t="str">
        <f t="shared" si="43"/>
        <v>Y</v>
      </c>
      <c r="GE23" s="2" t="str">
        <f t="shared" si="44"/>
        <v>Y</v>
      </c>
      <c r="GF23" s="2" t="str">
        <f t="shared" si="45"/>
        <v>Y</v>
      </c>
      <c r="GG23" s="2" t="str">
        <f t="shared" si="46"/>
        <v>N</v>
      </c>
      <c r="GH23" s="2" t="str">
        <f t="shared" si="47"/>
        <v>Y</v>
      </c>
      <c r="GI23" s="2" t="str">
        <f t="shared" si="48"/>
        <v>Y</v>
      </c>
      <c r="GJ23" s="2" t="str">
        <f t="shared" si="49"/>
        <v>Y</v>
      </c>
      <c r="GK23" s="2" t="str">
        <f t="shared" si="50"/>
        <v>Y</v>
      </c>
      <c r="GL23" s="2" t="str">
        <f t="shared" si="51"/>
        <v>Y</v>
      </c>
      <c r="GM23" s="2" t="str">
        <f t="shared" si="82"/>
        <v>Y</v>
      </c>
      <c r="GN23" s="2" t="str">
        <f t="shared" si="83"/>
        <v>Y</v>
      </c>
      <c r="GO23" s="2" t="str">
        <f t="shared" si="84"/>
        <v>Y</v>
      </c>
      <c r="GP23" s="2" t="str">
        <f t="shared" si="85"/>
        <v>Y</v>
      </c>
      <c r="GQ23" s="2" t="str">
        <f t="shared" si="86"/>
        <v>Y</v>
      </c>
      <c r="GR23" s="2" t="str">
        <f t="shared" si="87"/>
        <v>Y</v>
      </c>
      <c r="GS23" s="2" t="str">
        <f t="shared" si="88"/>
        <v>Y</v>
      </c>
      <c r="GT23" s="2" t="str">
        <f t="shared" si="89"/>
        <v>Y</v>
      </c>
      <c r="GU23" s="2" t="str">
        <f t="shared" si="90"/>
        <v>Y</v>
      </c>
      <c r="GV23" s="2" t="str">
        <f t="shared" si="91"/>
        <v>Y</v>
      </c>
      <c r="GW23" s="2" t="str">
        <f t="shared" si="92"/>
        <v>Y</v>
      </c>
      <c r="GX23" s="49" t="str">
        <f t="shared" si="93"/>
        <v>Y</v>
      </c>
      <c r="GY23" s="50"/>
      <c r="GZ23" s="53"/>
    </row>
    <row r="24" spans="1:208" ht="32" x14ac:dyDescent="0.2">
      <c r="A24" s="26" t="s">
        <v>158</v>
      </c>
      <c r="B24" s="27">
        <v>2022</v>
      </c>
      <c r="C24" s="27">
        <v>448</v>
      </c>
      <c r="D24" s="27">
        <v>448</v>
      </c>
      <c r="E24" s="2">
        <v>463</v>
      </c>
      <c r="F24" s="27">
        <v>463</v>
      </c>
      <c r="G24" s="27" t="s">
        <v>57</v>
      </c>
      <c r="H24" s="27" t="s">
        <v>57</v>
      </c>
      <c r="I24" s="27" t="s">
        <v>57</v>
      </c>
      <c r="J24" s="27" t="s">
        <v>57</v>
      </c>
      <c r="K24" s="27" t="s">
        <v>152</v>
      </c>
      <c r="L24" s="2" t="s">
        <v>152</v>
      </c>
      <c r="M24" s="2" t="s">
        <v>57</v>
      </c>
      <c r="N24" s="2" t="s">
        <v>57</v>
      </c>
      <c r="O24" s="2" t="s">
        <v>57</v>
      </c>
      <c r="P24" s="2" t="s">
        <v>57</v>
      </c>
      <c r="Q24" s="2" t="s">
        <v>57</v>
      </c>
      <c r="R24" s="2" t="s">
        <v>57</v>
      </c>
      <c r="S24" s="2" t="s">
        <v>57</v>
      </c>
      <c r="T24" s="2" t="s">
        <v>57</v>
      </c>
      <c r="U24" s="27">
        <v>0</v>
      </c>
      <c r="V24" s="27">
        <v>0</v>
      </c>
      <c r="W24" s="27">
        <v>911</v>
      </c>
      <c r="X24" s="27">
        <v>911</v>
      </c>
      <c r="Y24" s="27">
        <v>0</v>
      </c>
      <c r="Z24" s="27">
        <v>0</v>
      </c>
      <c r="AA24" s="27">
        <v>0</v>
      </c>
      <c r="AB24" s="27">
        <v>0</v>
      </c>
      <c r="AC24" s="44" t="s">
        <v>101</v>
      </c>
      <c r="AD24" s="2" t="s">
        <v>123</v>
      </c>
      <c r="AE24" s="27" t="s">
        <v>123</v>
      </c>
      <c r="AF24" s="27" t="s">
        <v>124</v>
      </c>
      <c r="AG24" s="27" t="s">
        <v>83</v>
      </c>
      <c r="AH24" s="27" t="s">
        <v>83</v>
      </c>
      <c r="AI24" s="27" t="s">
        <v>82</v>
      </c>
      <c r="AJ24" s="27" t="s">
        <v>82</v>
      </c>
      <c r="AK24" s="27" t="s">
        <v>82</v>
      </c>
      <c r="AL24" s="27" t="s">
        <v>82</v>
      </c>
      <c r="AM24" s="27" t="s">
        <v>57</v>
      </c>
      <c r="AN24" s="27" t="s">
        <v>57</v>
      </c>
      <c r="AO24" s="27" t="s">
        <v>57</v>
      </c>
      <c r="AP24" s="27" t="s">
        <v>57</v>
      </c>
      <c r="AQ24" s="27" t="s">
        <v>57</v>
      </c>
      <c r="AR24" s="27" t="s">
        <v>57</v>
      </c>
      <c r="AS24" s="27">
        <v>911</v>
      </c>
      <c r="AT24" s="27">
        <v>911</v>
      </c>
      <c r="AU24" s="27">
        <v>3</v>
      </c>
      <c r="AV24" s="27">
        <v>3</v>
      </c>
      <c r="AW24" s="27" t="s">
        <v>84</v>
      </c>
      <c r="AX24" s="27" t="s">
        <v>99</v>
      </c>
      <c r="AY24" s="27">
        <v>2</v>
      </c>
      <c r="AZ24" s="27">
        <v>2</v>
      </c>
      <c r="BA24" s="27" t="s">
        <v>85</v>
      </c>
      <c r="BB24" s="27" t="s">
        <v>85</v>
      </c>
      <c r="BC24" s="27">
        <v>2</v>
      </c>
      <c r="BD24" s="27">
        <v>2</v>
      </c>
      <c r="BE24" s="27" t="s">
        <v>85</v>
      </c>
      <c r="BF24" s="27" t="s">
        <v>85</v>
      </c>
      <c r="BG24" s="27" t="s">
        <v>85</v>
      </c>
      <c r="BH24" s="27" t="s">
        <v>85</v>
      </c>
      <c r="BI24" s="27" t="s">
        <v>85</v>
      </c>
      <c r="BJ24" s="27" t="s">
        <v>85</v>
      </c>
      <c r="BK24" s="27" t="s">
        <v>85</v>
      </c>
      <c r="BL24" s="27" t="s">
        <v>85</v>
      </c>
      <c r="BM24" s="27" t="s">
        <v>85</v>
      </c>
      <c r="BN24" s="27" t="s">
        <v>85</v>
      </c>
      <c r="BO24" s="27" t="s">
        <v>85</v>
      </c>
      <c r="BP24" s="27" t="s">
        <v>85</v>
      </c>
      <c r="BQ24" s="27" t="s">
        <v>85</v>
      </c>
      <c r="BR24" s="27" t="s">
        <v>85</v>
      </c>
      <c r="BS24" s="27" t="s">
        <v>85</v>
      </c>
      <c r="BT24" s="27" t="s">
        <v>85</v>
      </c>
      <c r="BU24" s="27" t="s">
        <v>85</v>
      </c>
      <c r="BV24" s="27" t="s">
        <v>85</v>
      </c>
      <c r="BW24" s="27" t="s">
        <v>85</v>
      </c>
      <c r="BX24" s="27" t="s">
        <v>85</v>
      </c>
      <c r="BY24" s="27" t="s">
        <v>85</v>
      </c>
      <c r="BZ24" s="27" t="s">
        <v>85</v>
      </c>
      <c r="CA24" s="27" t="s">
        <v>85</v>
      </c>
      <c r="CB24" s="27" t="s">
        <v>85</v>
      </c>
      <c r="CC24" s="27" t="s">
        <v>85</v>
      </c>
      <c r="CD24" s="27" t="s">
        <v>85</v>
      </c>
      <c r="CE24" s="27" t="s">
        <v>85</v>
      </c>
      <c r="CF24" s="27" t="s">
        <v>85</v>
      </c>
      <c r="CG24" s="27" t="s">
        <v>119</v>
      </c>
      <c r="CH24" s="27" t="s">
        <v>119</v>
      </c>
      <c r="CI24" s="27" t="s">
        <v>119</v>
      </c>
      <c r="CJ24" s="27" t="s">
        <v>119</v>
      </c>
      <c r="CK24" s="27" t="s">
        <v>119</v>
      </c>
      <c r="CL24" s="27" t="s">
        <v>119</v>
      </c>
      <c r="CM24" s="27" t="s">
        <v>57</v>
      </c>
      <c r="CN24" s="27" t="s">
        <v>57</v>
      </c>
      <c r="CO24" s="27" t="s">
        <v>57</v>
      </c>
      <c r="CP24" s="27" t="s">
        <v>57</v>
      </c>
      <c r="CQ24" s="27" t="s">
        <v>86</v>
      </c>
      <c r="CR24" s="27" t="s">
        <v>86</v>
      </c>
      <c r="CS24" s="27" t="s">
        <v>57</v>
      </c>
      <c r="CT24" s="27" t="s">
        <v>57</v>
      </c>
      <c r="CU24" s="27" t="s">
        <v>86</v>
      </c>
      <c r="CV24" s="27" t="s">
        <v>86</v>
      </c>
      <c r="CW24" s="27" t="s">
        <v>57</v>
      </c>
      <c r="CX24" s="27" t="s">
        <v>57</v>
      </c>
      <c r="CY24" s="27" t="s">
        <v>57</v>
      </c>
      <c r="CZ24" s="27" t="s">
        <v>57</v>
      </c>
      <c r="DA24" s="27" t="s">
        <v>57</v>
      </c>
      <c r="DB24" s="27" t="s">
        <v>57</v>
      </c>
      <c r="DC24" s="27" t="s">
        <v>57</v>
      </c>
      <c r="DD24" s="2" t="s">
        <v>57</v>
      </c>
      <c r="DE24" s="27" t="s">
        <v>57</v>
      </c>
      <c r="DF24" s="27" t="s">
        <v>57</v>
      </c>
      <c r="DG24" s="27" t="s">
        <v>57</v>
      </c>
      <c r="DH24" s="27" t="s">
        <v>57</v>
      </c>
      <c r="DI24" s="27" t="s">
        <v>87</v>
      </c>
      <c r="DJ24" s="27" t="s">
        <v>87</v>
      </c>
      <c r="DK24" s="27" t="s">
        <v>57</v>
      </c>
      <c r="DL24" s="27" t="s">
        <v>57</v>
      </c>
      <c r="DM24" s="27" t="s">
        <v>104</v>
      </c>
      <c r="DN24" s="27" t="s">
        <v>104</v>
      </c>
      <c r="DO24" s="27">
        <v>1</v>
      </c>
      <c r="DP24" s="27">
        <v>1</v>
      </c>
      <c r="DQ24" s="27">
        <v>1</v>
      </c>
      <c r="DR24" s="27">
        <v>1</v>
      </c>
      <c r="DS24" s="27">
        <v>1</v>
      </c>
      <c r="DT24" s="27">
        <v>1</v>
      </c>
      <c r="DU24" s="27">
        <v>1</v>
      </c>
      <c r="DV24" s="27">
        <v>1</v>
      </c>
      <c r="DW24" s="27">
        <v>1</v>
      </c>
      <c r="DX24" s="27">
        <v>1</v>
      </c>
      <c r="DY24" s="27">
        <v>1</v>
      </c>
      <c r="DZ24" s="27">
        <v>1</v>
      </c>
      <c r="EA24" s="27">
        <v>1</v>
      </c>
      <c r="EB24" s="27">
        <v>1</v>
      </c>
      <c r="EC24" s="27">
        <v>1</v>
      </c>
      <c r="ED24" s="27">
        <v>1</v>
      </c>
      <c r="EE24" s="27">
        <v>1</v>
      </c>
      <c r="EF24" s="27">
        <v>1</v>
      </c>
      <c r="EG24" s="27">
        <v>1</v>
      </c>
      <c r="EH24" s="27">
        <v>1</v>
      </c>
      <c r="EI24" s="27">
        <f t="shared" si="64"/>
        <v>10</v>
      </c>
      <c r="EJ24" s="27">
        <f t="shared" si="65"/>
        <v>10</v>
      </c>
      <c r="EK24" s="28" t="s">
        <v>158</v>
      </c>
      <c r="EL24" s="29">
        <v>2022</v>
      </c>
      <c r="EM24" s="2" t="str">
        <f t="shared" si="0"/>
        <v>Y</v>
      </c>
      <c r="EN24" s="2" t="str">
        <f t="shared" si="1"/>
        <v>Y</v>
      </c>
      <c r="EO24" s="2" t="str">
        <f t="shared" si="2"/>
        <v>Y</v>
      </c>
      <c r="EP24" s="2" t="str">
        <f t="shared" si="3"/>
        <v>Y</v>
      </c>
      <c r="EQ24" s="2" t="str">
        <f t="shared" si="4"/>
        <v>Y</v>
      </c>
      <c r="ER24" s="2" t="str">
        <f t="shared" si="5"/>
        <v>Y</v>
      </c>
      <c r="ES24" s="2" t="str">
        <f t="shared" si="6"/>
        <v>Y</v>
      </c>
      <c r="ET24" s="2" t="str">
        <f t="shared" si="7"/>
        <v>Y</v>
      </c>
      <c r="EU24" s="2" t="str">
        <f t="shared" si="8"/>
        <v>Y</v>
      </c>
      <c r="EV24" s="2" t="str">
        <f t="shared" si="9"/>
        <v>Y</v>
      </c>
      <c r="EW24" s="2" t="str">
        <f t="shared" si="10"/>
        <v>Y</v>
      </c>
      <c r="EX24" s="2" t="str">
        <f t="shared" si="11"/>
        <v>Y</v>
      </c>
      <c r="EY24" s="2" t="str">
        <f t="shared" si="12"/>
        <v>Y</v>
      </c>
      <c r="EZ24" s="2" t="str">
        <f t="shared" si="13"/>
        <v>Y</v>
      </c>
      <c r="FA24" s="2" t="str">
        <f t="shared" si="14"/>
        <v>Y</v>
      </c>
      <c r="FB24" s="2" t="str">
        <f t="shared" si="15"/>
        <v>Y</v>
      </c>
      <c r="FC24" s="2" t="str">
        <f t="shared" si="16"/>
        <v>Y</v>
      </c>
      <c r="FD24" s="2" t="str">
        <f t="shared" si="17"/>
        <v>Y</v>
      </c>
      <c r="FE24" s="2" t="str">
        <f t="shared" si="18"/>
        <v>Y</v>
      </c>
      <c r="FF24" s="2" t="str">
        <f t="shared" si="19"/>
        <v>Y</v>
      </c>
      <c r="FG24" s="2" t="str">
        <f t="shared" si="20"/>
        <v>Y</v>
      </c>
      <c r="FH24" s="2" t="str">
        <f t="shared" si="21"/>
        <v>Y</v>
      </c>
      <c r="FI24" s="2" t="str">
        <f t="shared" si="22"/>
        <v>Y</v>
      </c>
      <c r="FJ24" s="2" t="str">
        <f t="shared" si="23"/>
        <v>Y</v>
      </c>
      <c r="FK24" s="2" t="str">
        <f t="shared" si="24"/>
        <v>Y</v>
      </c>
      <c r="FL24" s="2" t="str">
        <f t="shared" si="25"/>
        <v>Y</v>
      </c>
      <c r="FM24" s="2" t="str">
        <f t="shared" si="26"/>
        <v>Y</v>
      </c>
      <c r="FN24" s="2" t="str">
        <f t="shared" si="27"/>
        <v>Y</v>
      </c>
      <c r="FO24" s="2" t="str">
        <f t="shared" si="28"/>
        <v>Y</v>
      </c>
      <c r="FP24" s="2" t="str">
        <f t="shared" si="29"/>
        <v>Y</v>
      </c>
      <c r="FQ24" s="2" t="str">
        <f t="shared" si="30"/>
        <v>Y</v>
      </c>
      <c r="FR24" s="2" t="str">
        <f t="shared" si="31"/>
        <v>Y</v>
      </c>
      <c r="FS24" s="2" t="str">
        <f t="shared" si="32"/>
        <v>Y</v>
      </c>
      <c r="FT24" s="2" t="str">
        <f t="shared" si="33"/>
        <v>Y</v>
      </c>
      <c r="FU24" s="2" t="str">
        <f t="shared" si="34"/>
        <v>Y</v>
      </c>
      <c r="FV24" s="2" t="str">
        <f t="shared" si="35"/>
        <v>Y</v>
      </c>
      <c r="FW24" s="2" t="str">
        <f t="shared" si="36"/>
        <v>Y</v>
      </c>
      <c r="FX24" s="2" t="str">
        <f t="shared" si="37"/>
        <v>Y</v>
      </c>
      <c r="FY24" s="2" t="str">
        <f t="shared" si="38"/>
        <v>Y</v>
      </c>
      <c r="FZ24" s="2" t="str">
        <f t="shared" si="39"/>
        <v>Y</v>
      </c>
      <c r="GA24" s="2" t="str">
        <f t="shared" si="40"/>
        <v>Y</v>
      </c>
      <c r="GB24" s="2" t="str">
        <f t="shared" si="41"/>
        <v>Y</v>
      </c>
      <c r="GC24" s="2" t="str">
        <f t="shared" si="42"/>
        <v>Y</v>
      </c>
      <c r="GD24" s="2" t="str">
        <f t="shared" si="43"/>
        <v>Y</v>
      </c>
      <c r="GE24" s="2" t="str">
        <f t="shared" si="44"/>
        <v>Y</v>
      </c>
      <c r="GF24" s="2" t="str">
        <f t="shared" si="45"/>
        <v>Y</v>
      </c>
      <c r="GG24" s="2" t="str">
        <f t="shared" si="46"/>
        <v>Y</v>
      </c>
      <c r="GH24" s="2" t="str">
        <f t="shared" si="47"/>
        <v>Y</v>
      </c>
      <c r="GI24" s="2" t="str">
        <f t="shared" si="48"/>
        <v>Y</v>
      </c>
      <c r="GJ24" s="2" t="str">
        <f t="shared" si="49"/>
        <v>Y</v>
      </c>
      <c r="GK24" s="2" t="str">
        <f t="shared" si="50"/>
        <v>Y</v>
      </c>
      <c r="GL24" s="2" t="str">
        <f t="shared" si="51"/>
        <v>Y</v>
      </c>
      <c r="GM24" s="2" t="str">
        <f t="shared" si="82"/>
        <v>Y</v>
      </c>
      <c r="GN24" s="2" t="str">
        <f t="shared" si="83"/>
        <v>Y</v>
      </c>
      <c r="GO24" s="2" t="str">
        <f t="shared" si="84"/>
        <v>Y</v>
      </c>
      <c r="GP24" s="2" t="str">
        <f t="shared" si="85"/>
        <v>Y</v>
      </c>
      <c r="GQ24" s="2" t="str">
        <f t="shared" si="86"/>
        <v>Y</v>
      </c>
      <c r="GR24" s="2" t="str">
        <f t="shared" si="87"/>
        <v>Y</v>
      </c>
      <c r="GS24" s="2" t="str">
        <f t="shared" si="88"/>
        <v>Y</v>
      </c>
      <c r="GT24" s="2" t="str">
        <f t="shared" si="89"/>
        <v>Y</v>
      </c>
      <c r="GU24" s="2" t="str">
        <f t="shared" si="90"/>
        <v>Y</v>
      </c>
      <c r="GV24" s="2" t="str">
        <f t="shared" si="91"/>
        <v>Y</v>
      </c>
      <c r="GW24" s="2" t="str">
        <f t="shared" si="92"/>
        <v>Y</v>
      </c>
      <c r="GX24" s="49" t="str">
        <f t="shared" si="93"/>
        <v>Y</v>
      </c>
      <c r="GY24" s="50"/>
      <c r="GZ24" s="53"/>
    </row>
    <row r="25" spans="1:208" ht="64" x14ac:dyDescent="0.2">
      <c r="A25" s="26" t="s">
        <v>159</v>
      </c>
      <c r="B25" s="27">
        <v>2016</v>
      </c>
      <c r="C25" s="27">
        <v>658</v>
      </c>
      <c r="D25" s="27">
        <v>658</v>
      </c>
      <c r="E25" s="2">
        <v>296</v>
      </c>
      <c r="F25" s="27">
        <v>296</v>
      </c>
      <c r="G25" s="27">
        <v>21.3</v>
      </c>
      <c r="H25" s="27">
        <v>21.3</v>
      </c>
      <c r="I25" s="27">
        <v>20.7</v>
      </c>
      <c r="J25" s="27">
        <v>20.7</v>
      </c>
      <c r="K25" s="27">
        <v>21.3</v>
      </c>
      <c r="L25" s="2">
        <v>21.3</v>
      </c>
      <c r="M25" s="2">
        <v>59</v>
      </c>
      <c r="N25" s="2">
        <v>59</v>
      </c>
      <c r="O25" s="2">
        <v>710</v>
      </c>
      <c r="P25" s="2">
        <v>710</v>
      </c>
      <c r="Q25" s="2">
        <v>139</v>
      </c>
      <c r="R25" s="2">
        <v>139</v>
      </c>
      <c r="S25" s="2">
        <v>46</v>
      </c>
      <c r="T25" s="2">
        <v>46</v>
      </c>
      <c r="U25" s="27">
        <v>0</v>
      </c>
      <c r="V25" s="27">
        <v>0</v>
      </c>
      <c r="W25" s="27">
        <v>0</v>
      </c>
      <c r="X25" s="27">
        <v>0</v>
      </c>
      <c r="Y25" s="27">
        <v>954</v>
      </c>
      <c r="Z25" s="27">
        <v>954</v>
      </c>
      <c r="AA25" s="27">
        <v>0</v>
      </c>
      <c r="AB25" s="27">
        <v>0</v>
      </c>
      <c r="AC25" s="44" t="s">
        <v>91</v>
      </c>
      <c r="AD25" s="2" t="s">
        <v>126</v>
      </c>
      <c r="AE25" s="27" t="s">
        <v>126</v>
      </c>
      <c r="AF25" s="27" t="s">
        <v>103</v>
      </c>
      <c r="AG25" s="27" t="s">
        <v>83</v>
      </c>
      <c r="AH25" s="27" t="s">
        <v>83</v>
      </c>
      <c r="AI25" s="27" t="s">
        <v>82</v>
      </c>
      <c r="AJ25" s="27" t="s">
        <v>82</v>
      </c>
      <c r="AK25" s="27" t="s">
        <v>83</v>
      </c>
      <c r="AL25" s="27" t="s">
        <v>83</v>
      </c>
      <c r="AM25" s="27">
        <v>954</v>
      </c>
      <c r="AN25" s="27">
        <v>954</v>
      </c>
      <c r="AO25" s="27">
        <v>0</v>
      </c>
      <c r="AP25" s="27">
        <v>0</v>
      </c>
      <c r="AQ25" s="27">
        <v>0</v>
      </c>
      <c r="AR25" s="27">
        <v>0</v>
      </c>
      <c r="AS25" s="27">
        <v>954</v>
      </c>
      <c r="AT25" s="27">
        <v>954</v>
      </c>
      <c r="AU25" s="27">
        <v>67</v>
      </c>
      <c r="AV25" s="27">
        <v>67</v>
      </c>
      <c r="AW25" s="27" t="s">
        <v>84</v>
      </c>
      <c r="AX25" s="27" t="s">
        <v>99</v>
      </c>
      <c r="AY25" s="27" t="s">
        <v>85</v>
      </c>
      <c r="AZ25" s="27" t="s">
        <v>85</v>
      </c>
      <c r="BA25" s="27">
        <f t="shared" si="81"/>
        <v>67</v>
      </c>
      <c r="BB25" s="27">
        <f t="shared" si="81"/>
        <v>67</v>
      </c>
      <c r="BC25" s="27" t="s">
        <v>85</v>
      </c>
      <c r="BD25" s="27" t="s">
        <v>85</v>
      </c>
      <c r="BE25" s="27" t="s">
        <v>85</v>
      </c>
      <c r="BF25" s="27" t="s">
        <v>85</v>
      </c>
      <c r="BG25" s="27">
        <v>67</v>
      </c>
      <c r="BH25" s="27">
        <v>67</v>
      </c>
      <c r="BI25" s="27" t="s">
        <v>85</v>
      </c>
      <c r="BJ25" s="27" t="s">
        <v>85</v>
      </c>
      <c r="BK25" s="27" t="s">
        <v>85</v>
      </c>
      <c r="BL25" s="27" t="s">
        <v>85</v>
      </c>
      <c r="BM25" s="27" t="s">
        <v>85</v>
      </c>
      <c r="BN25" s="27" t="s">
        <v>85</v>
      </c>
      <c r="BO25" s="27" t="s">
        <v>85</v>
      </c>
      <c r="BP25" s="27" t="s">
        <v>85</v>
      </c>
      <c r="BQ25" s="27" t="s">
        <v>85</v>
      </c>
      <c r="BR25" s="27" t="s">
        <v>85</v>
      </c>
      <c r="BS25" s="27" t="s">
        <v>85</v>
      </c>
      <c r="BT25" s="27" t="s">
        <v>85</v>
      </c>
      <c r="BU25" s="27" t="s">
        <v>85</v>
      </c>
      <c r="BV25" s="27" t="s">
        <v>85</v>
      </c>
      <c r="BW25" s="27" t="s">
        <v>85</v>
      </c>
      <c r="BX25" s="27" t="s">
        <v>85</v>
      </c>
      <c r="BY25" s="27" t="s">
        <v>85</v>
      </c>
      <c r="BZ25" s="27" t="s">
        <v>85</v>
      </c>
      <c r="CA25" s="27" t="s">
        <v>85</v>
      </c>
      <c r="CB25" s="27" t="s">
        <v>85</v>
      </c>
      <c r="CC25" s="27" t="s">
        <v>85</v>
      </c>
      <c r="CD25" s="27" t="s">
        <v>85</v>
      </c>
      <c r="CE25" s="27" t="s">
        <v>85</v>
      </c>
      <c r="CF25" s="27" t="s">
        <v>85</v>
      </c>
      <c r="CG25" s="27" t="s">
        <v>57</v>
      </c>
      <c r="CH25" s="27" t="s">
        <v>57</v>
      </c>
      <c r="CI25" s="27" t="s">
        <v>57</v>
      </c>
      <c r="CJ25" s="27" t="s">
        <v>57</v>
      </c>
      <c r="CK25" s="27" t="s">
        <v>57</v>
      </c>
      <c r="CL25" s="27" t="s">
        <v>57</v>
      </c>
      <c r="CM25" s="27" t="s">
        <v>57</v>
      </c>
      <c r="CN25" s="27" t="s">
        <v>57</v>
      </c>
      <c r="CO25" s="27" t="s">
        <v>57</v>
      </c>
      <c r="CP25" s="27" t="s">
        <v>57</v>
      </c>
      <c r="CQ25" s="27" t="s">
        <v>57</v>
      </c>
      <c r="CR25" s="27" t="s">
        <v>57</v>
      </c>
      <c r="CS25" s="27" t="s">
        <v>57</v>
      </c>
      <c r="CT25" s="27" t="s">
        <v>57</v>
      </c>
      <c r="CU25" s="27" t="s">
        <v>86</v>
      </c>
      <c r="CV25" s="27" t="s">
        <v>86</v>
      </c>
      <c r="CW25" s="27" t="s">
        <v>83</v>
      </c>
      <c r="CX25" s="27" t="s">
        <v>83</v>
      </c>
      <c r="CY25" s="27" t="s">
        <v>57</v>
      </c>
      <c r="CZ25" s="27" t="s">
        <v>57</v>
      </c>
      <c r="DA25" s="27" t="s">
        <v>57</v>
      </c>
      <c r="DB25" s="27" t="s">
        <v>57</v>
      </c>
      <c r="DC25" s="27" t="s">
        <v>57</v>
      </c>
      <c r="DD25" s="2" t="s">
        <v>57</v>
      </c>
      <c r="DE25" s="27" t="s">
        <v>57</v>
      </c>
      <c r="DF25" s="27" t="s">
        <v>57</v>
      </c>
      <c r="DG25" s="27" t="s">
        <v>57</v>
      </c>
      <c r="DH25" s="27" t="s">
        <v>57</v>
      </c>
      <c r="DI25" s="27" t="s">
        <v>87</v>
      </c>
      <c r="DJ25" s="27" t="s">
        <v>128</v>
      </c>
      <c r="DK25" s="27" t="s">
        <v>160</v>
      </c>
      <c r="DL25" s="27" t="s">
        <v>161</v>
      </c>
      <c r="DM25" s="27" t="s">
        <v>104</v>
      </c>
      <c r="DN25" s="27" t="s">
        <v>104</v>
      </c>
      <c r="DO25" s="27">
        <v>1</v>
      </c>
      <c r="DP25" s="27">
        <v>1</v>
      </c>
      <c r="DQ25" s="27">
        <v>1</v>
      </c>
      <c r="DR25" s="27">
        <v>1</v>
      </c>
      <c r="DS25" s="27">
        <v>1</v>
      </c>
      <c r="DT25" s="27">
        <v>1</v>
      </c>
      <c r="DU25" s="27">
        <v>1</v>
      </c>
      <c r="DV25" s="27">
        <v>1</v>
      </c>
      <c r="DW25" s="27">
        <v>1</v>
      </c>
      <c r="DX25" s="27">
        <v>1</v>
      </c>
      <c r="DY25" s="27">
        <v>0</v>
      </c>
      <c r="DZ25" s="27">
        <v>0</v>
      </c>
      <c r="EA25" s="27">
        <v>1</v>
      </c>
      <c r="EB25" s="27">
        <v>1</v>
      </c>
      <c r="EC25" s="27">
        <v>1</v>
      </c>
      <c r="ED25" s="27">
        <v>1</v>
      </c>
      <c r="EE25" s="27">
        <v>1</v>
      </c>
      <c r="EF25" s="27">
        <v>1</v>
      </c>
      <c r="EG25" s="27">
        <v>1</v>
      </c>
      <c r="EH25" s="27">
        <v>1</v>
      </c>
      <c r="EI25" s="27">
        <f t="shared" si="64"/>
        <v>9</v>
      </c>
      <c r="EJ25" s="27">
        <f t="shared" si="65"/>
        <v>9</v>
      </c>
      <c r="EK25" s="28" t="s">
        <v>159</v>
      </c>
      <c r="EL25" s="29">
        <v>2016</v>
      </c>
      <c r="EM25" s="2" t="str">
        <f t="shared" si="0"/>
        <v>Y</v>
      </c>
      <c r="EN25" s="2" t="str">
        <f t="shared" si="1"/>
        <v>Y</v>
      </c>
      <c r="EO25" s="2" t="str">
        <f t="shared" si="2"/>
        <v>Y</v>
      </c>
      <c r="EP25" s="2" t="str">
        <f t="shared" si="3"/>
        <v>Y</v>
      </c>
      <c r="EQ25" s="2" t="str">
        <f t="shared" si="4"/>
        <v>Y</v>
      </c>
      <c r="ER25" s="2" t="str">
        <f t="shared" si="5"/>
        <v>Y</v>
      </c>
      <c r="ES25" s="2" t="str">
        <f t="shared" si="6"/>
        <v>Y</v>
      </c>
      <c r="ET25" s="2" t="str">
        <f t="shared" si="7"/>
        <v>Y</v>
      </c>
      <c r="EU25" s="2" t="str">
        <f t="shared" si="8"/>
        <v>Y</v>
      </c>
      <c r="EV25" s="2" t="str">
        <f t="shared" si="9"/>
        <v>Y</v>
      </c>
      <c r="EW25" s="2" t="str">
        <f t="shared" si="10"/>
        <v>Y</v>
      </c>
      <c r="EX25" s="2" t="str">
        <f t="shared" si="11"/>
        <v>Y</v>
      </c>
      <c r="EY25" s="2" t="str">
        <f t="shared" si="12"/>
        <v>Y</v>
      </c>
      <c r="EZ25" s="2" t="str">
        <f t="shared" si="13"/>
        <v>Y</v>
      </c>
      <c r="FA25" s="2" t="str">
        <f t="shared" si="14"/>
        <v>Y</v>
      </c>
      <c r="FB25" s="2" t="str">
        <f t="shared" si="15"/>
        <v>Y</v>
      </c>
      <c r="FC25" s="2" t="str">
        <f t="shared" si="16"/>
        <v>Y</v>
      </c>
      <c r="FD25" s="2" t="str">
        <f t="shared" si="17"/>
        <v>Y</v>
      </c>
      <c r="FE25" s="2" t="str">
        <f t="shared" si="18"/>
        <v>Y</v>
      </c>
      <c r="FF25" s="2" t="str">
        <f t="shared" si="19"/>
        <v>Y</v>
      </c>
      <c r="FG25" s="2" t="str">
        <f t="shared" si="20"/>
        <v>Y</v>
      </c>
      <c r="FH25" s="2" t="str">
        <f t="shared" si="21"/>
        <v>Y</v>
      </c>
      <c r="FI25" s="2" t="str">
        <f t="shared" si="22"/>
        <v>Y</v>
      </c>
      <c r="FJ25" s="2" t="str">
        <f t="shared" si="23"/>
        <v>Y</v>
      </c>
      <c r="FK25" s="2" t="str">
        <f t="shared" si="24"/>
        <v>Y</v>
      </c>
      <c r="FL25" s="2" t="str">
        <f t="shared" si="25"/>
        <v>Y</v>
      </c>
      <c r="FM25" s="2" t="str">
        <f t="shared" si="26"/>
        <v>Y</v>
      </c>
      <c r="FN25" s="2" t="str">
        <f t="shared" si="27"/>
        <v>Y</v>
      </c>
      <c r="FO25" s="2" t="str">
        <f t="shared" si="28"/>
        <v>Y</v>
      </c>
      <c r="FP25" s="2" t="str">
        <f t="shared" si="29"/>
        <v>Y</v>
      </c>
      <c r="FQ25" s="2" t="str">
        <f t="shared" si="30"/>
        <v>Y</v>
      </c>
      <c r="FR25" s="2" t="str">
        <f t="shared" si="31"/>
        <v>Y</v>
      </c>
      <c r="FS25" s="2" t="str">
        <f t="shared" si="32"/>
        <v>Y</v>
      </c>
      <c r="FT25" s="2" t="str">
        <f t="shared" si="33"/>
        <v>Y</v>
      </c>
      <c r="FU25" s="2" t="str">
        <f t="shared" si="34"/>
        <v>Y</v>
      </c>
      <c r="FV25" s="2" t="str">
        <f t="shared" si="35"/>
        <v>Y</v>
      </c>
      <c r="FW25" s="2" t="str">
        <f t="shared" si="36"/>
        <v>Y</v>
      </c>
      <c r="FX25" s="2" t="str">
        <f t="shared" si="37"/>
        <v>Y</v>
      </c>
      <c r="FY25" s="2" t="str">
        <f t="shared" si="38"/>
        <v>Y</v>
      </c>
      <c r="FZ25" s="2" t="str">
        <f t="shared" si="39"/>
        <v>Y</v>
      </c>
      <c r="GA25" s="2" t="str">
        <f t="shared" si="40"/>
        <v>Y</v>
      </c>
      <c r="GB25" s="2" t="str">
        <f t="shared" si="41"/>
        <v>Y</v>
      </c>
      <c r="GC25" s="2" t="str">
        <f t="shared" si="42"/>
        <v>Y</v>
      </c>
      <c r="GD25" s="2" t="str">
        <f t="shared" si="43"/>
        <v>Y</v>
      </c>
      <c r="GE25" s="2" t="str">
        <f t="shared" si="44"/>
        <v>Y</v>
      </c>
      <c r="GF25" s="2" t="str">
        <f t="shared" si="45"/>
        <v>Y</v>
      </c>
      <c r="GG25" s="2" t="str">
        <f t="shared" si="46"/>
        <v>Y</v>
      </c>
      <c r="GH25" s="2" t="str">
        <f t="shared" si="47"/>
        <v>Y</v>
      </c>
      <c r="GI25" s="2" t="str">
        <f t="shared" si="48"/>
        <v>Y</v>
      </c>
      <c r="GJ25" s="2" t="str">
        <f t="shared" si="49"/>
        <v>Y</v>
      </c>
      <c r="GK25" s="2" t="str">
        <f t="shared" si="50"/>
        <v>Y</v>
      </c>
      <c r="GL25" s="2" t="str">
        <f t="shared" si="51"/>
        <v>Y</v>
      </c>
      <c r="GM25" s="2" t="str">
        <f t="shared" si="82"/>
        <v>Y</v>
      </c>
      <c r="GN25" s="2" t="str">
        <f t="shared" si="83"/>
        <v>Y</v>
      </c>
      <c r="GO25" s="2" t="str">
        <f t="shared" si="84"/>
        <v>Y</v>
      </c>
      <c r="GP25" s="2" t="str">
        <f t="shared" si="85"/>
        <v>Y</v>
      </c>
      <c r="GQ25" s="2" t="str">
        <f t="shared" si="86"/>
        <v>Y</v>
      </c>
      <c r="GR25" s="2" t="str">
        <f t="shared" si="87"/>
        <v>Y</v>
      </c>
      <c r="GS25" s="2" t="str">
        <f t="shared" si="88"/>
        <v>Y</v>
      </c>
      <c r="GT25" s="2" t="str">
        <f t="shared" si="89"/>
        <v>Y</v>
      </c>
      <c r="GU25" s="2" t="str">
        <f t="shared" si="90"/>
        <v>Y</v>
      </c>
      <c r="GV25" s="2" t="str">
        <f t="shared" si="91"/>
        <v>Y</v>
      </c>
      <c r="GW25" s="2" t="str">
        <f t="shared" si="92"/>
        <v>Y</v>
      </c>
      <c r="GX25" s="49" t="str">
        <f t="shared" si="93"/>
        <v>Y</v>
      </c>
      <c r="GY25" s="50"/>
      <c r="GZ25" s="53"/>
    </row>
    <row r="26" spans="1:208" ht="48" x14ac:dyDescent="0.2">
      <c r="A26" s="26" t="s">
        <v>162</v>
      </c>
      <c r="B26" s="27">
        <v>2006</v>
      </c>
      <c r="C26" s="27">
        <v>132</v>
      </c>
      <c r="D26" s="27">
        <v>132</v>
      </c>
      <c r="E26" s="2">
        <v>50</v>
      </c>
      <c r="F26" s="27">
        <v>50</v>
      </c>
      <c r="G26" s="27" t="s">
        <v>57</v>
      </c>
      <c r="H26" s="27" t="s">
        <v>57</v>
      </c>
      <c r="I26" s="27" t="s">
        <v>57</v>
      </c>
      <c r="J26" s="27" t="s">
        <v>57</v>
      </c>
      <c r="K26" s="27">
        <v>22.35</v>
      </c>
      <c r="L26" s="2">
        <v>22.35</v>
      </c>
      <c r="M26" s="2">
        <v>0</v>
      </c>
      <c r="N26" s="2">
        <v>0</v>
      </c>
      <c r="O26" s="2">
        <v>132</v>
      </c>
      <c r="P26" s="2">
        <v>132</v>
      </c>
      <c r="Q26" s="2">
        <v>10</v>
      </c>
      <c r="R26" s="2">
        <v>10</v>
      </c>
      <c r="S26" s="2">
        <v>40</v>
      </c>
      <c r="T26" s="2">
        <v>40</v>
      </c>
      <c r="U26" s="27">
        <v>29</v>
      </c>
      <c r="V26" s="27">
        <v>29</v>
      </c>
      <c r="W26" s="27">
        <v>116</v>
      </c>
      <c r="X26" s="27">
        <v>116</v>
      </c>
      <c r="Y26" s="27">
        <v>9</v>
      </c>
      <c r="Z26" s="27">
        <v>9</v>
      </c>
      <c r="AA26" s="27">
        <v>14</v>
      </c>
      <c r="AB26" s="27">
        <v>14</v>
      </c>
      <c r="AC26" s="44" t="s">
        <v>133</v>
      </c>
      <c r="AD26" s="2" t="s">
        <v>163</v>
      </c>
      <c r="AE26" s="27" t="s">
        <v>163</v>
      </c>
      <c r="AF26" s="27" t="s">
        <v>124</v>
      </c>
      <c r="AG26" s="27" t="s">
        <v>82</v>
      </c>
      <c r="AH26" s="27" t="s">
        <v>82</v>
      </c>
      <c r="AI26" s="27" t="s">
        <v>83</v>
      </c>
      <c r="AJ26" s="27" t="s">
        <v>83</v>
      </c>
      <c r="AK26" s="27" t="s">
        <v>83</v>
      </c>
      <c r="AL26" s="27" t="s">
        <v>83</v>
      </c>
      <c r="AM26" s="27">
        <v>184</v>
      </c>
      <c r="AN26" s="27">
        <v>184</v>
      </c>
      <c r="AO26" s="27">
        <v>0</v>
      </c>
      <c r="AP26" s="27">
        <v>0</v>
      </c>
      <c r="AQ26" s="27">
        <v>0</v>
      </c>
      <c r="AR26" s="27">
        <v>0</v>
      </c>
      <c r="AS26" s="27">
        <v>184</v>
      </c>
      <c r="AT26" s="27">
        <v>184</v>
      </c>
      <c r="AU26" s="27">
        <v>9</v>
      </c>
      <c r="AV26" s="27">
        <v>9</v>
      </c>
      <c r="AW26" s="27" t="s">
        <v>84</v>
      </c>
      <c r="AX26" s="27" t="s">
        <v>99</v>
      </c>
      <c r="AY26" s="27" t="s">
        <v>85</v>
      </c>
      <c r="AZ26" s="27" t="s">
        <v>85</v>
      </c>
      <c r="BA26" s="27">
        <v>9</v>
      </c>
      <c r="BB26" s="27">
        <v>9</v>
      </c>
      <c r="BC26" s="27" t="s">
        <v>85</v>
      </c>
      <c r="BD26" s="27" t="s">
        <v>85</v>
      </c>
      <c r="BE26" s="27" t="s">
        <v>85</v>
      </c>
      <c r="BF26" s="27" t="s">
        <v>85</v>
      </c>
      <c r="BG26" s="27">
        <v>9</v>
      </c>
      <c r="BH26" s="27">
        <v>9</v>
      </c>
      <c r="BI26" s="27" t="s">
        <v>85</v>
      </c>
      <c r="BJ26" s="27" t="s">
        <v>85</v>
      </c>
      <c r="BK26" s="27" t="s">
        <v>85</v>
      </c>
      <c r="BL26" s="27" t="s">
        <v>85</v>
      </c>
      <c r="BM26" s="27" t="s">
        <v>85</v>
      </c>
      <c r="BN26" s="27" t="s">
        <v>85</v>
      </c>
      <c r="BO26" s="27" t="s">
        <v>85</v>
      </c>
      <c r="BP26" s="27" t="s">
        <v>85</v>
      </c>
      <c r="BQ26" s="27" t="s">
        <v>85</v>
      </c>
      <c r="BR26" s="27" t="s">
        <v>85</v>
      </c>
      <c r="BS26" s="27" t="s">
        <v>85</v>
      </c>
      <c r="BT26" s="27" t="s">
        <v>85</v>
      </c>
      <c r="BU26" s="27" t="s">
        <v>85</v>
      </c>
      <c r="BV26" s="27" t="s">
        <v>85</v>
      </c>
      <c r="BW26" s="27" t="s">
        <v>85</v>
      </c>
      <c r="BX26" s="27" t="s">
        <v>85</v>
      </c>
      <c r="BY26" s="27" t="s">
        <v>85</v>
      </c>
      <c r="BZ26" s="27" t="s">
        <v>85</v>
      </c>
      <c r="CA26" s="27" t="s">
        <v>85</v>
      </c>
      <c r="CB26" s="27" t="s">
        <v>85</v>
      </c>
      <c r="CC26" s="27" t="s">
        <v>85</v>
      </c>
      <c r="CD26" s="27" t="s">
        <v>85</v>
      </c>
      <c r="CE26" s="27" t="s">
        <v>85</v>
      </c>
      <c r="CF26" s="27" t="s">
        <v>85</v>
      </c>
      <c r="CG26" s="27" t="s">
        <v>57</v>
      </c>
      <c r="CH26" s="27" t="s">
        <v>57</v>
      </c>
      <c r="CI26" s="27" t="s">
        <v>57</v>
      </c>
      <c r="CJ26" s="27" t="s">
        <v>57</v>
      </c>
      <c r="CK26" s="27" t="s">
        <v>57</v>
      </c>
      <c r="CL26" s="27" t="s">
        <v>57</v>
      </c>
      <c r="CM26" s="27" t="s">
        <v>57</v>
      </c>
      <c r="CN26" s="27" t="s">
        <v>57</v>
      </c>
      <c r="CO26" s="27" t="s">
        <v>57</v>
      </c>
      <c r="CP26" s="27" t="s">
        <v>57</v>
      </c>
      <c r="CQ26" s="27" t="s">
        <v>57</v>
      </c>
      <c r="CR26" s="27" t="s">
        <v>57</v>
      </c>
      <c r="CS26" s="27" t="s">
        <v>57</v>
      </c>
      <c r="CT26" s="27" t="s">
        <v>57</v>
      </c>
      <c r="CU26" s="27" t="s">
        <v>86</v>
      </c>
      <c r="CV26" s="27" t="s">
        <v>86</v>
      </c>
      <c r="CW26" s="27" t="s">
        <v>83</v>
      </c>
      <c r="CX26" s="27" t="s">
        <v>83</v>
      </c>
      <c r="CY26" s="27" t="s">
        <v>57</v>
      </c>
      <c r="CZ26" s="27" t="s">
        <v>57</v>
      </c>
      <c r="DA26" s="27" t="s">
        <v>57</v>
      </c>
      <c r="DB26" s="27" t="s">
        <v>57</v>
      </c>
      <c r="DC26" s="27" t="s">
        <v>57</v>
      </c>
      <c r="DD26" s="2" t="s">
        <v>57</v>
      </c>
      <c r="DE26" s="27" t="s">
        <v>57</v>
      </c>
      <c r="DF26" s="27" t="s">
        <v>57</v>
      </c>
      <c r="DG26" s="27" t="s">
        <v>57</v>
      </c>
      <c r="DH26" s="27" t="s">
        <v>57</v>
      </c>
      <c r="DI26" s="27" t="s">
        <v>87</v>
      </c>
      <c r="DJ26" s="27" t="s">
        <v>120</v>
      </c>
      <c r="DK26" s="27" t="s">
        <v>136</v>
      </c>
      <c r="DL26" s="27" t="s">
        <v>136</v>
      </c>
      <c r="DM26" s="27" t="s">
        <v>89</v>
      </c>
      <c r="DN26" s="27" t="s">
        <v>89</v>
      </c>
      <c r="DO26" s="27">
        <v>1</v>
      </c>
      <c r="DP26" s="27">
        <v>1</v>
      </c>
      <c r="DQ26" s="27">
        <v>1</v>
      </c>
      <c r="DR26" s="27">
        <v>1</v>
      </c>
      <c r="DS26" s="27">
        <v>1</v>
      </c>
      <c r="DT26" s="27">
        <v>1</v>
      </c>
      <c r="DU26" s="27">
        <v>0</v>
      </c>
      <c r="DV26" s="27">
        <v>0</v>
      </c>
      <c r="DW26" s="27">
        <v>1</v>
      </c>
      <c r="DX26" s="27">
        <v>1</v>
      </c>
      <c r="DY26" s="27">
        <v>0</v>
      </c>
      <c r="DZ26" s="27">
        <v>0</v>
      </c>
      <c r="EA26" s="27">
        <v>1</v>
      </c>
      <c r="EB26" s="27">
        <v>1</v>
      </c>
      <c r="EC26" s="27">
        <v>1</v>
      </c>
      <c r="ED26" s="27">
        <v>1</v>
      </c>
      <c r="EE26" s="27">
        <v>1</v>
      </c>
      <c r="EF26" s="27">
        <v>1</v>
      </c>
      <c r="EG26" s="27">
        <v>1</v>
      </c>
      <c r="EH26" s="27">
        <v>1</v>
      </c>
      <c r="EI26" s="27">
        <f t="shared" si="64"/>
        <v>8</v>
      </c>
      <c r="EJ26" s="27">
        <f t="shared" si="65"/>
        <v>8</v>
      </c>
      <c r="EK26" s="28" t="s">
        <v>162</v>
      </c>
      <c r="EL26" s="29">
        <v>2006</v>
      </c>
      <c r="EM26" s="2" t="str">
        <f t="shared" si="0"/>
        <v>Y</v>
      </c>
      <c r="EN26" s="2" t="str">
        <f t="shared" si="1"/>
        <v>Y</v>
      </c>
      <c r="EO26" s="2" t="str">
        <f t="shared" si="2"/>
        <v>Y</v>
      </c>
      <c r="EP26" s="2" t="str">
        <f t="shared" si="3"/>
        <v>Y</v>
      </c>
      <c r="EQ26" s="2" t="str">
        <f t="shared" si="4"/>
        <v>Y</v>
      </c>
      <c r="ER26" s="2" t="str">
        <f t="shared" si="5"/>
        <v>Y</v>
      </c>
      <c r="ES26" s="2" t="str">
        <f t="shared" si="6"/>
        <v>Y</v>
      </c>
      <c r="ET26" s="2" t="str">
        <f t="shared" si="7"/>
        <v>Y</v>
      </c>
      <c r="EU26" s="2" t="str">
        <f t="shared" si="8"/>
        <v>Y</v>
      </c>
      <c r="EV26" s="2" t="str">
        <f t="shared" si="9"/>
        <v>Y</v>
      </c>
      <c r="EW26" s="2" t="str">
        <f t="shared" si="10"/>
        <v>Y</v>
      </c>
      <c r="EX26" s="2" t="str">
        <f t="shared" si="11"/>
        <v>Y</v>
      </c>
      <c r="EY26" s="2" t="str">
        <f t="shared" si="12"/>
        <v>Y</v>
      </c>
      <c r="EZ26" s="2" t="str">
        <f t="shared" si="13"/>
        <v>Y</v>
      </c>
      <c r="FA26" s="2" t="str">
        <f t="shared" si="14"/>
        <v>Y</v>
      </c>
      <c r="FB26" s="2" t="str">
        <f t="shared" si="15"/>
        <v>Y</v>
      </c>
      <c r="FC26" s="2" t="str">
        <f t="shared" si="16"/>
        <v>Y</v>
      </c>
      <c r="FD26" s="2" t="str">
        <f t="shared" si="17"/>
        <v>Y</v>
      </c>
      <c r="FE26" s="2" t="str">
        <f t="shared" si="18"/>
        <v>Y</v>
      </c>
      <c r="FF26" s="2" t="str">
        <f t="shared" si="19"/>
        <v>Y</v>
      </c>
      <c r="FG26" s="2" t="str">
        <f t="shared" si="20"/>
        <v>Y</v>
      </c>
      <c r="FH26" s="2" t="str">
        <f t="shared" si="21"/>
        <v>Y</v>
      </c>
      <c r="FI26" s="2" t="str">
        <f t="shared" si="22"/>
        <v>Y</v>
      </c>
      <c r="FJ26" s="2" t="str">
        <f t="shared" si="23"/>
        <v>Y</v>
      </c>
      <c r="FK26" s="2" t="str">
        <f t="shared" si="24"/>
        <v>Y</v>
      </c>
      <c r="FL26" s="2" t="str">
        <f t="shared" si="25"/>
        <v>Y</v>
      </c>
      <c r="FM26" s="2" t="str">
        <f t="shared" si="26"/>
        <v>Y</v>
      </c>
      <c r="FN26" s="2" t="str">
        <f t="shared" si="27"/>
        <v>Y</v>
      </c>
      <c r="FO26" s="2" t="str">
        <f t="shared" si="28"/>
        <v>Y</v>
      </c>
      <c r="FP26" s="2" t="str">
        <f t="shared" si="29"/>
        <v>Y</v>
      </c>
      <c r="FQ26" s="2" t="str">
        <f t="shared" si="30"/>
        <v>Y</v>
      </c>
      <c r="FR26" s="2" t="str">
        <f t="shared" si="31"/>
        <v>Y</v>
      </c>
      <c r="FS26" s="2" t="str">
        <f t="shared" si="32"/>
        <v>Y</v>
      </c>
      <c r="FT26" s="2" t="str">
        <f t="shared" si="33"/>
        <v>Y</v>
      </c>
      <c r="FU26" s="2" t="str">
        <f t="shared" si="34"/>
        <v>Y</v>
      </c>
      <c r="FV26" s="2" t="str">
        <f t="shared" si="35"/>
        <v>Y</v>
      </c>
      <c r="FW26" s="2" t="str">
        <f t="shared" si="36"/>
        <v>Y</v>
      </c>
      <c r="FX26" s="2" t="str">
        <f t="shared" si="37"/>
        <v>Y</v>
      </c>
      <c r="FY26" s="2" t="str">
        <f t="shared" si="38"/>
        <v>Y</v>
      </c>
      <c r="FZ26" s="2" t="str">
        <f t="shared" si="39"/>
        <v>Y</v>
      </c>
      <c r="GA26" s="2" t="str">
        <f t="shared" si="40"/>
        <v>Y</v>
      </c>
      <c r="GB26" s="2" t="str">
        <f t="shared" si="41"/>
        <v>Y</v>
      </c>
      <c r="GC26" s="2" t="str">
        <f t="shared" si="42"/>
        <v>Y</v>
      </c>
      <c r="GD26" s="2" t="str">
        <f t="shared" si="43"/>
        <v>Y</v>
      </c>
      <c r="GE26" s="2" t="str">
        <f t="shared" si="44"/>
        <v>Y</v>
      </c>
      <c r="GF26" s="2" t="str">
        <f t="shared" si="45"/>
        <v>Y</v>
      </c>
      <c r="GG26" s="2" t="str">
        <f t="shared" si="46"/>
        <v>Y</v>
      </c>
      <c r="GH26" s="2" t="str">
        <f t="shared" si="47"/>
        <v>Y</v>
      </c>
      <c r="GI26" s="2" t="str">
        <f t="shared" si="48"/>
        <v>Y</v>
      </c>
      <c r="GJ26" s="2" t="str">
        <f t="shared" si="49"/>
        <v>Y</v>
      </c>
      <c r="GK26" s="2" t="str">
        <f t="shared" si="50"/>
        <v>Y</v>
      </c>
      <c r="GL26" s="2" t="str">
        <f t="shared" si="51"/>
        <v>Y</v>
      </c>
      <c r="GM26" s="2" t="str">
        <f t="shared" si="82"/>
        <v>Y</v>
      </c>
      <c r="GN26" s="2" t="str">
        <f t="shared" si="83"/>
        <v>Y</v>
      </c>
      <c r="GO26" s="2" t="str">
        <f t="shared" si="84"/>
        <v>Y</v>
      </c>
      <c r="GP26" s="2" t="str">
        <f t="shared" si="85"/>
        <v>Y</v>
      </c>
      <c r="GQ26" s="2" t="str">
        <f t="shared" si="86"/>
        <v>Y</v>
      </c>
      <c r="GR26" s="2" t="str">
        <f t="shared" si="87"/>
        <v>Y</v>
      </c>
      <c r="GS26" s="2" t="str">
        <f t="shared" si="88"/>
        <v>Y</v>
      </c>
      <c r="GT26" s="2" t="str">
        <f t="shared" si="89"/>
        <v>Y</v>
      </c>
      <c r="GU26" s="2" t="str">
        <f t="shared" si="90"/>
        <v>Y</v>
      </c>
      <c r="GV26" s="2" t="str">
        <f t="shared" si="91"/>
        <v>Y</v>
      </c>
      <c r="GW26" s="2" t="str">
        <f t="shared" si="92"/>
        <v>Y</v>
      </c>
      <c r="GX26" s="49" t="str">
        <f t="shared" si="93"/>
        <v>Y</v>
      </c>
      <c r="GY26" s="50"/>
      <c r="GZ26" s="53"/>
    </row>
    <row r="27" spans="1:208" ht="32" x14ac:dyDescent="0.2">
      <c r="A27" s="26" t="s">
        <v>313</v>
      </c>
      <c r="B27" s="27">
        <v>2021</v>
      </c>
      <c r="C27" s="27" t="s">
        <v>57</v>
      </c>
      <c r="D27" s="27" t="s">
        <v>57</v>
      </c>
      <c r="E27" s="2" t="s">
        <v>57</v>
      </c>
      <c r="F27" s="27" t="s">
        <v>57</v>
      </c>
      <c r="G27" s="27" t="s">
        <v>57</v>
      </c>
      <c r="H27" s="27" t="s">
        <v>57</v>
      </c>
      <c r="I27" s="27" t="s">
        <v>57</v>
      </c>
      <c r="J27" s="27" t="s">
        <v>57</v>
      </c>
      <c r="K27" s="27" t="s">
        <v>57</v>
      </c>
      <c r="L27" s="2" t="s">
        <v>57</v>
      </c>
      <c r="M27" s="2" t="s">
        <v>57</v>
      </c>
      <c r="N27" s="2" t="s">
        <v>57</v>
      </c>
      <c r="O27" s="2" t="s">
        <v>57</v>
      </c>
      <c r="P27" s="2" t="s">
        <v>57</v>
      </c>
      <c r="Q27" s="2" t="s">
        <v>57</v>
      </c>
      <c r="R27" s="2" t="s">
        <v>57</v>
      </c>
      <c r="S27" s="2" t="s">
        <v>57</v>
      </c>
      <c r="T27" s="2" t="s">
        <v>57</v>
      </c>
      <c r="U27" s="27">
        <v>0</v>
      </c>
      <c r="V27" s="27">
        <v>0</v>
      </c>
      <c r="W27" s="27">
        <v>132</v>
      </c>
      <c r="X27" s="27">
        <v>132</v>
      </c>
      <c r="Y27" s="27">
        <v>0</v>
      </c>
      <c r="Z27" s="27">
        <v>0</v>
      </c>
      <c r="AA27" s="27">
        <v>0</v>
      </c>
      <c r="AB27" s="27">
        <v>0</v>
      </c>
      <c r="AC27" s="44"/>
      <c r="AD27" s="2" t="s">
        <v>123</v>
      </c>
      <c r="AE27" s="27" t="s">
        <v>123</v>
      </c>
      <c r="AF27" s="27"/>
      <c r="AG27" s="27" t="s">
        <v>83</v>
      </c>
      <c r="AH27" s="27" t="s">
        <v>83</v>
      </c>
      <c r="AI27" s="27" t="s">
        <v>82</v>
      </c>
      <c r="AJ27" s="27" t="s">
        <v>82</v>
      </c>
      <c r="AK27" s="27" t="s">
        <v>83</v>
      </c>
      <c r="AL27" s="27" t="s">
        <v>83</v>
      </c>
      <c r="AM27" s="27">
        <v>132</v>
      </c>
      <c r="AN27" s="27">
        <v>132</v>
      </c>
      <c r="AO27" s="27">
        <v>0</v>
      </c>
      <c r="AP27" s="27">
        <v>0</v>
      </c>
      <c r="AQ27" s="27">
        <v>0</v>
      </c>
      <c r="AR27" s="27">
        <v>0</v>
      </c>
      <c r="AS27" s="27">
        <v>132</v>
      </c>
      <c r="AT27" s="27">
        <v>132</v>
      </c>
      <c r="AU27" s="27">
        <v>34</v>
      </c>
      <c r="AV27" s="27" t="s">
        <v>57</v>
      </c>
      <c r="AW27" s="27" t="s">
        <v>94</v>
      </c>
      <c r="AX27" s="27" t="s">
        <v>84</v>
      </c>
      <c r="AY27" s="27">
        <v>1</v>
      </c>
      <c r="AZ27" s="27" t="s">
        <v>57</v>
      </c>
      <c r="BA27" s="27">
        <v>33</v>
      </c>
      <c r="BB27" s="27" t="s">
        <v>57</v>
      </c>
      <c r="BC27" s="27">
        <v>0</v>
      </c>
      <c r="BD27" s="27" t="s">
        <v>57</v>
      </c>
      <c r="BE27" s="27">
        <v>0</v>
      </c>
      <c r="BF27" s="27" t="s">
        <v>57</v>
      </c>
      <c r="BG27" s="27">
        <v>33</v>
      </c>
      <c r="BH27" s="27" t="s">
        <v>57</v>
      </c>
      <c r="BI27" s="27">
        <v>0</v>
      </c>
      <c r="BJ27" s="27" t="s">
        <v>57</v>
      </c>
      <c r="BK27" s="27">
        <v>0</v>
      </c>
      <c r="BL27" s="27" t="s">
        <v>57</v>
      </c>
      <c r="BM27" s="27">
        <v>0</v>
      </c>
      <c r="BN27" s="27" t="s">
        <v>57</v>
      </c>
      <c r="BO27" s="27">
        <v>0</v>
      </c>
      <c r="BP27" s="27" t="s">
        <v>57</v>
      </c>
      <c r="BQ27" s="27">
        <v>0</v>
      </c>
      <c r="BR27" s="27" t="s">
        <v>57</v>
      </c>
      <c r="BS27" s="27">
        <v>0</v>
      </c>
      <c r="BT27" s="27" t="s">
        <v>57</v>
      </c>
      <c r="BU27" s="27">
        <v>1</v>
      </c>
      <c r="BV27" s="27" t="s">
        <v>57</v>
      </c>
      <c r="BW27" s="27">
        <v>0</v>
      </c>
      <c r="BX27" s="27" t="s">
        <v>57</v>
      </c>
      <c r="BY27" s="27">
        <v>0</v>
      </c>
      <c r="BZ27" s="27" t="s">
        <v>57</v>
      </c>
      <c r="CA27" s="27">
        <v>0</v>
      </c>
      <c r="CB27" s="27" t="s">
        <v>57</v>
      </c>
      <c r="CC27" s="27">
        <v>0</v>
      </c>
      <c r="CD27" s="27" t="s">
        <v>57</v>
      </c>
      <c r="CE27" s="27" t="s">
        <v>57</v>
      </c>
      <c r="CF27" s="27" t="s">
        <v>57</v>
      </c>
      <c r="CG27" s="27" t="s">
        <v>284</v>
      </c>
      <c r="CH27" s="27" t="s">
        <v>284</v>
      </c>
      <c r="CI27" s="27" t="s">
        <v>119</v>
      </c>
      <c r="CJ27" s="27" t="s">
        <v>284</v>
      </c>
      <c r="CK27" s="27" t="s">
        <v>57</v>
      </c>
      <c r="CL27" s="27" t="s">
        <v>57</v>
      </c>
      <c r="CM27" s="27" t="s">
        <v>57</v>
      </c>
      <c r="CN27" s="27" t="s">
        <v>57</v>
      </c>
      <c r="CO27" s="27" t="s">
        <v>57</v>
      </c>
      <c r="CP27" s="27" t="s">
        <v>57</v>
      </c>
      <c r="CQ27" s="27" t="s">
        <v>57</v>
      </c>
      <c r="CR27" s="27" t="s">
        <v>57</v>
      </c>
      <c r="CS27" s="27" t="s">
        <v>57</v>
      </c>
      <c r="CT27" s="27" t="s">
        <v>57</v>
      </c>
      <c r="CU27" s="27" t="s">
        <v>57</v>
      </c>
      <c r="CV27" s="27" t="s">
        <v>57</v>
      </c>
      <c r="CW27" s="27" t="s">
        <v>57</v>
      </c>
      <c r="CX27" s="27" t="s">
        <v>57</v>
      </c>
      <c r="CY27" s="27" t="s">
        <v>57</v>
      </c>
      <c r="CZ27" s="27" t="s">
        <v>57</v>
      </c>
      <c r="DA27" s="27" t="s">
        <v>57</v>
      </c>
      <c r="DB27" s="27" t="s">
        <v>57</v>
      </c>
      <c r="DC27" s="27" t="s">
        <v>57</v>
      </c>
      <c r="DD27" s="2" t="s">
        <v>57</v>
      </c>
      <c r="DE27" s="27" t="s">
        <v>57</v>
      </c>
      <c r="DF27" s="27" t="s">
        <v>57</v>
      </c>
      <c r="DG27" s="27" t="s">
        <v>57</v>
      </c>
      <c r="DH27" s="27" t="s">
        <v>57</v>
      </c>
      <c r="DI27" s="27" t="s">
        <v>87</v>
      </c>
      <c r="DJ27" s="27" t="s">
        <v>87</v>
      </c>
      <c r="DK27" s="27" t="s">
        <v>57</v>
      </c>
      <c r="DL27" s="27" t="s">
        <v>57</v>
      </c>
      <c r="DM27" s="27" t="s">
        <v>57</v>
      </c>
      <c r="DN27" s="27" t="s">
        <v>57</v>
      </c>
      <c r="DO27" s="27">
        <v>1</v>
      </c>
      <c r="DP27" s="27">
        <v>1</v>
      </c>
      <c r="DQ27" s="27">
        <v>1</v>
      </c>
      <c r="DR27" s="27">
        <v>1</v>
      </c>
      <c r="DS27" s="27">
        <v>1</v>
      </c>
      <c r="DT27" s="27">
        <v>1</v>
      </c>
      <c r="DU27" s="27">
        <v>1</v>
      </c>
      <c r="DV27" s="27">
        <v>1</v>
      </c>
      <c r="DW27" s="27">
        <v>1</v>
      </c>
      <c r="DX27" s="27">
        <v>1</v>
      </c>
      <c r="DY27" s="27">
        <v>1</v>
      </c>
      <c r="DZ27" s="27">
        <v>1</v>
      </c>
      <c r="EA27" s="27">
        <v>1</v>
      </c>
      <c r="EB27" s="27">
        <v>1</v>
      </c>
      <c r="EC27" s="27">
        <v>1</v>
      </c>
      <c r="ED27" s="27">
        <v>1</v>
      </c>
      <c r="EE27" s="27">
        <v>1</v>
      </c>
      <c r="EF27" s="27">
        <v>1</v>
      </c>
      <c r="EG27" s="27">
        <v>1</v>
      </c>
      <c r="EH27" s="27">
        <v>1</v>
      </c>
      <c r="EI27" s="27">
        <f t="shared" ref="EI27" si="94">SUM(DO27,DQ27,DS27,DU27,DW27,DY27,EA27,EC27,EE27,EG27)</f>
        <v>10</v>
      </c>
      <c r="EJ27" s="27">
        <f t="shared" ref="EJ27" si="95">SUM(DP27,DR27,DT27,DV27,DX27,DZ27,EB27,ED27,EF27,EH27)</f>
        <v>10</v>
      </c>
      <c r="EK27" s="28" t="s">
        <v>313</v>
      </c>
      <c r="EL27" s="29">
        <v>2021</v>
      </c>
      <c r="EM27" s="2" t="str">
        <f t="shared" ref="EM27" si="96">IF(C27=D27,"Y","N")</f>
        <v>Y</v>
      </c>
      <c r="EN27" s="2" t="str">
        <f t="shared" ref="EN27" si="97">IF(E27=F27,"Y","N")</f>
        <v>Y</v>
      </c>
      <c r="EO27" s="2" t="str">
        <f t="shared" ref="EO27" si="98">IF(G27=H27,"Y","N")</f>
        <v>Y</v>
      </c>
      <c r="EP27" s="2" t="str">
        <f t="shared" ref="EP27" si="99">IF(I27=J27,"Y","N")</f>
        <v>Y</v>
      </c>
      <c r="EQ27" s="2" t="str">
        <f t="shared" ref="EQ27" si="100">IF(K27=L27,"Y","N")</f>
        <v>Y</v>
      </c>
      <c r="ER27" s="2" t="str">
        <f t="shared" ref="ER27" si="101">IF(M27=N27,"Y","N")</f>
        <v>Y</v>
      </c>
      <c r="ES27" s="2" t="str">
        <f t="shared" ref="ES27" si="102">IF(O27=P27,"Y","N")</f>
        <v>Y</v>
      </c>
      <c r="ET27" s="2" t="str">
        <f t="shared" ref="ET27" si="103">IF(Q27=R27,"Y","N")</f>
        <v>Y</v>
      </c>
      <c r="EU27" s="2" t="str">
        <f t="shared" ref="EU27" si="104">IF(S27=T27,"Y","N")</f>
        <v>Y</v>
      </c>
      <c r="EV27" s="2" t="str">
        <f t="shared" ref="EV27" si="105">IF(U27=V27,"Y","N")</f>
        <v>Y</v>
      </c>
      <c r="EW27" s="2" t="str">
        <f t="shared" ref="EW27" si="106">IF(W27=X27,"Y","N")</f>
        <v>Y</v>
      </c>
      <c r="EX27" s="2" t="str">
        <f t="shared" ref="EX27" si="107">IF(Y27=Z27,"Y","N")</f>
        <v>Y</v>
      </c>
      <c r="EY27" s="2" t="str">
        <f t="shared" ref="EY27" si="108">IF(AA27=AB27,"Y","N")</f>
        <v>Y</v>
      </c>
      <c r="EZ27" s="2" t="str">
        <f t="shared" ref="EZ27" si="109">IF(AD27=AE27,"Y","N")</f>
        <v>Y</v>
      </c>
      <c r="FA27" s="2" t="str">
        <f t="shared" ref="FA27" si="110">IF(AG27=AH27,"Y","N")</f>
        <v>Y</v>
      </c>
      <c r="FB27" s="2" t="str">
        <f t="shared" ref="FB27" si="111">IF(AI27=AJ27,"Y","N")</f>
        <v>Y</v>
      </c>
      <c r="FC27" s="2" t="str">
        <f t="shared" ref="FC27" si="112">IF(AM27=AN27,"Y","N")</f>
        <v>Y</v>
      </c>
      <c r="FD27" s="2" t="str">
        <f t="shared" ref="FD27" si="113">IF(AO27=AP27,"Y","N")</f>
        <v>Y</v>
      </c>
      <c r="FE27" s="2" t="str">
        <f t="shared" ref="FE27" si="114">IF(AQ27=AR27,"Y","N")</f>
        <v>Y</v>
      </c>
      <c r="FF27" s="2" t="str">
        <f t="shared" ref="FF27" si="115">IF(AS27=AT27,"Y","N")</f>
        <v>Y</v>
      </c>
      <c r="FG27" s="2" t="str">
        <f t="shared" ref="FG27" si="116">IF(AU27=AV27,"Y","N")</f>
        <v>N</v>
      </c>
      <c r="FH27" s="2" t="str">
        <f t="shared" ref="FH27" si="117">IF(AW27=AX27,"Y","N")</f>
        <v>N</v>
      </c>
      <c r="FI27" s="2" t="str">
        <f t="shared" ref="FI27" si="118">IF(AY27=AZ27,"Y","N")</f>
        <v>N</v>
      </c>
      <c r="FJ27" s="2" t="str">
        <f t="shared" ref="FJ27" si="119">IF(BA27=BB27,"Y","N")</f>
        <v>N</v>
      </c>
      <c r="FK27" s="2" t="str">
        <f t="shared" ref="FK27" si="120">IF(BC27=BD27,"Y","N")</f>
        <v>N</v>
      </c>
      <c r="FL27" s="2" t="str">
        <f t="shared" ref="FL27" si="121">IF(BE27=BF27,"Y","N")</f>
        <v>N</v>
      </c>
      <c r="FM27" s="2" t="str">
        <f t="shared" ref="FM27" si="122">IF(BG27=BH27,"Y","N")</f>
        <v>N</v>
      </c>
      <c r="FN27" s="2" t="str">
        <f t="shared" ref="FN27" si="123">IF(BI27=BJ27,"Y","N")</f>
        <v>N</v>
      </c>
      <c r="FO27" s="2" t="str">
        <f t="shared" ref="FO27" si="124">IF(BK27=BL27,"Y","N")</f>
        <v>N</v>
      </c>
      <c r="FP27" s="2" t="str">
        <f t="shared" ref="FP27" si="125">IF(BM27=BN27,"Y","N")</f>
        <v>N</v>
      </c>
      <c r="FQ27" s="2" t="str">
        <f t="shared" ref="FQ27" si="126">IF(BO27=BP27,"Y","N")</f>
        <v>N</v>
      </c>
      <c r="FR27" s="2" t="str">
        <f t="shared" ref="FR27" si="127">IF(BQ27=BR27,"Y","N")</f>
        <v>N</v>
      </c>
      <c r="FS27" s="2" t="str">
        <f t="shared" ref="FS27" si="128">IF(BS27=BT27,"Y","N")</f>
        <v>N</v>
      </c>
      <c r="FT27" s="2" t="str">
        <f t="shared" ref="FT27" si="129">IF(BU27=BV27,"Y","N")</f>
        <v>N</v>
      </c>
      <c r="FU27" s="2" t="str">
        <f t="shared" ref="FU27" si="130">IF(BW27=BX27,"Y","N")</f>
        <v>N</v>
      </c>
      <c r="FV27" s="2" t="str">
        <f t="shared" ref="FV27" si="131">IF(BY27=BZ27,"Y","N")</f>
        <v>N</v>
      </c>
      <c r="FW27" s="2" t="str">
        <f t="shared" ref="FW27" si="132">IF(CA27=CB27,"Y","N")</f>
        <v>N</v>
      </c>
      <c r="FX27" s="2" t="str">
        <f t="shared" ref="FX27" si="133">IF(CC27=CD27,"Y","N")</f>
        <v>N</v>
      </c>
      <c r="FY27" s="2" t="str">
        <f t="shared" ref="FY27" si="134">IF(CE27=CF27,"Y","N")</f>
        <v>Y</v>
      </c>
      <c r="FZ27" s="2" t="str">
        <f t="shared" ref="FZ27" si="135">IF(CG27=CH27,"Y","N")</f>
        <v>Y</v>
      </c>
      <c r="GA27" s="2" t="str">
        <f t="shared" ref="GA27" si="136">IF(CI27=CJ27,"Y","N")</f>
        <v>Y</v>
      </c>
      <c r="GB27" s="2" t="str">
        <f t="shared" ref="GB27" si="137">IF(CK27=CL27,"Y","N")</f>
        <v>Y</v>
      </c>
      <c r="GC27" s="2" t="str">
        <f t="shared" ref="GC27" si="138">IF(CM27=CN27,"Y","N")</f>
        <v>Y</v>
      </c>
      <c r="GD27" s="2" t="str">
        <f t="shared" ref="GD27" si="139">IF(CO27=CP27,"Y","N")</f>
        <v>Y</v>
      </c>
      <c r="GE27" s="2" t="str">
        <f t="shared" ref="GE27" si="140">IF(CQ27=CR27,"Y","N")</f>
        <v>Y</v>
      </c>
      <c r="GF27" s="2" t="str">
        <f t="shared" ref="GF27" si="141">IF(CS27=CT27,"Y","N")</f>
        <v>Y</v>
      </c>
      <c r="GG27" s="2" t="str">
        <f t="shared" ref="GG27" si="142">IF(CU27=CV27,"Y","N")</f>
        <v>Y</v>
      </c>
      <c r="GH27" s="2" t="str">
        <f t="shared" ref="GH27" si="143">IF(CW27=CX27,"Y","N")</f>
        <v>Y</v>
      </c>
      <c r="GI27" s="2" t="str">
        <f t="shared" ref="GI27" si="144">IF(CY27=CZ27,"Y","N")</f>
        <v>Y</v>
      </c>
      <c r="GJ27" s="2" t="str">
        <f t="shared" ref="GJ27" si="145">IF(DA27=DB27,"Y","N")</f>
        <v>Y</v>
      </c>
      <c r="GK27" s="2" t="str">
        <f t="shared" ref="GK27" si="146">IF(DC27=DD27,"Y","N")</f>
        <v>Y</v>
      </c>
      <c r="GL27" s="2" t="str">
        <f t="shared" ref="GL27" si="147">IF(DE27=DF27,"Y","N")</f>
        <v>Y</v>
      </c>
      <c r="GM27" s="2" t="str">
        <f t="shared" ref="GM27" si="148">IF(DG27=DH27,"Y","N")</f>
        <v>Y</v>
      </c>
      <c r="GN27" s="2" t="str">
        <f t="shared" ref="GN27" si="149">IF(DO27=DP27,"Y","N")</f>
        <v>Y</v>
      </c>
      <c r="GO27" s="2" t="str">
        <f t="shared" ref="GO27" si="150">IF(DQ27=DR27,"Y","N")</f>
        <v>Y</v>
      </c>
      <c r="GP27" s="2" t="str">
        <f t="shared" ref="GP27" si="151">IF(DS27=DT27,"Y","N")</f>
        <v>Y</v>
      </c>
      <c r="GQ27" s="2" t="str">
        <f t="shared" ref="GQ27" si="152">IF(DU27=DV27,"Y","N")</f>
        <v>Y</v>
      </c>
      <c r="GR27" s="2" t="str">
        <f t="shared" ref="GR27" si="153">IF(DW27=DX27,"Y","N")</f>
        <v>Y</v>
      </c>
      <c r="GS27" s="2" t="str">
        <f t="shared" ref="GS27" si="154">IF(DY27=DZ27,"Y","N")</f>
        <v>Y</v>
      </c>
      <c r="GT27" s="2" t="str">
        <f t="shared" ref="GT27" si="155">IF(EA27=EB27,"Y","N")</f>
        <v>Y</v>
      </c>
      <c r="GU27" s="2" t="str">
        <f t="shared" ref="GU27" si="156">IF(EC27=ED27,"Y","N")</f>
        <v>Y</v>
      </c>
      <c r="GV27" s="2" t="str">
        <f t="shared" ref="GV27" si="157">IF(EE27=EF27,"Y","N")</f>
        <v>Y</v>
      </c>
      <c r="GW27" s="2" t="str">
        <f t="shared" ref="GW27" si="158">IF(EG27=EH27,"Y","N")</f>
        <v>Y</v>
      </c>
      <c r="GX27" s="49" t="str">
        <f t="shared" ref="GX27" si="159">IF(EI27=EJ27,"Y","N")</f>
        <v>Y</v>
      </c>
      <c r="GY27" s="50"/>
      <c r="GZ27" s="53"/>
    </row>
    <row r="30" spans="1:208" x14ac:dyDescent="0.2">
      <c r="A30" s="48"/>
    </row>
    <row r="31" spans="1:208" x14ac:dyDescent="0.2">
      <c r="A31" s="48"/>
    </row>
    <row r="32" spans="1:208" x14ac:dyDescent="0.2">
      <c r="A32" s="48"/>
    </row>
    <row r="33" spans="1:138" x14ac:dyDescent="0.2">
      <c r="A33" s="48"/>
    </row>
    <row r="39" spans="1:138" x14ac:dyDescent="0.2">
      <c r="EH39" s="57"/>
    </row>
    <row r="40" spans="1:138" x14ac:dyDescent="0.2">
      <c r="EH40" s="57"/>
    </row>
    <row r="41" spans="1:138" x14ac:dyDescent="0.2">
      <c r="EH41" s="57"/>
    </row>
    <row r="42" spans="1:138" x14ac:dyDescent="0.2">
      <c r="EH42" s="57"/>
    </row>
    <row r="43" spans="1:138" x14ac:dyDescent="0.2">
      <c r="EH43" s="57"/>
    </row>
    <row r="44" spans="1:138" x14ac:dyDescent="0.2">
      <c r="EH44" s="57"/>
    </row>
    <row r="45" spans="1:138" x14ac:dyDescent="0.2">
      <c r="EH45" s="57"/>
    </row>
    <row r="46" spans="1:138" x14ac:dyDescent="0.2">
      <c r="EH46" s="57"/>
    </row>
    <row r="47" spans="1:138" x14ac:dyDescent="0.2">
      <c r="EH47" s="57"/>
    </row>
  </sheetData>
  <autoFilter ref="A1:GZ26" xr:uid="{C8F8F782-3112-499B-AF93-D72B9C0855A9}"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18" showButton="0"/>
    <filterColumn colId="20" showButton="0"/>
    <filterColumn colId="22" showButton="0"/>
    <filterColumn colId="24" showButton="0"/>
    <filterColumn colId="26" showButton="0"/>
    <filterColumn colId="29" showButton="0"/>
    <filterColumn colId="32" showButton="0"/>
    <filterColumn colId="34" showButton="0"/>
    <filterColumn colId="36" showButton="0"/>
    <filterColumn colId="38" showButton="0"/>
    <filterColumn colId="40" showButton="0"/>
    <filterColumn colId="42" showButton="0"/>
    <filterColumn colId="44" showButton="0"/>
    <filterColumn colId="46" showButton="0"/>
    <filterColumn colId="48" showButton="0"/>
    <filterColumn colId="50" showButton="0"/>
    <filterColumn colId="52" showButton="0"/>
    <filterColumn colId="54" showButton="0"/>
    <filterColumn colId="56" showButton="0"/>
    <filterColumn colId="58" showButton="0"/>
    <filterColumn colId="60" showButton="0"/>
    <filterColumn colId="62" showButton="0"/>
    <filterColumn colId="64" showButton="0"/>
    <filterColumn colId="66" showButton="0"/>
    <filterColumn colId="68" showButton="0"/>
    <filterColumn colId="70" showButton="0"/>
    <filterColumn colId="72" showButton="0"/>
    <filterColumn colId="74" showButton="0"/>
    <filterColumn colId="76" showButton="0"/>
    <filterColumn colId="78" showButton="0"/>
    <filterColumn colId="80" showButton="0"/>
    <filterColumn colId="82" showButton="0"/>
    <filterColumn colId="84" showButton="0"/>
    <filterColumn colId="86" showButton="0"/>
    <filterColumn colId="88" showButton="0"/>
    <filterColumn colId="90" showButton="0"/>
    <filterColumn colId="92" showButton="0"/>
    <filterColumn colId="98" showButton="0"/>
    <filterColumn colId="100" showButton="0"/>
    <filterColumn colId="102" showButton="0"/>
    <filterColumn colId="104" showButton="0"/>
    <filterColumn colId="106" showButton="0"/>
    <filterColumn colId="108" showButton="0"/>
    <filterColumn colId="110" showButton="0"/>
    <filterColumn colId="112" showButton="0"/>
    <filterColumn colId="114" showButton="0"/>
    <filterColumn colId="116" showButton="0"/>
    <filterColumn colId="118" showButton="0"/>
    <filterColumn colId="120" showButton="0"/>
    <filterColumn colId="122" showButton="0"/>
    <filterColumn colId="124" showButton="0"/>
    <filterColumn colId="126" showButton="0"/>
    <filterColumn colId="128" showButton="0"/>
    <filterColumn colId="130" showButton="0"/>
    <filterColumn colId="132" showButton="0"/>
    <filterColumn colId="134" showButton="0"/>
    <filterColumn colId="136" showButton="0"/>
    <filterColumn colId="138" showButton="0"/>
  </autoFilter>
  <mergeCells count="132">
    <mergeCell ref="GF1:GF2"/>
    <mergeCell ref="GG1:GG2"/>
    <mergeCell ref="GH1:GH2"/>
    <mergeCell ref="GR1:GR2"/>
    <mergeCell ref="GS1:GS2"/>
    <mergeCell ref="GT1:GT2"/>
    <mergeCell ref="GU1:GU2"/>
    <mergeCell ref="GV1:GV2"/>
    <mergeCell ref="GW1:GW2"/>
    <mergeCell ref="GI1:GI2"/>
    <mergeCell ref="GJ1:GJ2"/>
    <mergeCell ref="GK1:GK2"/>
    <mergeCell ref="GL1:GL2"/>
    <mergeCell ref="GM1:GM2"/>
    <mergeCell ref="GN1:GN2"/>
    <mergeCell ref="GO1:GO2"/>
    <mergeCell ref="GP1:GP2"/>
    <mergeCell ref="GQ1:GQ2"/>
    <mergeCell ref="FW1:FW2"/>
    <mergeCell ref="FX1:FX2"/>
    <mergeCell ref="FY1:FY2"/>
    <mergeCell ref="FZ1:FZ2"/>
    <mergeCell ref="GA1:GA2"/>
    <mergeCell ref="GB1:GB2"/>
    <mergeCell ref="GC1:GC2"/>
    <mergeCell ref="GD1:GD2"/>
    <mergeCell ref="GE1:GE2"/>
    <mergeCell ref="FN1:FN2"/>
    <mergeCell ref="FO1:FO2"/>
    <mergeCell ref="EK1:EK2"/>
    <mergeCell ref="EL1:EL2"/>
    <mergeCell ref="FR1:FR2"/>
    <mergeCell ref="FS1:FS2"/>
    <mergeCell ref="FT1:FT2"/>
    <mergeCell ref="FU1:FU2"/>
    <mergeCell ref="FV1:FV2"/>
    <mergeCell ref="DS1:DT1"/>
    <mergeCell ref="DK1:DL1"/>
    <mergeCell ref="DI1:DJ1"/>
    <mergeCell ref="FH1:FH2"/>
    <mergeCell ref="FI1:FI2"/>
    <mergeCell ref="FJ1:FJ2"/>
    <mergeCell ref="FK1:FK2"/>
    <mergeCell ref="FL1:FL2"/>
    <mergeCell ref="FM1:FM2"/>
    <mergeCell ref="DM1:DN1"/>
    <mergeCell ref="BC1:BD1"/>
    <mergeCell ref="AU1:AV1"/>
    <mergeCell ref="AS1:AT1"/>
    <mergeCell ref="AQ1:AR1"/>
    <mergeCell ref="AO1:AP1"/>
    <mergeCell ref="AK1:AL1"/>
    <mergeCell ref="EI1:EJ1"/>
    <mergeCell ref="EG1:EH1"/>
    <mergeCell ref="EE1:EF1"/>
    <mergeCell ref="EC1:ED1"/>
    <mergeCell ref="EA1:EB1"/>
    <mergeCell ref="CK1:CL1"/>
    <mergeCell ref="DQ1:DR1"/>
    <mergeCell ref="DO1:DP1"/>
    <mergeCell ref="DG1:DH1"/>
    <mergeCell ref="DE1:DF1"/>
    <mergeCell ref="DC1:DD1"/>
    <mergeCell ref="DA1:DB1"/>
    <mergeCell ref="CY1:CZ1"/>
    <mergeCell ref="CW1:CX1"/>
    <mergeCell ref="CU1:CV1"/>
    <mergeCell ref="DY1:DZ1"/>
    <mergeCell ref="DW1:DX1"/>
    <mergeCell ref="DU1:DV1"/>
    <mergeCell ref="CO1:CP1"/>
    <mergeCell ref="CM1:CN1"/>
    <mergeCell ref="BY1:BZ1"/>
    <mergeCell ref="BW1:BX1"/>
    <mergeCell ref="BU1:BV1"/>
    <mergeCell ref="BS1:BT1"/>
    <mergeCell ref="BQ1:BR1"/>
    <mergeCell ref="BO1:BP1"/>
    <mergeCell ref="AG1:AH1"/>
    <mergeCell ref="AM1:AN1"/>
    <mergeCell ref="AI1:AJ1"/>
    <mergeCell ref="AW1:AX1"/>
    <mergeCell ref="BM1:BN1"/>
    <mergeCell ref="BA1:BB1"/>
    <mergeCell ref="AY1:AZ1"/>
    <mergeCell ref="CI1:CJ1"/>
    <mergeCell ref="CG1:CH1"/>
    <mergeCell ref="CE1:CF1"/>
    <mergeCell ref="CC1:CD1"/>
    <mergeCell ref="CA1:CB1"/>
    <mergeCell ref="BK1:BL1"/>
    <mergeCell ref="BI1:BJ1"/>
    <mergeCell ref="BG1:BH1"/>
    <mergeCell ref="BE1:BF1"/>
    <mergeCell ref="K1:L1"/>
    <mergeCell ref="C1:D1"/>
    <mergeCell ref="AD1:AE1"/>
    <mergeCell ref="AA1:AB1"/>
    <mergeCell ref="Y1:Z1"/>
    <mergeCell ref="W1:X1"/>
    <mergeCell ref="U1:V1"/>
    <mergeCell ref="S1:T1"/>
    <mergeCell ref="E1:F1"/>
    <mergeCell ref="M1:N1"/>
    <mergeCell ref="O1:P1"/>
    <mergeCell ref="Q1:R1"/>
    <mergeCell ref="I1:J1"/>
    <mergeCell ref="G1:H1"/>
    <mergeCell ref="GX1:GX2"/>
    <mergeCell ref="EM1:EM2"/>
    <mergeCell ref="EN1:EN2"/>
    <mergeCell ref="EO1:EO2"/>
    <mergeCell ref="EP1:EP2"/>
    <mergeCell ref="EQ1:EQ2"/>
    <mergeCell ref="ER1:ER2"/>
    <mergeCell ref="ES1:ES2"/>
    <mergeCell ref="ET1:ET2"/>
    <mergeCell ref="EU1:EU2"/>
    <mergeCell ref="EV1:EV2"/>
    <mergeCell ref="EW1:EW2"/>
    <mergeCell ref="EX1:EX2"/>
    <mergeCell ref="EY1:EY2"/>
    <mergeCell ref="EZ1:EZ2"/>
    <mergeCell ref="FA1:FA2"/>
    <mergeCell ref="FB1:FB2"/>
    <mergeCell ref="FC1:FC2"/>
    <mergeCell ref="FD1:FD2"/>
    <mergeCell ref="FE1:FE2"/>
    <mergeCell ref="FF1:FF2"/>
    <mergeCell ref="FG1:FG2"/>
    <mergeCell ref="FP1:FP2"/>
    <mergeCell ref="FQ1:FQ2"/>
  </mergeCells>
  <conditionalFormatting sqref="H3:H22 H24:H25">
    <cfRule type="cellIs" dxfId="82" priority="132" operator="equal">
      <formula>"?"</formula>
    </cfRule>
  </conditionalFormatting>
  <conditionalFormatting sqref="J3:J22 J24:J25">
    <cfRule type="cellIs" dxfId="81" priority="131" operator="equal">
      <formula>"?"</formula>
    </cfRule>
  </conditionalFormatting>
  <conditionalFormatting sqref="K3:L26">
    <cfRule type="cellIs" dxfId="80" priority="117" operator="equal">
      <formula>"?"</formula>
    </cfRule>
  </conditionalFormatting>
  <conditionalFormatting sqref="U3:U26">
    <cfRule type="cellIs" dxfId="79" priority="234" operator="equal">
      <formula>"?"</formula>
    </cfRule>
  </conditionalFormatting>
  <conditionalFormatting sqref="W3:W26">
    <cfRule type="cellIs" dxfId="78" priority="233" operator="equal">
      <formula>"?"</formula>
    </cfRule>
  </conditionalFormatting>
  <conditionalFormatting sqref="Y3:Y26">
    <cfRule type="cellIs" dxfId="77" priority="232" operator="equal">
      <formula>"?"</formula>
    </cfRule>
  </conditionalFormatting>
  <conditionalFormatting sqref="AA3:AA26">
    <cfRule type="cellIs" dxfId="76" priority="231" operator="equal">
      <formula>"?"</formula>
    </cfRule>
  </conditionalFormatting>
  <conditionalFormatting sqref="AG3:AG26">
    <cfRule type="cellIs" dxfId="75" priority="230" operator="equal">
      <formula>"?"</formula>
    </cfRule>
  </conditionalFormatting>
  <conditionalFormatting sqref="AI3:AI26">
    <cfRule type="cellIs" dxfId="74" priority="229" operator="equal">
      <formula>"?"</formula>
    </cfRule>
  </conditionalFormatting>
  <conditionalFormatting sqref="AM3:AO26">
    <cfRule type="cellIs" dxfId="73" priority="116" operator="equal">
      <formula>"?"</formula>
    </cfRule>
  </conditionalFormatting>
  <conditionalFormatting sqref="AP23">
    <cfRule type="cellIs" dxfId="72" priority="86" operator="equal">
      <formula>"?"</formula>
    </cfRule>
  </conditionalFormatting>
  <conditionalFormatting sqref="AQ3:AQ26">
    <cfRule type="cellIs" dxfId="71" priority="226" operator="equal">
      <formula>"?"</formula>
    </cfRule>
  </conditionalFormatting>
  <conditionalFormatting sqref="AS3:AS26">
    <cfRule type="cellIs" dxfId="70" priority="225" operator="equal">
      <formula>"?"</formula>
    </cfRule>
  </conditionalFormatting>
  <conditionalFormatting sqref="AU3:AU26">
    <cfRule type="cellIs" dxfId="69" priority="224" operator="equal">
      <formula>"?"</formula>
    </cfRule>
  </conditionalFormatting>
  <conditionalFormatting sqref="BC3:BC10 BC12:BC18 BC20:BC26 BD26:BF26">
    <cfRule type="cellIs" dxfId="68" priority="223" operator="equal">
      <formula>"?"</formula>
    </cfRule>
  </conditionalFormatting>
  <conditionalFormatting sqref="BD4">
    <cfRule type="cellIs" dxfId="67" priority="59" operator="equal">
      <formula>"?"</formula>
    </cfRule>
  </conditionalFormatting>
  <conditionalFormatting sqref="BD18">
    <cfRule type="cellIs" dxfId="66" priority="84" operator="equal">
      <formula>"?"</formula>
    </cfRule>
  </conditionalFormatting>
  <conditionalFormatting sqref="BE3:BE10">
    <cfRule type="cellIs" dxfId="65" priority="34" operator="equal">
      <formula>"?"</formula>
    </cfRule>
  </conditionalFormatting>
  <conditionalFormatting sqref="BE12:BE18">
    <cfRule type="cellIs" dxfId="64" priority="61" operator="equal">
      <formula>"?"</formula>
    </cfRule>
  </conditionalFormatting>
  <conditionalFormatting sqref="BF4">
    <cfRule type="cellIs" dxfId="63" priority="57" operator="equal">
      <formula>"?"</formula>
    </cfRule>
  </conditionalFormatting>
  <conditionalFormatting sqref="BF18">
    <cfRule type="cellIs" dxfId="62" priority="60" operator="equal">
      <formula>"?"</formula>
    </cfRule>
  </conditionalFormatting>
  <conditionalFormatting sqref="BF14:CD14 BE20:BE24">
    <cfRule type="cellIs" dxfId="61" priority="222" operator="equal">
      <formula>"?"</formula>
    </cfRule>
  </conditionalFormatting>
  <conditionalFormatting sqref="BG3:BG10 BG12:BG13 BG15:BG18 BG20:BG26">
    <cfRule type="cellIs" dxfId="60" priority="221" operator="equal">
      <formula>"?"</formula>
    </cfRule>
  </conditionalFormatting>
  <conditionalFormatting sqref="BI3:BI10">
    <cfRule type="cellIs" dxfId="59" priority="33" operator="equal">
      <formula>"?"</formula>
    </cfRule>
  </conditionalFormatting>
  <conditionalFormatting sqref="BI12:BI13 BI20:BI24 BI26:CF26">
    <cfRule type="cellIs" dxfId="58" priority="220" operator="equal">
      <formula>"?"</formula>
    </cfRule>
  </conditionalFormatting>
  <conditionalFormatting sqref="BI15:BI18">
    <cfRule type="cellIs" dxfId="57" priority="83" operator="equal">
      <formula>"?"</formula>
    </cfRule>
  </conditionalFormatting>
  <conditionalFormatting sqref="BJ4">
    <cfRule type="cellIs" dxfId="56" priority="55" operator="equal">
      <formula>"?"</formula>
    </cfRule>
  </conditionalFormatting>
  <conditionalFormatting sqref="BJ18:CD18">
    <cfRule type="cellIs" dxfId="55" priority="62" operator="equal">
      <formula>"?"</formula>
    </cfRule>
  </conditionalFormatting>
  <conditionalFormatting sqref="BK3:BK4">
    <cfRule type="cellIs" dxfId="54" priority="32" operator="equal">
      <formula>"?"</formula>
    </cfRule>
  </conditionalFormatting>
  <conditionalFormatting sqref="BK6:BK10 BK12:BK13 BK15 BK21:BK24">
    <cfRule type="cellIs" dxfId="53" priority="219" operator="equal">
      <formula>"?"</formula>
    </cfRule>
  </conditionalFormatting>
  <conditionalFormatting sqref="BL4">
    <cfRule type="cellIs" dxfId="52" priority="53" operator="equal">
      <formula>"?"</formula>
    </cfRule>
  </conditionalFormatting>
  <conditionalFormatting sqref="BM3:BM4">
    <cfRule type="cellIs" dxfId="51" priority="31" operator="equal">
      <formula>"?"</formula>
    </cfRule>
  </conditionalFormatting>
  <conditionalFormatting sqref="BM6:BM10 BM12:BM13 BM15 BM21:BM24">
    <cfRule type="cellIs" dxfId="50" priority="218" operator="equal">
      <formula>"?"</formula>
    </cfRule>
  </conditionalFormatting>
  <conditionalFormatting sqref="BN4">
    <cfRule type="cellIs" dxfId="49" priority="51" operator="equal">
      <formula>"?"</formula>
    </cfRule>
  </conditionalFormatting>
  <conditionalFormatting sqref="BO3:BO4">
    <cfRule type="cellIs" dxfId="48" priority="30" operator="equal">
      <formula>"?"</formula>
    </cfRule>
  </conditionalFormatting>
  <conditionalFormatting sqref="BO6:BO10 BO12:BO13 BO15 BO21:BO24">
    <cfRule type="cellIs" dxfId="47" priority="217" operator="equal">
      <formula>"?"</formula>
    </cfRule>
  </conditionalFormatting>
  <conditionalFormatting sqref="BP4">
    <cfRule type="cellIs" dxfId="46" priority="49" operator="equal">
      <formula>"?"</formula>
    </cfRule>
  </conditionalFormatting>
  <conditionalFormatting sqref="BQ3:BQ4">
    <cfRule type="cellIs" dxfId="45" priority="29" operator="equal">
      <formula>"?"</formula>
    </cfRule>
  </conditionalFormatting>
  <conditionalFormatting sqref="BQ6:BQ10 BQ12:BQ13 BQ15 BQ21:BQ24">
    <cfRule type="cellIs" dxfId="44" priority="216" operator="equal">
      <formula>"?"</formula>
    </cfRule>
  </conditionalFormatting>
  <conditionalFormatting sqref="BR4">
    <cfRule type="cellIs" dxfId="43" priority="47" operator="equal">
      <formula>"?"</formula>
    </cfRule>
  </conditionalFormatting>
  <conditionalFormatting sqref="BS3:BS4">
    <cfRule type="cellIs" dxfId="42" priority="28" operator="equal">
      <formula>"?"</formula>
    </cfRule>
  </conditionalFormatting>
  <conditionalFormatting sqref="BS6:BS10 BS12:BS13 BS15 BS21:BS24">
    <cfRule type="cellIs" dxfId="41" priority="215" operator="equal">
      <formula>"?"</formula>
    </cfRule>
  </conditionalFormatting>
  <conditionalFormatting sqref="BT4">
    <cfRule type="cellIs" dxfId="40" priority="45" operator="equal">
      <formula>"?"</formula>
    </cfRule>
  </conditionalFormatting>
  <conditionalFormatting sqref="BU3:BU4">
    <cfRule type="cellIs" dxfId="39" priority="27" operator="equal">
      <formula>"?"</formula>
    </cfRule>
  </conditionalFormatting>
  <conditionalFormatting sqref="BU6:BU10 BU12:BU13 BU15 BU21:BU24">
    <cfRule type="cellIs" dxfId="38" priority="214" operator="equal">
      <formula>"?"</formula>
    </cfRule>
  </conditionalFormatting>
  <conditionalFormatting sqref="BV4">
    <cfRule type="cellIs" dxfId="37" priority="43" operator="equal">
      <formula>"?"</formula>
    </cfRule>
  </conditionalFormatting>
  <conditionalFormatting sqref="BW3:BW4">
    <cfRule type="cellIs" dxfId="36" priority="26" operator="equal">
      <formula>"?"</formula>
    </cfRule>
  </conditionalFormatting>
  <conditionalFormatting sqref="BW6:BW10 BW12:BW13 BW15 BW21:BW24">
    <cfRule type="cellIs" dxfId="35" priority="213" operator="equal">
      <formula>"?"</formula>
    </cfRule>
  </conditionalFormatting>
  <conditionalFormatting sqref="BX4">
    <cfRule type="cellIs" dxfId="34" priority="41" operator="equal">
      <formula>"?"</formula>
    </cfRule>
  </conditionalFormatting>
  <conditionalFormatting sqref="BY3:BY4">
    <cfRule type="cellIs" dxfId="33" priority="25" operator="equal">
      <formula>"?"</formula>
    </cfRule>
  </conditionalFormatting>
  <conditionalFormatting sqref="BY6:BY10 BY12:BY13 BY15 BY21:BY24">
    <cfRule type="cellIs" dxfId="32" priority="212" operator="equal">
      <formula>"?"</formula>
    </cfRule>
  </conditionalFormatting>
  <conditionalFormatting sqref="BZ4">
    <cfRule type="cellIs" dxfId="31" priority="39" operator="equal">
      <formula>"?"</formula>
    </cfRule>
  </conditionalFormatting>
  <conditionalFormatting sqref="CA3:CA4">
    <cfRule type="cellIs" dxfId="30" priority="24" operator="equal">
      <formula>"?"</formula>
    </cfRule>
  </conditionalFormatting>
  <conditionalFormatting sqref="CA6:CA10 CA12:CA13 CA15 CA21:CA24">
    <cfRule type="cellIs" dxfId="29" priority="211" operator="equal">
      <formula>"?"</formula>
    </cfRule>
  </conditionalFormatting>
  <conditionalFormatting sqref="CB4">
    <cfRule type="cellIs" dxfId="28" priority="37" operator="equal">
      <formula>"?"</formula>
    </cfRule>
  </conditionalFormatting>
  <conditionalFormatting sqref="CC3:CC4">
    <cfRule type="cellIs" dxfId="27" priority="23" operator="equal">
      <formula>"?"</formula>
    </cfRule>
  </conditionalFormatting>
  <conditionalFormatting sqref="CC6:CC10 CC12:CC13 CC15 CC21:CC24">
    <cfRule type="cellIs" dxfId="26" priority="210" operator="equal">
      <formula>"?"</formula>
    </cfRule>
  </conditionalFormatting>
  <conditionalFormatting sqref="CD4">
    <cfRule type="cellIs" dxfId="25" priority="35" operator="equal">
      <formula>"?"</formula>
    </cfRule>
  </conditionalFormatting>
  <conditionalFormatting sqref="CE3:CE4">
    <cfRule type="cellIs" dxfId="24" priority="22" operator="equal">
      <formula>"?"</formula>
    </cfRule>
  </conditionalFormatting>
  <conditionalFormatting sqref="CE6:CE13 CE15">
    <cfRule type="cellIs" dxfId="23" priority="209" operator="equal">
      <formula>"?"</formula>
    </cfRule>
  </conditionalFormatting>
  <conditionalFormatting sqref="CE18:CE24">
    <cfRule type="cellIs" dxfId="22" priority="21" operator="equal">
      <formula>"?"</formula>
    </cfRule>
  </conditionalFormatting>
  <conditionalFormatting sqref="CF24">
    <cfRule type="cellIs" dxfId="21" priority="20" operator="equal">
      <formula>"?"</formula>
    </cfRule>
  </conditionalFormatting>
  <conditionalFormatting sqref="CG3:CU26">
    <cfRule type="cellIs" dxfId="20" priority="85" operator="equal">
      <formula>"?"</formula>
    </cfRule>
  </conditionalFormatting>
  <conditionalFormatting sqref="CV3:CV21 CV23:CV26">
    <cfRule type="cellIs" dxfId="19" priority="118" operator="equal">
      <formula>"?"</formula>
    </cfRule>
  </conditionalFormatting>
  <conditionalFormatting sqref="CW3:CW26">
    <cfRule type="cellIs" dxfId="18" priority="200" operator="equal">
      <formula>"?"</formula>
    </cfRule>
  </conditionalFormatting>
  <conditionalFormatting sqref="CY3:DC26">
    <cfRule type="cellIs" dxfId="17" priority="120" operator="equal">
      <formula>"?"</formula>
    </cfRule>
  </conditionalFormatting>
  <conditionalFormatting sqref="DE3:DG26">
    <cfRule type="cellIs" dxfId="16" priority="115" operator="equal">
      <formula>"?"</formula>
    </cfRule>
  </conditionalFormatting>
  <conditionalFormatting sqref="DH4:DI6 DK4:DN6 DH7:DN26">
    <cfRule type="cellIs" dxfId="15" priority="126" operator="equal">
      <formula>"?"</formula>
    </cfRule>
  </conditionalFormatting>
  <conditionalFormatting sqref="DO3:DO27">
    <cfRule type="cellIs" dxfId="14" priority="194" operator="equal">
      <formula>"?"</formula>
    </cfRule>
  </conditionalFormatting>
  <conditionalFormatting sqref="EM3:GX26">
    <cfRule type="cellIs" dxfId="13" priority="133" operator="equal">
      <formula>"N"</formula>
    </cfRule>
    <cfRule type="cellIs" dxfId="12" priority="134" operator="equal">
      <formula>"Y"</formula>
    </cfRule>
  </conditionalFormatting>
  <conditionalFormatting sqref="EM27:GX27">
    <cfRule type="cellIs" dxfId="11" priority="17" operator="equal">
      <formula>"N"</formula>
    </cfRule>
    <cfRule type="cellIs" dxfId="10" priority="18" operator="equal">
      <formula>"Y"</formula>
    </cfRule>
  </conditionalFormatting>
  <conditionalFormatting sqref="U27 W27 Y27 AA27 AG27 AI27 AQ27 AS27 AU27 BG27 CW27">
    <cfRule type="cellIs" dxfId="9" priority="9" operator="equal">
      <formula>"?"</formula>
    </cfRule>
  </conditionalFormatting>
  <conditionalFormatting sqref="BC27:BF27">
    <cfRule type="cellIs" dxfId="8" priority="10" operator="equal">
      <formula>"?"</formula>
    </cfRule>
  </conditionalFormatting>
  <conditionalFormatting sqref="CV27">
    <cfRule type="cellIs" dxfId="7" priority="8" operator="equal">
      <formula>"?"</formula>
    </cfRule>
  </conditionalFormatting>
  <conditionalFormatting sqref="K27:L27">
    <cfRule type="cellIs" dxfId="6" priority="4" operator="equal">
      <formula>"?"</formula>
    </cfRule>
  </conditionalFormatting>
  <conditionalFormatting sqref="AM27:AO27">
    <cfRule type="cellIs" dxfId="5" priority="3" operator="equal">
      <formula>"?"</formula>
    </cfRule>
  </conditionalFormatting>
  <conditionalFormatting sqref="BI27:CF27">
    <cfRule type="cellIs" dxfId="4" priority="7" operator="equal">
      <formula>"?"</formula>
    </cfRule>
  </conditionalFormatting>
  <conditionalFormatting sqref="CG27:CU27">
    <cfRule type="cellIs" dxfId="3" priority="1" operator="equal">
      <formula>"?"</formula>
    </cfRule>
  </conditionalFormatting>
  <conditionalFormatting sqref="CY27:DC27">
    <cfRule type="cellIs" dxfId="2" priority="5" operator="equal">
      <formula>"?"</formula>
    </cfRule>
  </conditionalFormatting>
  <conditionalFormatting sqref="DE27:DG27">
    <cfRule type="cellIs" dxfId="1" priority="2" operator="equal">
      <formula>"?"</formula>
    </cfRule>
  </conditionalFormatting>
  <conditionalFormatting sqref="DH27:DN27">
    <cfRule type="cellIs" dxfId="0" priority="6" operator="equal">
      <formula>"?"</formula>
    </cfRule>
  </conditionalFormatting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99325B-0420-A141-A6A8-B31ACCCA9DE8}">
  <dimension ref="A13:C86"/>
  <sheetViews>
    <sheetView showGridLines="0" topLeftCell="A33" workbookViewId="0">
      <selection activeCell="A83" sqref="A83"/>
    </sheetView>
  </sheetViews>
  <sheetFormatPr baseColWidth="10" defaultColWidth="10.6640625" defaultRowHeight="15" x14ac:dyDescent="0.2"/>
  <cols>
    <col min="1" max="1" width="30.83203125" style="8" customWidth="1"/>
    <col min="2" max="2" width="167.5" bestFit="1" customWidth="1"/>
  </cols>
  <sheetData>
    <row r="13" spans="1:3" ht="18" customHeight="1" x14ac:dyDescent="0.2">
      <c r="A13" s="7" t="s">
        <v>164</v>
      </c>
      <c r="B13" s="7" t="s">
        <v>165</v>
      </c>
      <c r="C13" t="s">
        <v>166</v>
      </c>
    </row>
    <row r="14" spans="1:3" ht="18" customHeight="1" x14ac:dyDescent="0.2">
      <c r="A14" s="9" t="s">
        <v>167</v>
      </c>
      <c r="B14" s="9" t="s">
        <v>168</v>
      </c>
      <c r="C14" s="9" t="s">
        <v>169</v>
      </c>
    </row>
    <row r="15" spans="1:3" ht="18" customHeight="1" x14ac:dyDescent="0.2">
      <c r="A15" s="9" t="s">
        <v>170</v>
      </c>
      <c r="B15" s="9" t="s">
        <v>170</v>
      </c>
      <c r="C15" s="9" t="s">
        <v>169</v>
      </c>
    </row>
    <row r="16" spans="1:3" ht="18" customHeight="1" x14ac:dyDescent="0.2">
      <c r="A16" s="9" t="s">
        <v>171</v>
      </c>
      <c r="B16" s="9" t="s">
        <v>172</v>
      </c>
      <c r="C16" s="9" t="s">
        <v>173</v>
      </c>
    </row>
    <row r="17" spans="1:3" ht="18" customHeight="1" x14ac:dyDescent="0.2">
      <c r="A17" s="10" t="s">
        <v>174</v>
      </c>
      <c r="B17" s="10" t="s">
        <v>175</v>
      </c>
      <c r="C17" s="10" t="s">
        <v>173</v>
      </c>
    </row>
    <row r="18" spans="1:3" ht="18" customHeight="1" x14ac:dyDescent="0.2">
      <c r="A18" s="11" t="s">
        <v>176</v>
      </c>
      <c r="B18" s="11" t="s">
        <v>177</v>
      </c>
      <c r="C18" s="11" t="s">
        <v>173</v>
      </c>
    </row>
    <row r="19" spans="1:3" ht="18" customHeight="1" x14ac:dyDescent="0.2">
      <c r="A19" s="11" t="s">
        <v>178</v>
      </c>
      <c r="B19" s="11" t="s">
        <v>179</v>
      </c>
      <c r="C19" s="11" t="s">
        <v>173</v>
      </c>
    </row>
    <row r="20" spans="1:3" ht="18" customHeight="1" x14ac:dyDescent="0.2">
      <c r="A20" s="11" t="s">
        <v>180</v>
      </c>
      <c r="B20" s="11" t="s">
        <v>181</v>
      </c>
      <c r="C20" s="11" t="s">
        <v>173</v>
      </c>
    </row>
    <row r="21" spans="1:3" ht="18" customHeight="1" thickBot="1" x14ac:dyDescent="0.25">
      <c r="A21" s="11" t="s">
        <v>182</v>
      </c>
      <c r="B21" s="11" t="s">
        <v>183</v>
      </c>
      <c r="C21" s="11" t="s">
        <v>173</v>
      </c>
    </row>
    <row r="22" spans="1:3" ht="18" customHeight="1" thickBot="1" x14ac:dyDescent="0.25">
      <c r="A22" s="12" t="s">
        <v>184</v>
      </c>
      <c r="B22" s="12" t="s">
        <v>185</v>
      </c>
      <c r="C22" s="12" t="s">
        <v>173</v>
      </c>
    </row>
    <row r="23" spans="1:3" ht="18" customHeight="1" thickBot="1" x14ac:dyDescent="0.25">
      <c r="A23" s="12" t="s">
        <v>186</v>
      </c>
      <c r="B23" s="12" t="s">
        <v>187</v>
      </c>
      <c r="C23" s="12" t="s">
        <v>173</v>
      </c>
    </row>
    <row r="24" spans="1:3" ht="18" customHeight="1" thickBot="1" x14ac:dyDescent="0.25">
      <c r="A24" s="12" t="s">
        <v>188</v>
      </c>
      <c r="B24" s="12" t="s">
        <v>189</v>
      </c>
      <c r="C24" s="12" t="s">
        <v>173</v>
      </c>
    </row>
    <row r="25" spans="1:3" ht="18" customHeight="1" thickBot="1" x14ac:dyDescent="0.25">
      <c r="A25" s="13" t="s">
        <v>190</v>
      </c>
      <c r="B25" s="12" t="s">
        <v>191</v>
      </c>
      <c r="C25" s="13" t="s">
        <v>173</v>
      </c>
    </row>
    <row r="26" spans="1:3" ht="18" customHeight="1" thickBot="1" x14ac:dyDescent="0.25">
      <c r="A26" s="14" t="s">
        <v>79</v>
      </c>
      <c r="B26" s="15" t="s">
        <v>192</v>
      </c>
      <c r="C26" s="14" t="s">
        <v>173</v>
      </c>
    </row>
    <row r="27" spans="1:3" ht="18" customHeight="1" thickBot="1" x14ac:dyDescent="0.25">
      <c r="A27" s="14" t="s">
        <v>101</v>
      </c>
      <c r="B27" s="15" t="s">
        <v>193</v>
      </c>
      <c r="C27" s="14" t="s">
        <v>173</v>
      </c>
    </row>
    <row r="28" spans="1:3" ht="18" customHeight="1" x14ac:dyDescent="0.2">
      <c r="A28" s="14" t="s">
        <v>91</v>
      </c>
      <c r="B28" s="15" t="s">
        <v>194</v>
      </c>
      <c r="C28" s="14" t="s">
        <v>173</v>
      </c>
    </row>
    <row r="29" spans="1:3" ht="18" customHeight="1" x14ac:dyDescent="0.2">
      <c r="A29" s="14" t="s">
        <v>195</v>
      </c>
      <c r="B29" s="14" t="s">
        <v>196</v>
      </c>
      <c r="C29" s="14" t="s">
        <v>173</v>
      </c>
    </row>
    <row r="30" spans="1:3" ht="18" customHeight="1" x14ac:dyDescent="0.2">
      <c r="A30" s="16" t="s">
        <v>197</v>
      </c>
      <c r="B30" s="16" t="s">
        <v>198</v>
      </c>
      <c r="C30" s="16" t="s">
        <v>199</v>
      </c>
    </row>
    <row r="31" spans="1:3" ht="18" customHeight="1" x14ac:dyDescent="0.2">
      <c r="A31" s="16" t="s">
        <v>200</v>
      </c>
      <c r="B31" s="16" t="s">
        <v>201</v>
      </c>
      <c r="C31" s="16" t="s">
        <v>199</v>
      </c>
    </row>
    <row r="32" spans="1:3" ht="18" customHeight="1" x14ac:dyDescent="0.2">
      <c r="A32" s="16" t="s">
        <v>202</v>
      </c>
      <c r="B32" s="16" t="s">
        <v>203</v>
      </c>
      <c r="C32" s="16" t="s">
        <v>199</v>
      </c>
    </row>
    <row r="33" spans="1:3" ht="18" customHeight="1" x14ac:dyDescent="0.2">
      <c r="A33" s="17" t="s">
        <v>204</v>
      </c>
      <c r="B33" s="17" t="s">
        <v>205</v>
      </c>
      <c r="C33" s="17" t="s">
        <v>173</v>
      </c>
    </row>
    <row r="34" spans="1:3" ht="18" customHeight="1" x14ac:dyDescent="0.2">
      <c r="A34" s="17" t="s">
        <v>206</v>
      </c>
      <c r="B34" s="17" t="s">
        <v>207</v>
      </c>
      <c r="C34" s="17" t="s">
        <v>173</v>
      </c>
    </row>
    <row r="35" spans="1:3" ht="18" customHeight="1" thickBot="1" x14ac:dyDescent="0.25">
      <c r="A35" s="18" t="s">
        <v>208</v>
      </c>
      <c r="B35" s="18" t="s">
        <v>209</v>
      </c>
      <c r="C35" s="18" t="s">
        <v>210</v>
      </c>
    </row>
    <row r="36" spans="1:3" ht="18" customHeight="1" thickBot="1" x14ac:dyDescent="0.25">
      <c r="A36" s="19" t="s">
        <v>211</v>
      </c>
      <c r="B36" s="19" t="s">
        <v>212</v>
      </c>
      <c r="C36" s="19" t="s">
        <v>173</v>
      </c>
    </row>
    <row r="37" spans="1:3" ht="18" customHeight="1" x14ac:dyDescent="0.2">
      <c r="A37" s="19" t="s">
        <v>213</v>
      </c>
      <c r="B37" s="19" t="s">
        <v>214</v>
      </c>
      <c r="C37" s="19" t="s">
        <v>173</v>
      </c>
    </row>
    <row r="38" spans="1:3" ht="18" customHeight="1" x14ac:dyDescent="0.2">
      <c r="A38" s="20" t="s">
        <v>215</v>
      </c>
      <c r="B38" s="20" t="s">
        <v>216</v>
      </c>
      <c r="C38" s="20" t="s">
        <v>173</v>
      </c>
    </row>
    <row r="39" spans="1:3" ht="18" customHeight="1" x14ac:dyDescent="0.2">
      <c r="A39" s="20" t="s">
        <v>217</v>
      </c>
      <c r="B39" s="20" t="s">
        <v>218</v>
      </c>
      <c r="C39" s="20" t="s">
        <v>173</v>
      </c>
    </row>
    <row r="40" spans="1:3" ht="18" customHeight="1" x14ac:dyDescent="0.2">
      <c r="A40" s="20" t="s">
        <v>219</v>
      </c>
      <c r="B40" s="20" t="s">
        <v>220</v>
      </c>
      <c r="C40" s="20" t="s">
        <v>173</v>
      </c>
    </row>
    <row r="41" spans="1:3" ht="18" customHeight="1" x14ac:dyDescent="0.2">
      <c r="A41" s="20" t="s">
        <v>221</v>
      </c>
      <c r="B41" s="20" t="s">
        <v>222</v>
      </c>
      <c r="C41" s="20" t="s">
        <v>173</v>
      </c>
    </row>
    <row r="42" spans="1:3" ht="18" customHeight="1" x14ac:dyDescent="0.2">
      <c r="A42" s="20" t="s">
        <v>223</v>
      </c>
      <c r="B42" s="20" t="s">
        <v>224</v>
      </c>
      <c r="C42" s="20" t="s">
        <v>173</v>
      </c>
    </row>
    <row r="43" spans="1:3" ht="18" customHeight="1" x14ac:dyDescent="0.2">
      <c r="A43" s="20" t="s">
        <v>225</v>
      </c>
      <c r="B43" s="20" t="s">
        <v>226</v>
      </c>
      <c r="C43" s="20" t="s">
        <v>173</v>
      </c>
    </row>
    <row r="44" spans="1:3" ht="18" customHeight="1" x14ac:dyDescent="0.2">
      <c r="A44" s="20" t="s">
        <v>227</v>
      </c>
      <c r="B44" s="20" t="s">
        <v>228</v>
      </c>
      <c r="C44" s="20" t="s">
        <v>173</v>
      </c>
    </row>
    <row r="45" spans="1:3" ht="18" customHeight="1" x14ac:dyDescent="0.2">
      <c r="A45" s="20" t="s">
        <v>229</v>
      </c>
      <c r="B45" s="20" t="s">
        <v>230</v>
      </c>
      <c r="C45" s="20" t="s">
        <v>173</v>
      </c>
    </row>
    <row r="46" spans="1:3" ht="18" customHeight="1" x14ac:dyDescent="0.2">
      <c r="A46" s="20" t="s">
        <v>231</v>
      </c>
      <c r="B46" s="20" t="s">
        <v>232</v>
      </c>
      <c r="C46" s="20" t="s">
        <v>173</v>
      </c>
    </row>
    <row r="47" spans="1:3" ht="18" customHeight="1" x14ac:dyDescent="0.2">
      <c r="A47" s="20" t="s">
        <v>233</v>
      </c>
      <c r="B47" s="20" t="s">
        <v>234</v>
      </c>
      <c r="C47" s="20" t="s">
        <v>173</v>
      </c>
    </row>
    <row r="48" spans="1:3" ht="18" customHeight="1" x14ac:dyDescent="0.2">
      <c r="A48" s="20" t="s">
        <v>235</v>
      </c>
      <c r="B48" s="20" t="s">
        <v>236</v>
      </c>
      <c r="C48" s="20" t="s">
        <v>173</v>
      </c>
    </row>
    <row r="49" spans="1:3" ht="18" customHeight="1" x14ac:dyDescent="0.2">
      <c r="A49" s="20" t="s">
        <v>237</v>
      </c>
      <c r="B49" s="20" t="s">
        <v>238</v>
      </c>
      <c r="C49" s="20" t="s">
        <v>173</v>
      </c>
    </row>
    <row r="50" spans="1:3" ht="18" customHeight="1" x14ac:dyDescent="0.2">
      <c r="A50" s="20" t="s">
        <v>239</v>
      </c>
      <c r="B50" s="20" t="s">
        <v>240</v>
      </c>
      <c r="C50" s="20" t="s">
        <v>173</v>
      </c>
    </row>
    <row r="51" spans="1:3" ht="18" customHeight="1" x14ac:dyDescent="0.2">
      <c r="A51" s="21" t="s">
        <v>241</v>
      </c>
      <c r="B51" s="21" t="s">
        <v>242</v>
      </c>
      <c r="C51" s="21" t="s">
        <v>173</v>
      </c>
    </row>
    <row r="52" spans="1:3" ht="18" customHeight="1" x14ac:dyDescent="0.2">
      <c r="A52" s="21" t="s">
        <v>243</v>
      </c>
      <c r="B52" s="21" t="s">
        <v>244</v>
      </c>
      <c r="C52" s="21" t="s">
        <v>173</v>
      </c>
    </row>
    <row r="53" spans="1:3" ht="18" customHeight="1" x14ac:dyDescent="0.2">
      <c r="A53" s="22" t="s">
        <v>245</v>
      </c>
      <c r="B53" s="22" t="s">
        <v>246</v>
      </c>
      <c r="C53" s="22" t="s">
        <v>199</v>
      </c>
    </row>
    <row r="54" spans="1:3" ht="18" customHeight="1" x14ac:dyDescent="0.2">
      <c r="A54" s="22" t="s">
        <v>247</v>
      </c>
      <c r="B54" s="22" t="s">
        <v>248</v>
      </c>
      <c r="C54" s="22" t="s">
        <v>199</v>
      </c>
    </row>
    <row r="55" spans="1:3" ht="18" customHeight="1" x14ac:dyDescent="0.2">
      <c r="A55" s="22" t="s">
        <v>249</v>
      </c>
      <c r="B55" s="22" t="s">
        <v>250</v>
      </c>
      <c r="C55" s="22" t="s">
        <v>199</v>
      </c>
    </row>
    <row r="56" spans="1:3" ht="18" customHeight="1" x14ac:dyDescent="0.2">
      <c r="A56" s="22" t="s">
        <v>251</v>
      </c>
      <c r="B56" s="22" t="s">
        <v>252</v>
      </c>
      <c r="C56" s="22" t="s">
        <v>199</v>
      </c>
    </row>
    <row r="57" spans="1:3" ht="18" customHeight="1" x14ac:dyDescent="0.2">
      <c r="A57" s="23" t="s">
        <v>253</v>
      </c>
      <c r="B57" s="23" t="s">
        <v>254</v>
      </c>
      <c r="C57" s="23" t="s">
        <v>199</v>
      </c>
    </row>
    <row r="58" spans="1:3" ht="18" customHeight="1" x14ac:dyDescent="0.2">
      <c r="A58" s="23" t="s">
        <v>255</v>
      </c>
      <c r="B58" s="23" t="s">
        <v>256</v>
      </c>
      <c r="C58" s="23" t="s">
        <v>199</v>
      </c>
    </row>
    <row r="59" spans="1:3" ht="18" customHeight="1" x14ac:dyDescent="0.2">
      <c r="A59" s="23" t="s">
        <v>257</v>
      </c>
      <c r="B59" s="23" t="s">
        <v>258</v>
      </c>
      <c r="C59" s="23" t="s">
        <v>199</v>
      </c>
    </row>
    <row r="60" spans="1:3" ht="18" customHeight="1" x14ac:dyDescent="0.2">
      <c r="A60" s="11" t="s">
        <v>259</v>
      </c>
      <c r="B60" s="11" t="s">
        <v>258</v>
      </c>
      <c r="C60" s="11" t="s">
        <v>199</v>
      </c>
    </row>
    <row r="61" spans="1:3" ht="18" customHeight="1" x14ac:dyDescent="0.2">
      <c r="A61" s="11" t="s">
        <v>260</v>
      </c>
      <c r="B61" s="11" t="s">
        <v>258</v>
      </c>
      <c r="C61" s="11" t="s">
        <v>199</v>
      </c>
    </row>
    <row r="62" spans="1:3" ht="18" customHeight="1" x14ac:dyDescent="0.2">
      <c r="A62" s="11" t="s">
        <v>261</v>
      </c>
      <c r="B62" s="11" t="s">
        <v>258</v>
      </c>
      <c r="C62" s="11" t="s">
        <v>199</v>
      </c>
    </row>
    <row r="63" spans="1:3" ht="18" customHeight="1" x14ac:dyDescent="0.2">
      <c r="A63" s="11" t="s">
        <v>262</v>
      </c>
      <c r="B63" s="11" t="s">
        <v>258</v>
      </c>
      <c r="C63" s="11" t="s">
        <v>199</v>
      </c>
    </row>
    <row r="64" spans="1:3" ht="18" customHeight="1" x14ac:dyDescent="0.2">
      <c r="A64" s="11" t="s">
        <v>263</v>
      </c>
      <c r="B64" s="11" t="s">
        <v>258</v>
      </c>
      <c r="C64" s="11" t="s">
        <v>199</v>
      </c>
    </row>
    <row r="65" spans="1:3" ht="18" customHeight="1" x14ac:dyDescent="0.2">
      <c r="A65" s="24" t="s">
        <v>264</v>
      </c>
      <c r="B65" s="24" t="s">
        <v>258</v>
      </c>
      <c r="C65" s="24" t="s">
        <v>199</v>
      </c>
    </row>
    <row r="66" spans="1:3" ht="18" customHeight="1" x14ac:dyDescent="0.2">
      <c r="A66" s="24" t="s">
        <v>265</v>
      </c>
      <c r="B66" s="24" t="s">
        <v>258</v>
      </c>
      <c r="C66" s="24" t="s">
        <v>199</v>
      </c>
    </row>
    <row r="67" spans="1:3" ht="18" customHeight="1" x14ac:dyDescent="0.2">
      <c r="A67" s="25" t="s">
        <v>266</v>
      </c>
      <c r="B67" s="25" t="s">
        <v>267</v>
      </c>
      <c r="C67" s="25" t="s">
        <v>210</v>
      </c>
    </row>
    <row r="68" spans="1:3" ht="18" customHeight="1" x14ac:dyDescent="0.2">
      <c r="A68" s="25" t="s">
        <v>268</v>
      </c>
      <c r="B68" s="25" t="s">
        <v>267</v>
      </c>
      <c r="C68" s="25" t="s">
        <v>210</v>
      </c>
    </row>
    <row r="69" spans="1:3" ht="18" customHeight="1" x14ac:dyDescent="0.2">
      <c r="A69" s="25" t="s">
        <v>269</v>
      </c>
      <c r="B69" s="25" t="s">
        <v>267</v>
      </c>
      <c r="C69" s="25" t="s">
        <v>210</v>
      </c>
    </row>
    <row r="70" spans="1:3" ht="18" customHeight="1" x14ac:dyDescent="0.2">
      <c r="A70" s="25" t="s">
        <v>270</v>
      </c>
      <c r="B70" s="25" t="s">
        <v>267</v>
      </c>
      <c r="C70" s="25" t="s">
        <v>210</v>
      </c>
    </row>
    <row r="71" spans="1:3" ht="18" customHeight="1" x14ac:dyDescent="0.2">
      <c r="A71" s="25" t="s">
        <v>271</v>
      </c>
      <c r="B71" s="25" t="s">
        <v>267</v>
      </c>
      <c r="C71" s="25" t="s">
        <v>210</v>
      </c>
    </row>
    <row r="72" spans="1:3" ht="18" customHeight="1" x14ac:dyDescent="0.2">
      <c r="A72" s="25" t="s">
        <v>272</v>
      </c>
      <c r="B72" s="25" t="s">
        <v>267</v>
      </c>
      <c r="C72" s="25" t="s">
        <v>210</v>
      </c>
    </row>
    <row r="73" spans="1:3" ht="18" customHeight="1" x14ac:dyDescent="0.2">
      <c r="A73" s="25" t="s">
        <v>273</v>
      </c>
      <c r="B73" s="25" t="s">
        <v>267</v>
      </c>
      <c r="C73" s="25" t="s">
        <v>210</v>
      </c>
    </row>
    <row r="74" spans="1:3" ht="18" customHeight="1" x14ac:dyDescent="0.2">
      <c r="A74" s="25" t="s">
        <v>274</v>
      </c>
      <c r="B74" s="25" t="s">
        <v>267</v>
      </c>
      <c r="C74" s="25" t="s">
        <v>210</v>
      </c>
    </row>
    <row r="75" spans="1:3" ht="18" customHeight="1" x14ac:dyDescent="0.2">
      <c r="A75" s="25" t="s">
        <v>275</v>
      </c>
      <c r="B75" s="25" t="s">
        <v>267</v>
      </c>
      <c r="C75" s="25" t="s">
        <v>210</v>
      </c>
    </row>
    <row r="76" spans="1:3" ht="18" customHeight="1" x14ac:dyDescent="0.2">
      <c r="A76" s="25" t="s">
        <v>276</v>
      </c>
      <c r="B76" s="25" t="s">
        <v>267</v>
      </c>
      <c r="C76" s="25" t="s">
        <v>210</v>
      </c>
    </row>
    <row r="77" spans="1:3" ht="18" customHeight="1" x14ac:dyDescent="0.2">
      <c r="A77" s="25" t="s">
        <v>277</v>
      </c>
      <c r="B77" s="25" t="s">
        <v>278</v>
      </c>
      <c r="C77" s="25" t="s">
        <v>173</v>
      </c>
    </row>
    <row r="79" spans="1:3" x14ac:dyDescent="0.2">
      <c r="A79" s="7" t="s">
        <v>279</v>
      </c>
    </row>
    <row r="80" spans="1:3" x14ac:dyDescent="0.2">
      <c r="A80" s="8" t="s">
        <v>57</v>
      </c>
      <c r="B80" t="s">
        <v>280</v>
      </c>
    </row>
    <row r="81" spans="1:2" x14ac:dyDescent="0.2">
      <c r="A81" s="8" t="s">
        <v>85</v>
      </c>
      <c r="B81" t="s">
        <v>281</v>
      </c>
    </row>
    <row r="82" spans="1:2" x14ac:dyDescent="0.2">
      <c r="A82" s="8" t="s">
        <v>282</v>
      </c>
      <c r="B82" t="s">
        <v>283</v>
      </c>
    </row>
    <row r="83" spans="1:2" x14ac:dyDescent="0.2">
      <c r="A83" s="8" t="s">
        <v>284</v>
      </c>
      <c r="B83" t="s">
        <v>285</v>
      </c>
    </row>
    <row r="84" spans="1:2" x14ac:dyDescent="0.2">
      <c r="A84" s="8" t="s">
        <v>286</v>
      </c>
      <c r="B84" t="s">
        <v>287</v>
      </c>
    </row>
    <row r="85" spans="1:2" x14ac:dyDescent="0.2">
      <c r="A85" s="8" t="s">
        <v>288</v>
      </c>
      <c r="B85" t="s">
        <v>289</v>
      </c>
    </row>
    <row r="86" spans="1:2" x14ac:dyDescent="0.2">
      <c r="A86" s="8" t="s">
        <v>152</v>
      </c>
      <c r="B86" t="s">
        <v>290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5C858F-E30A-0A44-9AD1-41A82708CD81}">
  <dimension ref="A1:BC27"/>
  <sheetViews>
    <sheetView tabSelected="1" topLeftCell="Y1" workbookViewId="0">
      <selection activeCell="AB81" sqref="AB81"/>
    </sheetView>
  </sheetViews>
  <sheetFormatPr baseColWidth="10" defaultColWidth="10.83203125" defaultRowHeight="15" x14ac:dyDescent="0.2"/>
  <cols>
    <col min="1" max="11" width="10.83203125" style="8"/>
    <col min="12" max="12" width="11.83203125" style="8" customWidth="1"/>
    <col min="13" max="13" width="10.83203125" style="8"/>
    <col min="14" max="14" width="12.33203125" style="8" customWidth="1"/>
    <col min="15" max="22" width="10.83203125" style="8"/>
    <col min="23" max="37" width="16.33203125" style="8" customWidth="1"/>
    <col min="38" max="16384" width="10.83203125" style="8"/>
  </cols>
  <sheetData>
    <row r="1" spans="1:55" ht="48" x14ac:dyDescent="0.2">
      <c r="A1" s="31" t="s">
        <v>170</v>
      </c>
      <c r="B1" s="31" t="s">
        <v>171</v>
      </c>
      <c r="C1" s="31" t="s">
        <v>167</v>
      </c>
      <c r="D1" s="32" t="s">
        <v>174</v>
      </c>
      <c r="E1" s="32" t="s">
        <v>176</v>
      </c>
      <c r="F1" s="32" t="s">
        <v>178</v>
      </c>
      <c r="G1" s="32" t="s">
        <v>180</v>
      </c>
      <c r="H1" s="32" t="s">
        <v>182</v>
      </c>
      <c r="I1" s="32" t="s">
        <v>291</v>
      </c>
      <c r="J1" s="33" t="s">
        <v>79</v>
      </c>
      <c r="K1" s="33" t="s">
        <v>101</v>
      </c>
      <c r="L1" s="33" t="s">
        <v>91</v>
      </c>
      <c r="M1" s="33" t="s">
        <v>195</v>
      </c>
      <c r="N1" s="33" t="s">
        <v>15</v>
      </c>
      <c r="O1" s="34" t="s">
        <v>292</v>
      </c>
      <c r="P1" s="34" t="s">
        <v>200</v>
      </c>
      <c r="Q1" s="34" t="s">
        <v>293</v>
      </c>
      <c r="R1" s="35" t="s">
        <v>204</v>
      </c>
      <c r="S1" s="35" t="s">
        <v>206</v>
      </c>
      <c r="T1" s="36" t="s">
        <v>208</v>
      </c>
      <c r="U1" s="37" t="s">
        <v>294</v>
      </c>
      <c r="V1" s="37" t="s">
        <v>295</v>
      </c>
      <c r="W1" s="38" t="s">
        <v>215</v>
      </c>
      <c r="X1" s="38" t="s">
        <v>217</v>
      </c>
      <c r="Y1" s="38" t="s">
        <v>219</v>
      </c>
      <c r="Z1" s="38" t="s">
        <v>296</v>
      </c>
      <c r="AA1" s="38" t="s">
        <v>223</v>
      </c>
      <c r="AB1" s="38" t="s">
        <v>225</v>
      </c>
      <c r="AC1" s="38" t="s">
        <v>227</v>
      </c>
      <c r="AD1" s="38" t="s">
        <v>229</v>
      </c>
      <c r="AE1" s="38" t="s">
        <v>231</v>
      </c>
      <c r="AF1" s="38" t="s">
        <v>233</v>
      </c>
      <c r="AG1" s="38" t="s">
        <v>235</v>
      </c>
      <c r="AH1" s="38" t="s">
        <v>237</v>
      </c>
      <c r="AI1" s="38" t="s">
        <v>239</v>
      </c>
      <c r="AJ1" s="39" t="s">
        <v>241</v>
      </c>
      <c r="AK1" s="39" t="s">
        <v>243</v>
      </c>
      <c r="AL1" s="40" t="s">
        <v>297</v>
      </c>
      <c r="AM1" s="40" t="s">
        <v>298</v>
      </c>
      <c r="AN1" s="40" t="s">
        <v>299</v>
      </c>
      <c r="AO1" s="40" t="s">
        <v>300</v>
      </c>
      <c r="AP1" s="41" t="s">
        <v>301</v>
      </c>
      <c r="AQ1" s="41" t="s">
        <v>302</v>
      </c>
      <c r="AR1" s="41" t="s">
        <v>303</v>
      </c>
      <c r="AS1" s="32" t="s">
        <v>304</v>
      </c>
      <c r="AT1" s="32" t="s">
        <v>305</v>
      </c>
      <c r="AU1" s="32" t="s">
        <v>306</v>
      </c>
      <c r="AV1" s="32" t="s">
        <v>307</v>
      </c>
      <c r="AW1" s="32" t="s">
        <v>308</v>
      </c>
      <c r="AX1" s="42" t="s">
        <v>264</v>
      </c>
      <c r="AY1" s="42" t="s">
        <v>265</v>
      </c>
      <c r="AZ1" s="46" t="s">
        <v>309</v>
      </c>
      <c r="BA1" s="47" t="s">
        <v>310</v>
      </c>
      <c r="BB1" s="46" t="s">
        <v>311</v>
      </c>
      <c r="BC1" s="43" t="s">
        <v>277</v>
      </c>
    </row>
    <row r="2" spans="1:55" x14ac:dyDescent="0.2">
      <c r="A2" s="63" t="str">
        <f>Sheet1!A3</f>
        <v>Caton</v>
      </c>
      <c r="B2" s="63">
        <f>Sheet1!B3</f>
        <v>2005</v>
      </c>
      <c r="C2" s="8" t="str">
        <f>_xlfn.CONCAT(data!A2," ",data!B2)</f>
        <v>Caton 2005</v>
      </c>
      <c r="D2" s="8">
        <f>Sheet1!C3</f>
        <v>278</v>
      </c>
      <c r="E2" s="8">
        <f>Sheet1!E3</f>
        <v>108</v>
      </c>
      <c r="F2" s="8">
        <f>Sheet1!G3</f>
        <v>27.1</v>
      </c>
      <c r="G2" s="8">
        <f>Sheet1!I3</f>
        <v>30.1</v>
      </c>
      <c r="H2" s="8">
        <f>Sheet1!K3</f>
        <v>28.5</v>
      </c>
      <c r="I2" s="8">
        <f>Sheet1!O3</f>
        <v>56</v>
      </c>
      <c r="J2" s="8">
        <f>Sheet1!U3</f>
        <v>386</v>
      </c>
      <c r="K2" s="8">
        <f>Sheet1!W3</f>
        <v>0</v>
      </c>
      <c r="L2" s="8">
        <f>Sheet1!Y3</f>
        <v>0</v>
      </c>
      <c r="M2" s="8">
        <f>Sheet1!AA3</f>
        <v>0</v>
      </c>
      <c r="N2" s="8" t="str">
        <f>Sheet1!AC3</f>
        <v>A_and_E</v>
      </c>
      <c r="O2" s="64" t="str">
        <f>Sheet1!AF3</f>
        <v>n_am</v>
      </c>
      <c r="P2" s="8" t="str">
        <f>Sheet1!AI3</f>
        <v>yes</v>
      </c>
      <c r="Q2" s="8" t="str">
        <f>Sheet1!AK3</f>
        <v>yes</v>
      </c>
      <c r="R2" s="8">
        <f>Sheet1!AS3</f>
        <v>386</v>
      </c>
      <c r="S2" s="8">
        <f>Sheet1!AU3</f>
        <v>169</v>
      </c>
      <c r="T2" s="8" t="str">
        <f>Sheet1!AW3</f>
        <v>Single</v>
      </c>
      <c r="U2" s="8" t="str">
        <f>Sheet1!AY3</f>
        <v>NA</v>
      </c>
      <c r="V2" s="8">
        <f>Sheet1!BA3</f>
        <v>169</v>
      </c>
      <c r="W2" s="8" t="str">
        <f>Sheet1!BC3</f>
        <v>NA</v>
      </c>
      <c r="X2" s="8" t="str">
        <f>Sheet1!BE3</f>
        <v>NA</v>
      </c>
      <c r="Y2" s="8">
        <f>Sheet1!BG3</f>
        <v>169</v>
      </c>
      <c r="Z2" s="8" t="str">
        <f>Sheet1!BI3</f>
        <v>NA</v>
      </c>
      <c r="AA2" s="8" t="str">
        <f>Sheet1!BK3</f>
        <v>NA</v>
      </c>
      <c r="AB2" s="8" t="str">
        <f>Sheet1!BM3</f>
        <v>NA</v>
      </c>
      <c r="AC2" s="8" t="str">
        <f>Sheet1!BO3</f>
        <v>NA</v>
      </c>
      <c r="AD2" s="8" t="str">
        <f>Sheet1!BQ3</f>
        <v>NA</v>
      </c>
      <c r="AE2" s="8" t="str">
        <f>Sheet1!BS3</f>
        <v>NA</v>
      </c>
      <c r="AF2" s="8" t="str">
        <f>Sheet1!BU3</f>
        <v>NA</v>
      </c>
      <c r="AG2" s="8" t="str">
        <f>Sheet1!BW3</f>
        <v>NA</v>
      </c>
      <c r="AH2" s="8" t="str">
        <f>Sheet1!BY3</f>
        <v>NA</v>
      </c>
      <c r="AI2" s="8" t="str">
        <f>Sheet1!CA3</f>
        <v>NA</v>
      </c>
      <c r="AJ2" s="8" t="str">
        <f>Sheet1!CC3</f>
        <v>NA</v>
      </c>
      <c r="AK2" s="8" t="str">
        <f>Sheet1!CE3</f>
        <v>NA</v>
      </c>
      <c r="AL2" s="8" t="str">
        <f>Sheet1!CH3</f>
        <v>NS</v>
      </c>
      <c r="AM2" s="8" t="str">
        <f>Sheet1!CI3</f>
        <v>NS</v>
      </c>
      <c r="AN2" s="8" t="str">
        <f>Sheet1!CK3</f>
        <v>NS</v>
      </c>
      <c r="AO2" s="8" t="str">
        <f>Sheet1!CM3</f>
        <v>NS</v>
      </c>
      <c r="AP2" s="8" t="str">
        <f>Sheet1!CO3</f>
        <v>NS</v>
      </c>
      <c r="AQ2" s="8" t="str">
        <f>Sheet1!CQ3</f>
        <v>NS</v>
      </c>
      <c r="AR2" s="8" t="str">
        <f>Sheet1!CS3</f>
        <v>all</v>
      </c>
      <c r="AS2" s="8" t="str">
        <f>Sheet1!CU3</f>
        <v>all</v>
      </c>
      <c r="AT2" s="8" t="str">
        <f>Sheet1!CW3</f>
        <v>yes</v>
      </c>
      <c r="AU2" s="8" t="str">
        <f>Sheet1!CY3</f>
        <v>NS</v>
      </c>
      <c r="AV2" s="8" t="str">
        <f>Sheet1!DA3</f>
        <v>NS</v>
      </c>
      <c r="AW2" s="8" t="str">
        <f>Sheet1!DC3</f>
        <v>NS</v>
      </c>
      <c r="AX2" s="8" t="str">
        <f>Sheet1!DE3</f>
        <v>NS</v>
      </c>
      <c r="AY2" s="8" t="str">
        <f>Sheet1!DG3</f>
        <v>NS</v>
      </c>
      <c r="AZ2" s="8" t="str">
        <f>IF(Sheet1!DI3="Psychotic Disorder","yes","no")</f>
        <v>yes</v>
      </c>
      <c r="BA2" s="8" t="str">
        <f>Sheet1!DK3</f>
        <v>PRISM</v>
      </c>
      <c r="BB2" s="8" t="str">
        <f>Sheet1!DM3</f>
        <v>DSM-IV</v>
      </c>
      <c r="BC2" s="8">
        <f>Sheet1!EI3</f>
        <v>10</v>
      </c>
    </row>
    <row r="3" spans="1:55" x14ac:dyDescent="0.2">
      <c r="A3" s="63" t="str">
        <f>Sheet1!A4</f>
        <v>Correa-Oliveira</v>
      </c>
      <c r="B3" s="63">
        <f>Sheet1!B4</f>
        <v>2022</v>
      </c>
      <c r="C3" s="8" t="str">
        <f>_xlfn.CONCAT(data!A3," ",data!B3)</f>
        <v>Correa-Oliveira 2022</v>
      </c>
      <c r="D3" s="8">
        <f>Sheet1!C4</f>
        <v>152</v>
      </c>
      <c r="E3" s="8">
        <f>Sheet1!E4</f>
        <v>85</v>
      </c>
      <c r="F3" s="8" t="str">
        <f>Sheet1!G4</f>
        <v>NS</v>
      </c>
      <c r="G3" s="8" t="str">
        <f>Sheet1!I4</f>
        <v>NS</v>
      </c>
      <c r="H3" s="8">
        <f>Sheet1!K4</f>
        <v>23.5</v>
      </c>
      <c r="I3" s="8">
        <f>Sheet1!O4</f>
        <v>153</v>
      </c>
      <c r="J3" s="8">
        <f>Sheet1!U4</f>
        <v>0</v>
      </c>
      <c r="K3" s="8">
        <f>Sheet1!W4</f>
        <v>0</v>
      </c>
      <c r="L3" s="8">
        <f>Sheet1!Y4</f>
        <v>237</v>
      </c>
      <c r="M3" s="8">
        <f>Sheet1!AA4</f>
        <v>0</v>
      </c>
      <c r="N3" s="8" t="str">
        <f>Sheet1!AC4</f>
        <v>outpat_psych</v>
      </c>
      <c r="O3" s="64" t="str">
        <f>Sheet1!AF4</f>
        <v>s_am</v>
      </c>
      <c r="P3" s="8" t="str">
        <f>Sheet1!AI4</f>
        <v>no</v>
      </c>
      <c r="Q3" s="8" t="str">
        <f>Sheet1!AK4</f>
        <v>yes</v>
      </c>
      <c r="R3" s="8">
        <f>Sheet1!AS4</f>
        <v>237</v>
      </c>
      <c r="S3" s="8">
        <f>Sheet1!AU4</f>
        <v>84</v>
      </c>
      <c r="T3" s="8" t="str">
        <f>Sheet1!AW4</f>
        <v>Multiple</v>
      </c>
      <c r="U3" s="8">
        <f>Sheet1!AY4</f>
        <v>23</v>
      </c>
      <c r="V3" s="8">
        <f>Sheet1!BA4</f>
        <v>61</v>
      </c>
      <c r="W3" s="8" t="str">
        <f>Sheet1!BC4</f>
        <v>NA</v>
      </c>
      <c r="X3" s="8" t="str">
        <f>Sheet1!BE4</f>
        <v>NA</v>
      </c>
      <c r="Y3" s="8">
        <f>Sheet1!BG4</f>
        <v>61</v>
      </c>
      <c r="Z3" s="8" t="str">
        <f>Sheet1!BI4</f>
        <v>NA</v>
      </c>
      <c r="AA3" s="8" t="str">
        <f>Sheet1!BK4</f>
        <v>NA</v>
      </c>
      <c r="AB3" s="8" t="str">
        <f>Sheet1!BM4</f>
        <v>NA</v>
      </c>
      <c r="AC3" s="8" t="str">
        <f>Sheet1!BO4</f>
        <v>NA</v>
      </c>
      <c r="AD3" s="8" t="str">
        <f>Sheet1!BQ4</f>
        <v>NA</v>
      </c>
      <c r="AE3" s="8" t="str">
        <f>Sheet1!BS4</f>
        <v>NA</v>
      </c>
      <c r="AF3" s="8" t="str">
        <f>Sheet1!BU4</f>
        <v>NA</v>
      </c>
      <c r="AG3" s="8" t="str">
        <f>Sheet1!BW4</f>
        <v>NA</v>
      </c>
      <c r="AH3" s="8" t="str">
        <f>Sheet1!BY4</f>
        <v>NA</v>
      </c>
      <c r="AI3" s="8" t="str">
        <f>Sheet1!CA4</f>
        <v>NA</v>
      </c>
      <c r="AJ3" s="8" t="str">
        <f>Sheet1!CC4</f>
        <v>NA</v>
      </c>
      <c r="AK3" s="8">
        <f>Sheet1!CE4</f>
        <v>23</v>
      </c>
      <c r="AL3" s="8" t="str">
        <f>Sheet1!CH4</f>
        <v>NS</v>
      </c>
      <c r="AM3" s="8" t="str">
        <f>Sheet1!CI4</f>
        <v>all</v>
      </c>
      <c r="AN3" s="8" t="str">
        <f>Sheet1!CK4</f>
        <v>all</v>
      </c>
      <c r="AO3" s="8" t="str">
        <f>Sheet1!CM4</f>
        <v>NS</v>
      </c>
      <c r="AP3" s="8" t="str">
        <f>Sheet1!CO4</f>
        <v>NS</v>
      </c>
      <c r="AQ3" s="8" t="str">
        <f>Sheet1!CQ4</f>
        <v>all</v>
      </c>
      <c r="AR3" s="8" t="str">
        <f>Sheet1!CS4</f>
        <v>all</v>
      </c>
      <c r="AS3" s="8" t="str">
        <f>Sheet1!CU4</f>
        <v>all</v>
      </c>
      <c r="AT3" s="8" t="str">
        <f>Sheet1!CW4</f>
        <v>yes</v>
      </c>
      <c r="AU3" s="8" t="str">
        <f>Sheet1!CY4</f>
        <v>all</v>
      </c>
      <c r="AV3" s="8" t="str">
        <f>Sheet1!DA4</f>
        <v>NS</v>
      </c>
      <c r="AW3" s="8" t="str">
        <f>Sheet1!DC4</f>
        <v>NS</v>
      </c>
      <c r="AX3" s="8" t="str">
        <f>Sheet1!DE4</f>
        <v>NS</v>
      </c>
      <c r="AY3" s="8" t="str">
        <f>Sheet1!DG4</f>
        <v>NS</v>
      </c>
      <c r="AZ3" s="8" t="str">
        <f>IF(Sheet1!DI4="Psychotic Disorder","yes","no")</f>
        <v>yes</v>
      </c>
      <c r="BA3" s="8" t="str">
        <f>Sheet1!DK4</f>
        <v>SCID</v>
      </c>
      <c r="BB3" s="8" t="str">
        <f>Sheet1!DM4</f>
        <v>DSM-5</v>
      </c>
      <c r="BC3" s="8">
        <f>Sheet1!EI4</f>
        <v>10</v>
      </c>
    </row>
    <row r="4" spans="1:55" x14ac:dyDescent="0.2">
      <c r="A4" s="63" t="str">
        <f>Sheet1!A5</f>
        <v>Drake</v>
      </c>
      <c r="B4" s="63">
        <f>Sheet1!B5</f>
        <v>2011</v>
      </c>
      <c r="C4" s="8" t="str">
        <f>_xlfn.CONCAT(data!A4," ",data!B4)</f>
        <v>Drake 2011</v>
      </c>
      <c r="D4" s="8">
        <f>Sheet1!C5</f>
        <v>152</v>
      </c>
      <c r="E4" s="8">
        <f>Sheet1!E5</f>
        <v>99</v>
      </c>
      <c r="F4" s="8">
        <f>Sheet1!G5</f>
        <v>27.2</v>
      </c>
      <c r="G4" s="8">
        <f>Sheet1!I5</f>
        <v>30.4</v>
      </c>
      <c r="H4" s="8" t="str">
        <f>Sheet1!K5</f>
        <v>NS</v>
      </c>
      <c r="I4" s="8">
        <f>Sheet1!O5</f>
        <v>52</v>
      </c>
      <c r="J4" s="8">
        <f>Sheet1!U5</f>
        <v>351</v>
      </c>
      <c r="K4" s="8">
        <f>Sheet1!W5</f>
        <v>0</v>
      </c>
      <c r="L4" s="8">
        <f>Sheet1!Y5</f>
        <v>0</v>
      </c>
      <c r="M4" s="8">
        <f>Sheet1!AA5</f>
        <v>0</v>
      </c>
      <c r="N4" s="8" t="str">
        <f>Sheet1!AC5</f>
        <v>A_and_E</v>
      </c>
      <c r="O4" s="64" t="str">
        <f>Sheet1!AF5</f>
        <v>n_am</v>
      </c>
      <c r="P4" s="8" t="str">
        <f>Sheet1!AI5</f>
        <v>yes</v>
      </c>
      <c r="Q4" s="8" t="str">
        <f>Sheet1!AK5</f>
        <v>yes</v>
      </c>
      <c r="R4" s="8">
        <f>Sheet1!AS5</f>
        <v>351</v>
      </c>
      <c r="S4" s="8">
        <f>Sheet1!AU5</f>
        <v>134</v>
      </c>
      <c r="T4" s="8" t="str">
        <f>Sheet1!AW5</f>
        <v>Single</v>
      </c>
      <c r="U4" s="8" t="str">
        <f>Sheet1!AY5</f>
        <v>NA</v>
      </c>
      <c r="V4" s="8">
        <f>Sheet1!BA5</f>
        <v>134</v>
      </c>
      <c r="W4" s="8" t="str">
        <f>Sheet1!BC5</f>
        <v>NA</v>
      </c>
      <c r="X4" s="8" t="str">
        <f>Sheet1!BE5</f>
        <v>NA</v>
      </c>
      <c r="Y4" s="8">
        <f>Sheet1!BG5</f>
        <v>134</v>
      </c>
      <c r="Z4" s="8" t="str">
        <f>Sheet1!BI5</f>
        <v>NA</v>
      </c>
      <c r="AA4" s="8" t="str">
        <f>Sheet1!BK5</f>
        <v>NA</v>
      </c>
      <c r="AB4" s="8" t="str">
        <f>Sheet1!BM5</f>
        <v>NA</v>
      </c>
      <c r="AC4" s="8" t="str">
        <f>Sheet1!BO5</f>
        <v>NA</v>
      </c>
      <c r="AD4" s="8" t="str">
        <f>Sheet1!BQ5</f>
        <v>NA</v>
      </c>
      <c r="AE4" s="8" t="str">
        <f>Sheet1!BS5</f>
        <v>NA</v>
      </c>
      <c r="AF4" s="8" t="str">
        <f>Sheet1!BU5</f>
        <v>NA</v>
      </c>
      <c r="AG4" s="8" t="str">
        <f>Sheet1!BW5</f>
        <v>NA</v>
      </c>
      <c r="AH4" s="8" t="str">
        <f>Sheet1!BY5</f>
        <v>NA</v>
      </c>
      <c r="AI4" s="8" t="str">
        <f>Sheet1!CA5</f>
        <v>NA</v>
      </c>
      <c r="AJ4" s="8" t="str">
        <f>Sheet1!CC5</f>
        <v>NA</v>
      </c>
      <c r="AK4" s="8" t="str">
        <f>Sheet1!CE5</f>
        <v>NA</v>
      </c>
      <c r="AL4" s="8" t="str">
        <f>Sheet1!CH5</f>
        <v>NS</v>
      </c>
      <c r="AM4" s="8" t="str">
        <f>Sheet1!CI5</f>
        <v>NS</v>
      </c>
      <c r="AN4" s="8" t="str">
        <f>Sheet1!CK5</f>
        <v>NS</v>
      </c>
      <c r="AO4" s="8" t="str">
        <f>Sheet1!CM5</f>
        <v>NS</v>
      </c>
      <c r="AP4" s="8" t="str">
        <f>Sheet1!CO5</f>
        <v>NS</v>
      </c>
      <c r="AQ4" s="8" t="str">
        <f>Sheet1!CQ5</f>
        <v>NS</v>
      </c>
      <c r="AR4" s="8" t="str">
        <f>Sheet1!CS5</f>
        <v>all</v>
      </c>
      <c r="AS4" s="8" t="str">
        <f>Sheet1!CU5</f>
        <v>all</v>
      </c>
      <c r="AT4" s="8" t="str">
        <f>Sheet1!CW5</f>
        <v>yes</v>
      </c>
      <c r="AU4" s="8" t="str">
        <f>Sheet1!CY5</f>
        <v>NS</v>
      </c>
      <c r="AV4" s="8" t="str">
        <f>Sheet1!DA5</f>
        <v>NS</v>
      </c>
      <c r="AW4" s="8" t="str">
        <f>Sheet1!DC5</f>
        <v>NS</v>
      </c>
      <c r="AX4" s="8" t="str">
        <f>Sheet1!DE5</f>
        <v>NS</v>
      </c>
      <c r="AY4" s="8" t="str">
        <f>Sheet1!DG5</f>
        <v>NS</v>
      </c>
      <c r="AZ4" s="8" t="str">
        <f>IF(Sheet1!DI5="Psychotic Disorder","yes","no")</f>
        <v>yes</v>
      </c>
      <c r="BA4" s="8" t="str">
        <f>Sheet1!DK5</f>
        <v>PRISM</v>
      </c>
      <c r="BB4" s="8" t="str">
        <f>Sheet1!DM5</f>
        <v>DSM-IV</v>
      </c>
      <c r="BC4" s="8">
        <f>Sheet1!EI5</f>
        <v>10</v>
      </c>
    </row>
    <row r="5" spans="1:55" x14ac:dyDescent="0.2">
      <c r="A5" s="63" t="str">
        <f>Sheet1!A6</f>
        <v>Endres</v>
      </c>
      <c r="B5" s="63">
        <f>Sheet1!B6</f>
        <v>2020</v>
      </c>
      <c r="C5" s="8" t="str">
        <f>_xlfn.CONCAT(data!A5," ",data!B5)</f>
        <v>Endres 2020</v>
      </c>
      <c r="D5" s="8">
        <f>Sheet1!C6</f>
        <v>32</v>
      </c>
      <c r="E5" s="8">
        <f>Sheet1!E6</f>
        <v>44</v>
      </c>
      <c r="F5" s="8" t="str">
        <f>Sheet1!G6</f>
        <v>NS</v>
      </c>
      <c r="G5" s="8" t="str">
        <f>Sheet1!I6</f>
        <v>NS</v>
      </c>
      <c r="H5" s="8">
        <f>Sheet1!K6</f>
        <v>37.22</v>
      </c>
      <c r="I5" s="8" t="str">
        <f>Sheet1!O6</f>
        <v>NS</v>
      </c>
      <c r="J5" s="8">
        <f>Sheet1!U6</f>
        <v>0</v>
      </c>
      <c r="K5" s="8">
        <f>Sheet1!W6</f>
        <v>76</v>
      </c>
      <c r="L5" s="8">
        <f>Sheet1!Y6</f>
        <v>0</v>
      </c>
      <c r="M5" s="8">
        <f>Sheet1!AA6</f>
        <v>0</v>
      </c>
      <c r="N5" s="8" t="str">
        <f>Sheet1!AC6</f>
        <v>inpat_psych</v>
      </c>
      <c r="O5" s="64" t="str">
        <f>Sheet1!AF6</f>
        <v>euro</v>
      </c>
      <c r="P5" s="8" t="str">
        <f>Sheet1!AI6</f>
        <v>no</v>
      </c>
      <c r="Q5" s="8" t="str">
        <f>Sheet1!AK6</f>
        <v>no</v>
      </c>
      <c r="R5" s="8">
        <f>Sheet1!AS6</f>
        <v>76</v>
      </c>
      <c r="S5" s="8">
        <f>Sheet1!AU6</f>
        <v>4</v>
      </c>
      <c r="T5" s="8" t="str">
        <f>Sheet1!AW6</f>
        <v>Multiple</v>
      </c>
      <c r="U5" s="8">
        <f>Sheet1!AY6</f>
        <v>3</v>
      </c>
      <c r="V5" s="8">
        <f>Sheet1!BA6</f>
        <v>1</v>
      </c>
      <c r="W5" s="8">
        <f>Sheet1!BC6</f>
        <v>3</v>
      </c>
      <c r="X5" s="8">
        <f>Sheet1!BE6</f>
        <v>0</v>
      </c>
      <c r="Y5" s="8">
        <f>Sheet1!BG6</f>
        <v>1</v>
      </c>
      <c r="Z5" s="8">
        <f>Sheet1!BI6</f>
        <v>0</v>
      </c>
      <c r="AA5" s="8">
        <f>Sheet1!BK6</f>
        <v>0</v>
      </c>
      <c r="AB5" s="8">
        <f>Sheet1!BM6</f>
        <v>0</v>
      </c>
      <c r="AC5" s="8">
        <f>Sheet1!BO6</f>
        <v>0</v>
      </c>
      <c r="AD5" s="8">
        <f>Sheet1!BQ6</f>
        <v>0</v>
      </c>
      <c r="AE5" s="8">
        <f>Sheet1!BS6</f>
        <v>0</v>
      </c>
      <c r="AF5" s="8">
        <f>Sheet1!BU6</f>
        <v>0</v>
      </c>
      <c r="AG5" s="8">
        <f>Sheet1!BW6</f>
        <v>0</v>
      </c>
      <c r="AH5" s="8">
        <f>Sheet1!BY6</f>
        <v>0</v>
      </c>
      <c r="AI5" s="8">
        <f>Sheet1!CA6</f>
        <v>0</v>
      </c>
      <c r="AJ5" s="8">
        <f>Sheet1!CC6</f>
        <v>0</v>
      </c>
      <c r="AK5" s="8">
        <f>Sheet1!CE6</f>
        <v>0</v>
      </c>
      <c r="AL5" s="8" t="str">
        <f>Sheet1!CH6</f>
        <v>all</v>
      </c>
      <c r="AM5" s="8" t="str">
        <f>Sheet1!CI6</f>
        <v>NS</v>
      </c>
      <c r="AN5" s="8" t="str">
        <f>Sheet1!CK6</f>
        <v>NS</v>
      </c>
      <c r="AO5" s="8" t="str">
        <f>Sheet1!CM6</f>
        <v>all</v>
      </c>
      <c r="AP5" s="8" t="str">
        <f>Sheet1!CO6</f>
        <v>all</v>
      </c>
      <c r="AQ5" s="8" t="str">
        <f>Sheet1!CQ6</f>
        <v>all</v>
      </c>
      <c r="AR5" s="8" t="str">
        <f>Sheet1!CS6</f>
        <v>all</v>
      </c>
      <c r="AS5" s="8" t="str">
        <f>Sheet1!CU6</f>
        <v>all</v>
      </c>
      <c r="AT5" s="8" t="str">
        <f>Sheet1!CW6</f>
        <v>NS</v>
      </c>
      <c r="AU5" s="8" t="str">
        <f>Sheet1!CY6</f>
        <v>NS</v>
      </c>
      <c r="AV5" s="8" t="str">
        <f>Sheet1!DA6</f>
        <v>NS</v>
      </c>
      <c r="AW5" s="8" t="str">
        <f>Sheet1!DC6</f>
        <v>NS</v>
      </c>
      <c r="AX5" s="8" t="str">
        <f>Sheet1!DE6</f>
        <v>NS</v>
      </c>
      <c r="AY5" s="8" t="str">
        <f>Sheet1!DG6</f>
        <v>NS</v>
      </c>
      <c r="AZ5" s="8" t="str">
        <f>IF(Sheet1!DI6="Psychotic Disorder","yes","no")</f>
        <v>yes</v>
      </c>
      <c r="BA5" s="8" t="str">
        <f>Sheet1!DK6</f>
        <v>NS</v>
      </c>
      <c r="BB5" s="8" t="str">
        <f>Sheet1!DM6</f>
        <v>ICD-10</v>
      </c>
      <c r="BC5" s="8">
        <f>Sheet1!EI6</f>
        <v>10</v>
      </c>
    </row>
    <row r="6" spans="1:55" x14ac:dyDescent="0.2">
      <c r="A6" s="63" t="str">
        <f>Sheet1!A7</f>
        <v>Etlouba</v>
      </c>
      <c r="B6" s="63">
        <f>Sheet1!B7</f>
        <v>2018</v>
      </c>
      <c r="C6" s="8" t="str">
        <f>_xlfn.CONCAT(data!A6," ",data!B6)</f>
        <v>Etlouba 2018</v>
      </c>
      <c r="D6" s="8">
        <f>Sheet1!C7</f>
        <v>95</v>
      </c>
      <c r="E6" s="8">
        <f>Sheet1!E7</f>
        <v>64</v>
      </c>
      <c r="F6" s="8">
        <f>Sheet1!G7</f>
        <v>28.7</v>
      </c>
      <c r="G6" s="8" t="str">
        <f>Sheet1!I7</f>
        <v>NS</v>
      </c>
      <c r="H6" s="8">
        <f>Sheet1!K7</f>
        <v>34.299999999999997</v>
      </c>
      <c r="I6" s="8">
        <f>Sheet1!O7</f>
        <v>5</v>
      </c>
      <c r="J6" s="8">
        <f>Sheet1!U7</f>
        <v>159</v>
      </c>
      <c r="K6" s="8">
        <f>Sheet1!W7</f>
        <v>0</v>
      </c>
      <c r="L6" s="8">
        <f>Sheet1!Y7</f>
        <v>0</v>
      </c>
      <c r="M6" s="8">
        <f>Sheet1!AA7</f>
        <v>0</v>
      </c>
      <c r="N6" s="8" t="str">
        <f>Sheet1!AC7</f>
        <v>A_and_E</v>
      </c>
      <c r="O6" s="64" t="str">
        <f>Sheet1!AF7</f>
        <v>afri</v>
      </c>
      <c r="P6" s="8" t="str">
        <f>Sheet1!AI7</f>
        <v>no</v>
      </c>
      <c r="Q6" s="8" t="str">
        <f>Sheet1!AK7</f>
        <v>yes</v>
      </c>
      <c r="R6" s="8">
        <f>Sheet1!AS7</f>
        <v>159</v>
      </c>
      <c r="S6" s="8">
        <f>Sheet1!AU7</f>
        <v>124</v>
      </c>
      <c r="T6" s="8" t="str">
        <f>Sheet1!AW7</f>
        <v>Multiple</v>
      </c>
      <c r="U6" s="8">
        <f>Sheet1!AY7</f>
        <v>87</v>
      </c>
      <c r="V6" s="8">
        <f>Sheet1!BA7</f>
        <v>37</v>
      </c>
      <c r="W6" s="8">
        <f>Sheet1!BC7</f>
        <v>0</v>
      </c>
      <c r="X6" s="8">
        <f>Sheet1!BE7</f>
        <v>0</v>
      </c>
      <c r="Y6" s="8">
        <f>Sheet1!BG7</f>
        <v>37</v>
      </c>
      <c r="Z6" s="8">
        <f>Sheet1!BI7</f>
        <v>0</v>
      </c>
      <c r="AA6" s="8">
        <f>Sheet1!BK7</f>
        <v>2</v>
      </c>
      <c r="AB6" s="8">
        <f>Sheet1!BM7</f>
        <v>0</v>
      </c>
      <c r="AC6" s="8">
        <f>Sheet1!BO7</f>
        <v>4</v>
      </c>
      <c r="AD6" s="8">
        <f>Sheet1!BQ7</f>
        <v>0</v>
      </c>
      <c r="AE6" s="8">
        <f>Sheet1!BS7</f>
        <v>75</v>
      </c>
      <c r="AF6" s="8">
        <f>Sheet1!BU7</f>
        <v>0</v>
      </c>
      <c r="AG6" s="8">
        <f>Sheet1!BW7</f>
        <v>0</v>
      </c>
      <c r="AH6" s="8">
        <f>Sheet1!BY7</f>
        <v>3</v>
      </c>
      <c r="AI6" s="8">
        <f>Sheet1!CA7</f>
        <v>2</v>
      </c>
      <c r="AJ6" s="8">
        <f>Sheet1!CC7</f>
        <v>1</v>
      </c>
      <c r="AK6" s="8">
        <f>Sheet1!CE7</f>
        <v>0</v>
      </c>
      <c r="AL6" s="8" t="str">
        <f>Sheet1!CH7</f>
        <v>NS</v>
      </c>
      <c r="AM6" s="8" t="str">
        <f>Sheet1!CI7</f>
        <v>yes - NS</v>
      </c>
      <c r="AN6" s="8" t="str">
        <f>Sheet1!CK7</f>
        <v>yes - NS</v>
      </c>
      <c r="AO6" s="8" t="str">
        <f>Sheet1!CM7</f>
        <v>NS</v>
      </c>
      <c r="AP6" s="8" t="str">
        <f>Sheet1!CO7</f>
        <v>yes - NS</v>
      </c>
      <c r="AQ6" s="8" t="str">
        <f>Sheet1!CQ7</f>
        <v>yes - NS</v>
      </c>
      <c r="AR6" s="8" t="str">
        <f>Sheet1!CS7</f>
        <v>yes - NS</v>
      </c>
      <c r="AS6" s="8" t="str">
        <f>Sheet1!CU7</f>
        <v>all</v>
      </c>
      <c r="AT6" s="8" t="str">
        <f>Sheet1!CW7</f>
        <v>NS</v>
      </c>
      <c r="AU6" s="8" t="str">
        <f>Sheet1!CY7</f>
        <v>all</v>
      </c>
      <c r="AV6" s="8" t="str">
        <f>Sheet1!DA7</f>
        <v>NS</v>
      </c>
      <c r="AW6" s="8" t="str">
        <f>Sheet1!DC7</f>
        <v>NS</v>
      </c>
      <c r="AX6" s="8" t="str">
        <f>Sheet1!DE7</f>
        <v>X-ray (yes-NS)</v>
      </c>
      <c r="AY6" s="8" t="str">
        <f>Sheet1!DG7</f>
        <v>NS</v>
      </c>
      <c r="AZ6" s="8" t="str">
        <f>IF(Sheet1!DI7="Psychotic Disorder","yes","no")</f>
        <v>no</v>
      </c>
      <c r="BA6" s="8" t="str">
        <f>Sheet1!DK7</f>
        <v>NS</v>
      </c>
      <c r="BB6" s="8" t="str">
        <f>Sheet1!DM7</f>
        <v>NS</v>
      </c>
      <c r="BC6" s="8">
        <f>Sheet1!EI7</f>
        <v>10</v>
      </c>
    </row>
    <row r="7" spans="1:55" x14ac:dyDescent="0.2">
      <c r="A7" s="63" t="str">
        <f>Sheet1!A8</f>
        <v>Funayama</v>
      </c>
      <c r="B7" s="63">
        <f>Sheet1!B8</f>
        <v>2022</v>
      </c>
      <c r="C7" s="8" t="str">
        <f>_xlfn.CONCAT(data!A7," ",data!B7)</f>
        <v>Funayama 2022</v>
      </c>
      <c r="D7" s="8">
        <f>Sheet1!C8</f>
        <v>68</v>
      </c>
      <c r="E7" s="8">
        <f>Sheet1!E8</f>
        <v>119</v>
      </c>
      <c r="F7" s="8">
        <f>Sheet1!G8</f>
        <v>36.700000000000003</v>
      </c>
      <c r="G7" s="8">
        <f>Sheet1!I8</f>
        <v>32.299999999999997</v>
      </c>
      <c r="H7" s="8" t="str">
        <f>Sheet1!K8</f>
        <v>NS</v>
      </c>
      <c r="I7" s="8" t="str">
        <f>Sheet1!O8</f>
        <v>NS</v>
      </c>
      <c r="J7" s="8">
        <f>Sheet1!U8</f>
        <v>0</v>
      </c>
      <c r="K7" s="8">
        <f>Sheet1!W8</f>
        <v>187</v>
      </c>
      <c r="L7" s="8">
        <f>Sheet1!Y8</f>
        <v>0</v>
      </c>
      <c r="M7" s="8">
        <f>Sheet1!AA8</f>
        <v>0</v>
      </c>
      <c r="N7" s="8" t="str">
        <f>Sheet1!AC8</f>
        <v>inpat_psych</v>
      </c>
      <c r="O7" s="64" t="str">
        <f>Sheet1!AF8</f>
        <v>asia</v>
      </c>
      <c r="P7" s="8" t="str">
        <f>Sheet1!AI8</f>
        <v>no</v>
      </c>
      <c r="Q7" s="8" t="str">
        <f>Sheet1!AK8</f>
        <v>yes</v>
      </c>
      <c r="R7" s="8">
        <f>Sheet1!AS8</f>
        <v>187</v>
      </c>
      <c r="S7" s="8">
        <f>Sheet1!AU8</f>
        <v>10</v>
      </c>
      <c r="T7" s="8" t="str">
        <f>Sheet1!AW8</f>
        <v>Single</v>
      </c>
      <c r="U7" s="8">
        <f>Sheet1!AY8</f>
        <v>10</v>
      </c>
      <c r="V7" s="8" t="str">
        <f>Sheet1!BA8</f>
        <v>NA</v>
      </c>
      <c r="W7" s="8">
        <f>Sheet1!BC8</f>
        <v>10</v>
      </c>
      <c r="X7" s="8" t="str">
        <f>Sheet1!BE8</f>
        <v>NA</v>
      </c>
      <c r="Y7" s="8" t="str">
        <f>Sheet1!BG8</f>
        <v>NA</v>
      </c>
      <c r="Z7" s="8" t="str">
        <f>Sheet1!BI8</f>
        <v>NA</v>
      </c>
      <c r="AA7" s="8" t="str">
        <f>Sheet1!BK8</f>
        <v>NA</v>
      </c>
      <c r="AB7" s="8" t="str">
        <f>Sheet1!BM8</f>
        <v>NA</v>
      </c>
      <c r="AC7" s="8" t="str">
        <f>Sheet1!BO8</f>
        <v>NA</v>
      </c>
      <c r="AD7" s="8" t="str">
        <f>Sheet1!BQ8</f>
        <v>NA</v>
      </c>
      <c r="AE7" s="8" t="str">
        <f>Sheet1!BS8</f>
        <v>NA</v>
      </c>
      <c r="AF7" s="8" t="str">
        <f>Sheet1!BU8</f>
        <v>NA</v>
      </c>
      <c r="AG7" s="8" t="str">
        <f>Sheet1!BW8</f>
        <v>NA</v>
      </c>
      <c r="AH7" s="8" t="str">
        <f>Sheet1!BY8</f>
        <v>NA</v>
      </c>
      <c r="AI7" s="8" t="str">
        <f>Sheet1!CA8</f>
        <v>NA</v>
      </c>
      <c r="AJ7" s="8" t="str">
        <f>Sheet1!CC8</f>
        <v>NA</v>
      </c>
      <c r="AK7" s="8" t="str">
        <f>Sheet1!CE8</f>
        <v>NA</v>
      </c>
      <c r="AL7" s="8" t="str">
        <f>Sheet1!CH8</f>
        <v>yes - NS</v>
      </c>
      <c r="AM7" s="8" t="str">
        <f>Sheet1!CI8</f>
        <v>NS</v>
      </c>
      <c r="AN7" s="8" t="str">
        <f>Sheet1!CK8</f>
        <v>NS</v>
      </c>
      <c r="AO7" s="8" t="str">
        <f>Sheet1!CM8</f>
        <v>yes - NS</v>
      </c>
      <c r="AP7" s="8" t="str">
        <f>Sheet1!CO8</f>
        <v>yes - NS</v>
      </c>
      <c r="AQ7" s="8" t="str">
        <f>Sheet1!CQ8</f>
        <v>all</v>
      </c>
      <c r="AR7" s="8" t="str">
        <f>Sheet1!CS8</f>
        <v>NS</v>
      </c>
      <c r="AS7" s="8" t="str">
        <f>Sheet1!CU8</f>
        <v>all</v>
      </c>
      <c r="AT7" s="8" t="str">
        <f>Sheet1!CW8</f>
        <v>NS</v>
      </c>
      <c r="AU7" s="8" t="str">
        <f>Sheet1!CY8</f>
        <v>all</v>
      </c>
      <c r="AV7" s="8" t="str">
        <f>Sheet1!DA8</f>
        <v>all</v>
      </c>
      <c r="AW7" s="8" t="str">
        <f>Sheet1!DC8</f>
        <v>no</v>
      </c>
      <c r="AX7" s="8" t="str">
        <f>Sheet1!DE8</f>
        <v>NS</v>
      </c>
      <c r="AY7" s="8" t="str">
        <f>Sheet1!DG8</f>
        <v>NS</v>
      </c>
      <c r="AZ7" s="8" t="str">
        <f>IF(Sheet1!DI8="Psychotic Disorder","yes","no")</f>
        <v>no</v>
      </c>
      <c r="BA7" s="8" t="str">
        <f>Sheet1!DK8</f>
        <v>NS</v>
      </c>
      <c r="BB7" s="8" t="str">
        <f>Sheet1!DM8</f>
        <v>ICD-10</v>
      </c>
      <c r="BC7" s="8">
        <f>Sheet1!EI8</f>
        <v>10</v>
      </c>
    </row>
    <row r="8" spans="1:55" x14ac:dyDescent="0.2">
      <c r="A8" s="63" t="str">
        <f>Sheet1!A9</f>
        <v>Giannitelli</v>
      </c>
      <c r="B8" s="63">
        <f>Sheet1!B9</f>
        <v>2018</v>
      </c>
      <c r="C8" s="8" t="str">
        <f>_xlfn.CONCAT(data!A8," ",data!B8)</f>
        <v>Giannitelli 2018</v>
      </c>
      <c r="D8" s="8" t="str">
        <f>Sheet1!C9</f>
        <v>NS</v>
      </c>
      <c r="E8" s="8" t="str">
        <f>Sheet1!E9</f>
        <v>NS</v>
      </c>
      <c r="F8" s="8" t="str">
        <f>Sheet1!G9</f>
        <v>NS</v>
      </c>
      <c r="G8" s="8" t="str">
        <f>Sheet1!I9</f>
        <v>NS</v>
      </c>
      <c r="H8" s="8" t="str">
        <f>Sheet1!K9</f>
        <v>NS</v>
      </c>
      <c r="I8" s="8" t="str">
        <f>Sheet1!O9</f>
        <v>NS</v>
      </c>
      <c r="J8" s="8">
        <f>Sheet1!U9</f>
        <v>160</v>
      </c>
      <c r="K8" s="8" t="str">
        <f>Sheet1!W9</f>
        <v>NS</v>
      </c>
      <c r="L8" s="8" t="str">
        <f>Sheet1!Y9</f>
        <v>NS</v>
      </c>
      <c r="M8" s="8" t="str">
        <f>Sheet1!AA9</f>
        <v>NS</v>
      </c>
      <c r="N8" s="8">
        <f>Sheet1!AC9</f>
        <v>0</v>
      </c>
      <c r="O8" s="64" t="str">
        <f>Sheet1!AF9</f>
        <v>euro</v>
      </c>
      <c r="P8" s="8" t="str">
        <f>Sheet1!AI9</f>
        <v>no</v>
      </c>
      <c r="Q8" s="8" t="str">
        <f>Sheet1!AK9</f>
        <v>NS</v>
      </c>
      <c r="R8" s="8">
        <f>Sheet1!AS9</f>
        <v>160</v>
      </c>
      <c r="S8" s="8">
        <f>Sheet1!AU9</f>
        <v>20</v>
      </c>
      <c r="T8" s="8" t="str">
        <f>Sheet1!AW9</f>
        <v>Multiple</v>
      </c>
      <c r="U8" s="8">
        <f>Sheet1!AY9</f>
        <v>20</v>
      </c>
      <c r="V8" s="8">
        <f>Sheet1!BA9</f>
        <v>0</v>
      </c>
      <c r="W8" s="8">
        <f>Sheet1!BC9</f>
        <v>3</v>
      </c>
      <c r="X8" s="8">
        <f>Sheet1!BE9</f>
        <v>15</v>
      </c>
      <c r="Y8" s="8">
        <f>Sheet1!BG9</f>
        <v>0</v>
      </c>
      <c r="Z8" s="8">
        <f>Sheet1!BI9</f>
        <v>0</v>
      </c>
      <c r="AA8" s="8">
        <f>Sheet1!BK9</f>
        <v>0</v>
      </c>
      <c r="AB8" s="8">
        <f>Sheet1!BM9</f>
        <v>2</v>
      </c>
      <c r="AC8" s="8">
        <f>Sheet1!BO9</f>
        <v>0</v>
      </c>
      <c r="AD8" s="8">
        <f>Sheet1!BQ9</f>
        <v>0</v>
      </c>
      <c r="AE8" s="8">
        <f>Sheet1!BS9</f>
        <v>0</v>
      </c>
      <c r="AF8" s="8">
        <f>Sheet1!BU9</f>
        <v>0</v>
      </c>
      <c r="AG8" s="8">
        <f>Sheet1!BW9</f>
        <v>0</v>
      </c>
      <c r="AH8" s="8">
        <f>Sheet1!BY9</f>
        <v>0</v>
      </c>
      <c r="AI8" s="8">
        <f>Sheet1!CA9</f>
        <v>0</v>
      </c>
      <c r="AJ8" s="8">
        <f>Sheet1!CC9</f>
        <v>0</v>
      </c>
      <c r="AK8" s="8">
        <f>Sheet1!CE9</f>
        <v>0</v>
      </c>
      <c r="AL8" s="8" t="str">
        <f>Sheet1!CH9</f>
        <v>NS</v>
      </c>
      <c r="AM8" s="8" t="str">
        <f>Sheet1!CI9</f>
        <v>NS</v>
      </c>
      <c r="AN8" s="8" t="str">
        <f>Sheet1!CK9</f>
        <v>NS</v>
      </c>
      <c r="AO8" s="8" t="str">
        <f>Sheet1!CM9</f>
        <v>yes - NS</v>
      </c>
      <c r="AP8" s="8" t="str">
        <f>Sheet1!CO9</f>
        <v>NS</v>
      </c>
      <c r="AQ8" s="8" t="str">
        <f>Sheet1!CQ9</f>
        <v>NS</v>
      </c>
      <c r="AR8" s="8" t="str">
        <f>Sheet1!CS9</f>
        <v>NS</v>
      </c>
      <c r="AS8" s="8" t="str">
        <f>Sheet1!CU9</f>
        <v>NS</v>
      </c>
      <c r="AT8" s="8" t="str">
        <f>Sheet1!CW9</f>
        <v>NS</v>
      </c>
      <c r="AU8" s="8" t="str">
        <f>Sheet1!CY9</f>
        <v>NS</v>
      </c>
      <c r="AV8" s="8" t="str">
        <f>Sheet1!DA9</f>
        <v>NS</v>
      </c>
      <c r="AW8" s="8" t="str">
        <f>Sheet1!DC9</f>
        <v>NS</v>
      </c>
      <c r="AX8" s="8" t="str">
        <f>Sheet1!DE9</f>
        <v>NS</v>
      </c>
      <c r="AY8" s="8" t="str">
        <f>Sheet1!DG9</f>
        <v>NS</v>
      </c>
      <c r="AZ8" s="8" t="str">
        <f>IF(Sheet1!DI9="Psychotic Disorder","yes","no")</f>
        <v>yes</v>
      </c>
      <c r="BA8" s="8" t="str">
        <f>Sheet1!DK9</f>
        <v>NS</v>
      </c>
      <c r="BB8" s="8" t="str">
        <f>Sheet1!DM9</f>
        <v>NS</v>
      </c>
      <c r="BC8" s="8">
        <f>Sheet1!EI9</f>
        <v>10</v>
      </c>
    </row>
    <row r="9" spans="1:55" x14ac:dyDescent="0.2">
      <c r="A9" s="63" t="str">
        <f>Sheet1!A10</f>
        <v>Guasp</v>
      </c>
      <c r="B9" s="63">
        <f>Sheet1!B10</f>
        <v>2021</v>
      </c>
      <c r="C9" s="8" t="str">
        <f>_xlfn.CONCAT(data!A9," ",data!B9)</f>
        <v>Guasp 2021</v>
      </c>
      <c r="D9" s="8">
        <f>Sheet1!C10</f>
        <v>61</v>
      </c>
      <c r="E9" s="8">
        <f>Sheet1!E10</f>
        <v>44</v>
      </c>
      <c r="F9" s="8" t="str">
        <f>Sheet1!G10</f>
        <v>NS</v>
      </c>
      <c r="G9" s="8" t="str">
        <f>Sheet1!I10</f>
        <v>NS</v>
      </c>
      <c r="H9" s="8" t="str">
        <f>Sheet1!K10</f>
        <v>NS</v>
      </c>
      <c r="I9" s="8" t="str">
        <f>Sheet1!O10</f>
        <v>NS</v>
      </c>
      <c r="J9" s="8">
        <f>Sheet1!U10</f>
        <v>0</v>
      </c>
      <c r="K9" s="8">
        <f>Sheet1!W10</f>
        <v>105</v>
      </c>
      <c r="L9" s="8">
        <f>Sheet1!Y10</f>
        <v>0</v>
      </c>
      <c r="M9" s="8">
        <f>Sheet1!AA10</f>
        <v>0</v>
      </c>
      <c r="N9" s="8" t="str">
        <f>Sheet1!AC10</f>
        <v>inpat_psych</v>
      </c>
      <c r="O9" s="64" t="str">
        <f>Sheet1!AF10</f>
        <v>euro</v>
      </c>
      <c r="P9" s="8" t="str">
        <f>Sheet1!AI10</f>
        <v>yes</v>
      </c>
      <c r="Q9" s="8" t="str">
        <f>Sheet1!AK10</f>
        <v>yes</v>
      </c>
      <c r="R9" s="8">
        <f>Sheet1!AS10</f>
        <v>105</v>
      </c>
      <c r="S9" s="8">
        <f>Sheet1!AU10</f>
        <v>4</v>
      </c>
      <c r="T9" s="8" t="str">
        <f>Sheet1!AW10</f>
        <v>Multiple</v>
      </c>
      <c r="U9" s="8">
        <f>Sheet1!AY10</f>
        <v>4</v>
      </c>
      <c r="V9" s="8">
        <f>Sheet1!BA10</f>
        <v>0</v>
      </c>
      <c r="W9" s="8">
        <f>Sheet1!BC10</f>
        <v>0</v>
      </c>
      <c r="X9" s="8">
        <f>Sheet1!BE10</f>
        <v>0</v>
      </c>
      <c r="Y9" s="8">
        <f>Sheet1!BG10</f>
        <v>0</v>
      </c>
      <c r="Z9" s="8">
        <f>Sheet1!BI10</f>
        <v>0</v>
      </c>
      <c r="AA9" s="8">
        <f>Sheet1!BK10</f>
        <v>0</v>
      </c>
      <c r="AB9" s="8">
        <f>Sheet1!BM10</f>
        <v>0</v>
      </c>
      <c r="AC9" s="8">
        <f>Sheet1!BO10</f>
        <v>1</v>
      </c>
      <c r="AD9" s="8">
        <f>Sheet1!BQ10</f>
        <v>0</v>
      </c>
      <c r="AE9" s="8">
        <f>Sheet1!BS10</f>
        <v>1</v>
      </c>
      <c r="AF9" s="8">
        <f>Sheet1!BU10</f>
        <v>1</v>
      </c>
      <c r="AG9" s="8">
        <f>Sheet1!BW10</f>
        <v>0</v>
      </c>
      <c r="AH9" s="8">
        <f>Sheet1!BY10</f>
        <v>0</v>
      </c>
      <c r="AI9" s="8">
        <f>Sheet1!CA10</f>
        <v>1</v>
      </c>
      <c r="AJ9" s="8">
        <f>Sheet1!CC10</f>
        <v>0</v>
      </c>
      <c r="AK9" s="8">
        <f>Sheet1!CE10</f>
        <v>0</v>
      </c>
      <c r="AL9" s="8" t="str">
        <f>Sheet1!CH10</f>
        <v>all</v>
      </c>
      <c r="AM9" s="8" t="str">
        <f>Sheet1!CI10</f>
        <v>NS</v>
      </c>
      <c r="AN9" s="8" t="str">
        <f>Sheet1!CK10</f>
        <v>NS</v>
      </c>
      <c r="AO9" s="8" t="str">
        <f>Sheet1!CM10</f>
        <v>some</v>
      </c>
      <c r="AP9" s="8" t="str">
        <f>Sheet1!CO10</f>
        <v>all</v>
      </c>
      <c r="AQ9" s="8" t="str">
        <f>Sheet1!CQ10</f>
        <v>all</v>
      </c>
      <c r="AR9" s="8" t="str">
        <f>Sheet1!CS10</f>
        <v>all</v>
      </c>
      <c r="AS9" s="8" t="str">
        <f>Sheet1!CU10</f>
        <v>all</v>
      </c>
      <c r="AT9" s="8" t="str">
        <f>Sheet1!CW10</f>
        <v>NS</v>
      </c>
      <c r="AU9" s="8" t="str">
        <f>Sheet1!CY10</f>
        <v>all</v>
      </c>
      <c r="AV9" s="8" t="str">
        <f>Sheet1!DA10</f>
        <v>NS</v>
      </c>
      <c r="AW9" s="8" t="str">
        <f>Sheet1!DC10</f>
        <v>NS</v>
      </c>
      <c r="AX9" s="8" t="str">
        <f>Sheet1!DE10</f>
        <v>NS</v>
      </c>
      <c r="AY9" s="8" t="str">
        <f>Sheet1!DG10</f>
        <v>NS</v>
      </c>
      <c r="AZ9" s="8" t="str">
        <f>IF(Sheet1!DI10="Psychotic Disorder","yes","no")</f>
        <v>yes</v>
      </c>
      <c r="BA9" s="8" t="str">
        <f>Sheet1!DK10</f>
        <v>SCID</v>
      </c>
      <c r="BB9" s="8" t="str">
        <f>Sheet1!DM10</f>
        <v>DSM-IV</v>
      </c>
      <c r="BC9" s="8">
        <f>Sheet1!EI10</f>
        <v>10</v>
      </c>
    </row>
    <row r="10" spans="1:55" x14ac:dyDescent="0.2">
      <c r="A10" s="63" t="str">
        <f>Sheet1!A11</f>
        <v>Harris</v>
      </c>
      <c r="B10" s="63">
        <f>Sheet1!B11</f>
        <v>2019</v>
      </c>
      <c r="C10" s="8" t="str">
        <f>_xlfn.CONCAT(data!A10," ",data!B10)</f>
        <v>Harris 2019</v>
      </c>
      <c r="D10" s="8">
        <f>Sheet1!C11</f>
        <v>480</v>
      </c>
      <c r="E10" s="8">
        <f>Sheet1!E11</f>
        <v>325</v>
      </c>
      <c r="F10" s="8" t="str">
        <f>Sheet1!G11</f>
        <v>NS</v>
      </c>
      <c r="G10" s="8" t="str">
        <f>Sheet1!I11</f>
        <v>NS</v>
      </c>
      <c r="H10" s="8">
        <f>Sheet1!K11</f>
        <v>32</v>
      </c>
      <c r="I10" s="8" t="str">
        <f>Sheet1!O11</f>
        <v>NS</v>
      </c>
      <c r="J10" s="8" t="str">
        <f>Sheet1!U11</f>
        <v>NS</v>
      </c>
      <c r="K10" s="8" t="str">
        <f>Sheet1!W11</f>
        <v>NS</v>
      </c>
      <c r="L10" s="8">
        <f>Sheet1!Y11</f>
        <v>0</v>
      </c>
      <c r="M10" s="8">
        <f>Sheet1!AA11</f>
        <v>0</v>
      </c>
      <c r="N10" s="8" t="str">
        <f>Sheet1!AC11</f>
        <v>NS</v>
      </c>
      <c r="O10" s="64" t="str">
        <f>Sheet1!AF11</f>
        <v>aus</v>
      </c>
      <c r="P10" s="8" t="str">
        <f>Sheet1!AI11</f>
        <v>no</v>
      </c>
      <c r="Q10" s="8" t="str">
        <f>Sheet1!AK11</f>
        <v>no</v>
      </c>
      <c r="R10" s="8">
        <f>Sheet1!AS11</f>
        <v>805</v>
      </c>
      <c r="S10" s="8">
        <f>Sheet1!AU11</f>
        <v>3</v>
      </c>
      <c r="T10" s="8" t="str">
        <f>Sheet1!AW11</f>
        <v>NS</v>
      </c>
      <c r="U10" s="8">
        <f>Sheet1!AY11</f>
        <v>3</v>
      </c>
      <c r="V10" s="8" t="str">
        <f>Sheet1!BA11</f>
        <v>NA</v>
      </c>
      <c r="W10" s="8" t="str">
        <f>Sheet1!BC11</f>
        <v>NA</v>
      </c>
      <c r="X10" s="8" t="str">
        <f>Sheet1!BE11</f>
        <v>NA</v>
      </c>
      <c r="Y10" s="8" t="str">
        <f>Sheet1!BG11</f>
        <v>NA</v>
      </c>
      <c r="Z10" s="8" t="str">
        <f>Sheet1!BI11</f>
        <v>NA</v>
      </c>
      <c r="AA10" s="8" t="str">
        <f>Sheet1!BK11</f>
        <v>NA</v>
      </c>
      <c r="AB10" s="8" t="str">
        <f>Sheet1!BM11</f>
        <v>NA</v>
      </c>
      <c r="AC10" s="8" t="str">
        <f>Sheet1!BO11</f>
        <v>NA</v>
      </c>
      <c r="AD10" s="8" t="str">
        <f>Sheet1!BQ11</f>
        <v>NA</v>
      </c>
      <c r="AE10" s="8" t="str">
        <f>Sheet1!BS11</f>
        <v>NA</v>
      </c>
      <c r="AF10" s="8" t="str">
        <f>Sheet1!BU11</f>
        <v>NA</v>
      </c>
      <c r="AG10" s="8" t="str">
        <f>Sheet1!BW11</f>
        <v>NA</v>
      </c>
      <c r="AH10" s="8" t="str">
        <f>Sheet1!BY11</f>
        <v>NA</v>
      </c>
      <c r="AI10" s="8" t="str">
        <f>Sheet1!CA11</f>
        <v>NA</v>
      </c>
      <c r="AJ10" s="8" t="str">
        <f>Sheet1!CC11</f>
        <v>NA</v>
      </c>
      <c r="AK10" s="8">
        <f>Sheet1!CE11</f>
        <v>3</v>
      </c>
      <c r="AL10" s="8" t="str">
        <f>Sheet1!CH11</f>
        <v>some</v>
      </c>
      <c r="AM10" s="8" t="str">
        <f>Sheet1!CI11</f>
        <v>all</v>
      </c>
      <c r="AN10" s="8" t="str">
        <f>Sheet1!CK11</f>
        <v>some</v>
      </c>
      <c r="AO10" s="8" t="str">
        <f>Sheet1!CM11</f>
        <v>some</v>
      </c>
      <c r="AP10" s="8" t="str">
        <f>Sheet1!CO11</f>
        <v>some</v>
      </c>
      <c r="AQ10" s="8" t="str">
        <f>Sheet1!CQ11</f>
        <v>some</v>
      </c>
      <c r="AR10" s="8" t="str">
        <f>Sheet1!CS11</f>
        <v>NS</v>
      </c>
      <c r="AS10" s="8" t="str">
        <f>Sheet1!CU11</f>
        <v>NS</v>
      </c>
      <c r="AT10" s="8" t="str">
        <f>Sheet1!CW11</f>
        <v>NS</v>
      </c>
      <c r="AU10" s="8" t="str">
        <f>Sheet1!CY11</f>
        <v>some</v>
      </c>
      <c r="AV10" s="8" t="str">
        <f>Sheet1!DA11</f>
        <v>NS</v>
      </c>
      <c r="AW10" s="8" t="str">
        <f>Sheet1!DC11</f>
        <v>NS</v>
      </c>
      <c r="AX10" s="8" t="str">
        <f>Sheet1!DE11</f>
        <v>NS</v>
      </c>
      <c r="AY10" s="8" t="str">
        <f>Sheet1!DG11</f>
        <v>NS</v>
      </c>
      <c r="AZ10" s="8" t="str">
        <f>IF(Sheet1!DI11="Psychotic Disorder","yes","no")</f>
        <v>no</v>
      </c>
      <c r="BA10" s="8" t="str">
        <f>Sheet1!DK11</f>
        <v>NS</v>
      </c>
      <c r="BB10" s="8" t="str">
        <f>Sheet1!DM11</f>
        <v>NS</v>
      </c>
      <c r="BC10" s="8">
        <f>Sheet1!EI11</f>
        <v>10</v>
      </c>
    </row>
    <row r="11" spans="1:55" x14ac:dyDescent="0.2">
      <c r="A11" s="63" t="str">
        <f>Sheet1!A12</f>
        <v>Johnstone</v>
      </c>
      <c r="B11" s="63">
        <f>Sheet1!B12</f>
        <v>1987</v>
      </c>
      <c r="C11" s="8" t="str">
        <f>_xlfn.CONCAT(data!A11," ",data!B11)</f>
        <v>Johnstone 1987</v>
      </c>
      <c r="D11" s="8" t="str">
        <f>Sheet1!C12</f>
        <v>NS</v>
      </c>
      <c r="E11" s="8" t="str">
        <f>Sheet1!E12</f>
        <v>NS</v>
      </c>
      <c r="F11" s="8" t="str">
        <f>Sheet1!G12</f>
        <v>NS</v>
      </c>
      <c r="G11" s="8" t="str">
        <f>Sheet1!I12</f>
        <v>NS</v>
      </c>
      <c r="H11" s="8" t="str">
        <f>Sheet1!K12</f>
        <v>NS</v>
      </c>
      <c r="I11" s="8" t="str">
        <f>Sheet1!O12</f>
        <v>NS</v>
      </c>
      <c r="J11" s="8">
        <f>Sheet1!U12</f>
        <v>0</v>
      </c>
      <c r="K11" s="8">
        <f>Sheet1!W12</f>
        <v>268</v>
      </c>
      <c r="L11" s="8">
        <f>Sheet1!Y12</f>
        <v>0</v>
      </c>
      <c r="M11" s="8">
        <f>Sheet1!AA12</f>
        <v>0</v>
      </c>
      <c r="N11" s="8" t="str">
        <f>Sheet1!AC12</f>
        <v>inpat_psych</v>
      </c>
      <c r="O11" s="64" t="str">
        <f>Sheet1!AF12</f>
        <v>euro</v>
      </c>
      <c r="P11" s="8" t="str">
        <f>Sheet1!AI12</f>
        <v>yes</v>
      </c>
      <c r="Q11" s="8" t="str">
        <f>Sheet1!AK12</f>
        <v>yes</v>
      </c>
      <c r="R11" s="8">
        <f>Sheet1!AS12</f>
        <v>268</v>
      </c>
      <c r="S11" s="8">
        <f>Sheet1!AU12</f>
        <v>15</v>
      </c>
      <c r="T11" s="8" t="str">
        <f>Sheet1!AW12</f>
        <v>Multiple</v>
      </c>
      <c r="U11" s="8">
        <f>Sheet1!AY12</f>
        <v>8</v>
      </c>
      <c r="V11" s="8">
        <f>Sheet1!BA12</f>
        <v>5</v>
      </c>
      <c r="W11" s="8">
        <f>Sheet1!BC12</f>
        <v>2</v>
      </c>
      <c r="X11" s="8">
        <f>Sheet1!BE12</f>
        <v>0</v>
      </c>
      <c r="Y11" s="8">
        <f>Sheet1!BG12</f>
        <v>5</v>
      </c>
      <c r="Z11" s="8">
        <f>Sheet1!BI12</f>
        <v>0</v>
      </c>
      <c r="AA11" s="8">
        <f>Sheet1!BK12</f>
        <v>0</v>
      </c>
      <c r="AB11" s="8">
        <f>Sheet1!BM12</f>
        <v>1</v>
      </c>
      <c r="AC11" s="8">
        <f>Sheet1!BO12</f>
        <v>0</v>
      </c>
      <c r="AD11" s="8">
        <f>Sheet1!BQ12</f>
        <v>0</v>
      </c>
      <c r="AE11" s="8">
        <f>Sheet1!BS12</f>
        <v>3</v>
      </c>
      <c r="AF11" s="8">
        <f>Sheet1!BU12</f>
        <v>0</v>
      </c>
      <c r="AG11" s="8">
        <f>Sheet1!BW12</f>
        <v>0</v>
      </c>
      <c r="AH11" s="8">
        <f>Sheet1!BY12</f>
        <v>0</v>
      </c>
      <c r="AI11" s="8">
        <f>Sheet1!CA12</f>
        <v>1</v>
      </c>
      <c r="AJ11" s="8">
        <f>Sheet1!CC12</f>
        <v>1</v>
      </c>
      <c r="AK11" s="8">
        <f>Sheet1!CE12</f>
        <v>0</v>
      </c>
      <c r="AL11" s="8" t="str">
        <f>Sheet1!CH12</f>
        <v>NS</v>
      </c>
      <c r="AM11" s="8" t="str">
        <f>Sheet1!CI12</f>
        <v>some</v>
      </c>
      <c r="AN11" s="8">
        <f>Sheet1!CK12</f>
        <v>0</v>
      </c>
      <c r="AO11" s="8" t="str">
        <f>Sheet1!CM12</f>
        <v>some</v>
      </c>
      <c r="AP11" s="8" t="str">
        <f>Sheet1!CO12</f>
        <v>some</v>
      </c>
      <c r="AQ11" s="8" t="str">
        <f>Sheet1!CQ12</f>
        <v>some</v>
      </c>
      <c r="AR11" s="8">
        <f>Sheet1!CS12</f>
        <v>0</v>
      </c>
      <c r="AS11" s="8" t="str">
        <f>Sheet1!CU12</f>
        <v>all</v>
      </c>
      <c r="AT11" s="8" t="str">
        <f>Sheet1!CW12</f>
        <v>NS</v>
      </c>
      <c r="AU11" s="8" t="str">
        <f>Sheet1!CY12</f>
        <v>some</v>
      </c>
      <c r="AV11" s="8" t="str">
        <f>Sheet1!DA12</f>
        <v>some</v>
      </c>
      <c r="AW11" s="8" t="str">
        <f>Sheet1!DC12</f>
        <v>NS</v>
      </c>
      <c r="AX11" s="8" t="str">
        <f>Sheet1!DE12</f>
        <v>X-ray (Unspecified freq)</v>
      </c>
      <c r="AY11" s="8" t="str">
        <f>Sheet1!DG12</f>
        <v>NS</v>
      </c>
      <c r="AZ11" s="8" t="str">
        <f>IF(Sheet1!DI12="Psychotic Disorder","yes","no")</f>
        <v>yes</v>
      </c>
      <c r="BA11" s="8" t="str">
        <f>Sheet1!DK12</f>
        <v>NS</v>
      </c>
      <c r="BB11" s="8" t="str">
        <f>Sheet1!DM12</f>
        <v>NS</v>
      </c>
      <c r="BC11" s="8">
        <f>Sheet1!EI12</f>
        <v>9</v>
      </c>
    </row>
    <row r="12" spans="1:55" x14ac:dyDescent="0.2">
      <c r="A12" s="63" t="str">
        <f>Sheet1!A13</f>
        <v xml:space="preserve">Kanbayashi </v>
      </c>
      <c r="B12" s="63">
        <f>Sheet1!B13</f>
        <v>2012</v>
      </c>
      <c r="C12" s="8" t="str">
        <f>_xlfn.CONCAT(data!A12," ",data!B12)</f>
        <v>Kanbayashi  2012</v>
      </c>
      <c r="D12" s="8" t="str">
        <f>Sheet1!C13</f>
        <v>NS</v>
      </c>
      <c r="E12" s="8" t="str">
        <f>Sheet1!E13</f>
        <v>NS</v>
      </c>
      <c r="F12" s="8" t="str">
        <f>Sheet1!G13</f>
        <v>NS</v>
      </c>
      <c r="G12" s="8">
        <f>Sheet1!I13</f>
        <v>30.6</v>
      </c>
      <c r="H12" s="8" t="str">
        <f>Sheet1!K13</f>
        <v>NS</v>
      </c>
      <c r="I12" s="8" t="str">
        <f>Sheet1!O13</f>
        <v>NS</v>
      </c>
      <c r="J12" s="8">
        <f>Sheet1!U13</f>
        <v>0</v>
      </c>
      <c r="K12" s="8">
        <f>Sheet1!W13</f>
        <v>61</v>
      </c>
      <c r="L12" s="8">
        <f>Sheet1!Y13</f>
        <v>0</v>
      </c>
      <c r="M12" s="8">
        <f>Sheet1!AA13</f>
        <v>0</v>
      </c>
      <c r="N12" s="8">
        <f>Sheet1!AC13</f>
        <v>0</v>
      </c>
      <c r="O12" s="64" t="str">
        <f>Sheet1!AF13</f>
        <v>asia</v>
      </c>
      <c r="P12" s="8" t="str">
        <f>Sheet1!AI13</f>
        <v>yes</v>
      </c>
      <c r="Q12" s="8" t="str">
        <f>Sheet1!AK13</f>
        <v>no</v>
      </c>
      <c r="R12" s="8">
        <f>Sheet1!AS13</f>
        <v>61</v>
      </c>
      <c r="S12" s="8">
        <f>Sheet1!AU13</f>
        <v>3</v>
      </c>
      <c r="T12" s="8" t="str">
        <f>Sheet1!AW13</f>
        <v>Single</v>
      </c>
      <c r="U12" s="8">
        <f>Sheet1!AY13</f>
        <v>5</v>
      </c>
      <c r="V12" s="8">
        <f>Sheet1!BA13</f>
        <v>0</v>
      </c>
      <c r="W12" s="8">
        <f>Sheet1!BC13</f>
        <v>5</v>
      </c>
      <c r="X12" s="8">
        <f>Sheet1!BE13</f>
        <v>0</v>
      </c>
      <c r="Y12" s="8">
        <f>Sheet1!BG13</f>
        <v>0</v>
      </c>
      <c r="Z12" s="8">
        <f>Sheet1!BI13</f>
        <v>0</v>
      </c>
      <c r="AA12" s="8">
        <f>Sheet1!BK13</f>
        <v>0</v>
      </c>
      <c r="AB12" s="8">
        <f>Sheet1!BM13</f>
        <v>0</v>
      </c>
      <c r="AC12" s="8">
        <f>Sheet1!BO13</f>
        <v>0</v>
      </c>
      <c r="AD12" s="8">
        <f>Sheet1!BQ13</f>
        <v>0</v>
      </c>
      <c r="AE12" s="8">
        <f>Sheet1!BS13</f>
        <v>0</v>
      </c>
      <c r="AF12" s="8">
        <f>Sheet1!BU13</f>
        <v>0</v>
      </c>
      <c r="AG12" s="8">
        <f>Sheet1!BW13</f>
        <v>0</v>
      </c>
      <c r="AH12" s="8">
        <f>Sheet1!BY13</f>
        <v>0</v>
      </c>
      <c r="AI12" s="8">
        <f>Sheet1!CA13</f>
        <v>0</v>
      </c>
      <c r="AJ12" s="8">
        <f>Sheet1!CC13</f>
        <v>0</v>
      </c>
      <c r="AK12" s="8">
        <f>Sheet1!CE13</f>
        <v>0</v>
      </c>
      <c r="AL12" s="8" t="str">
        <f>Sheet1!CH13</f>
        <v>NS</v>
      </c>
      <c r="AM12" s="8" t="str">
        <f>Sheet1!CI13</f>
        <v>NS</v>
      </c>
      <c r="AN12" s="8" t="str">
        <f>Sheet1!CK13</f>
        <v>yes - NS</v>
      </c>
      <c r="AO12" s="8" t="str">
        <f>Sheet1!CM13</f>
        <v>yes - NS</v>
      </c>
      <c r="AP12" s="8" t="str">
        <f>Sheet1!CO13</f>
        <v>some</v>
      </c>
      <c r="AQ12" s="8" t="str">
        <f>Sheet1!CQ13</f>
        <v>yes - NS</v>
      </c>
      <c r="AR12" s="8" t="str">
        <f>Sheet1!CS13</f>
        <v>NS</v>
      </c>
      <c r="AS12" s="8" t="str">
        <f>Sheet1!CU13</f>
        <v>NS</v>
      </c>
      <c r="AT12" s="8" t="str">
        <f>Sheet1!CW13</f>
        <v>NS</v>
      </c>
      <c r="AU12" s="8" t="str">
        <f>Sheet1!CY13</f>
        <v>NS</v>
      </c>
      <c r="AV12" s="8" t="str">
        <f>Sheet1!DA13</f>
        <v>NS</v>
      </c>
      <c r="AW12" s="8" t="str">
        <f>Sheet1!DC13</f>
        <v>NS</v>
      </c>
      <c r="AX12" s="8" t="str">
        <f>Sheet1!DE13</f>
        <v>NS</v>
      </c>
      <c r="AY12" s="8" t="str">
        <f>Sheet1!DG13</f>
        <v>NS</v>
      </c>
      <c r="AZ12" s="8" t="str">
        <f>IF(Sheet1!DI13="Psychotic Disorder","yes","no")</f>
        <v>no</v>
      </c>
      <c r="BA12" s="8" t="str">
        <f>Sheet1!DK13</f>
        <v>NS</v>
      </c>
      <c r="BB12" s="8" t="str">
        <f>Sheet1!DM13</f>
        <v>DSM-IV and ICD-10</v>
      </c>
      <c r="BC12" s="8">
        <f>Sheet1!EI13</f>
        <v>10</v>
      </c>
    </row>
    <row r="13" spans="1:55" x14ac:dyDescent="0.2">
      <c r="A13" s="63" t="str">
        <f>Sheet1!A14</f>
        <v>Kelleher</v>
      </c>
      <c r="B13" s="63">
        <f>Sheet1!B14</f>
        <v>2020</v>
      </c>
      <c r="C13" s="8" t="str">
        <f>_xlfn.CONCAT(data!A13," ",data!B13)</f>
        <v>Kelleher 2020</v>
      </c>
      <c r="D13" s="8">
        <f>Sheet1!C14</f>
        <v>134</v>
      </c>
      <c r="E13" s="8">
        <f>Sheet1!E14</f>
        <v>78</v>
      </c>
      <c r="F13" s="8" t="str">
        <f>Sheet1!G14</f>
        <v>NS</v>
      </c>
      <c r="G13" s="8" t="str">
        <f>Sheet1!I14</f>
        <v>NS</v>
      </c>
      <c r="H13" s="8" t="str">
        <f>Sheet1!K14</f>
        <v>33 FEP, 45 TRS Cohort</v>
      </c>
      <c r="I13" s="8">
        <f>Sheet1!O14</f>
        <v>203</v>
      </c>
      <c r="J13" s="8">
        <f>Sheet1!U14</f>
        <v>4</v>
      </c>
      <c r="K13" s="8">
        <f>Sheet1!W14</f>
        <v>61</v>
      </c>
      <c r="L13" s="8">
        <f>Sheet1!Y14</f>
        <v>147</v>
      </c>
      <c r="M13" s="8">
        <f>Sheet1!AA14</f>
        <v>0</v>
      </c>
      <c r="N13" s="8" t="str">
        <f>Sheet1!AC14</f>
        <v>mixture</v>
      </c>
      <c r="O13" s="64" t="str">
        <f>Sheet1!AF14</f>
        <v>euro</v>
      </c>
      <c r="P13" s="8" t="str">
        <f>Sheet1!AI14</f>
        <v>yes</v>
      </c>
      <c r="Q13" s="8" t="str">
        <f>Sheet1!AK14</f>
        <v>no</v>
      </c>
      <c r="R13" s="8">
        <f>Sheet1!AS14</f>
        <v>212</v>
      </c>
      <c r="S13" s="8">
        <f>Sheet1!AU14</f>
        <v>1</v>
      </c>
      <c r="T13" s="8" t="str">
        <f>Sheet1!AW14</f>
        <v>Single</v>
      </c>
      <c r="U13" s="8">
        <f>Sheet1!AY14</f>
        <v>1</v>
      </c>
      <c r="V13" s="8" t="str">
        <f>Sheet1!BA14</f>
        <v>NA</v>
      </c>
      <c r="W13" s="8">
        <f>Sheet1!BC14</f>
        <v>1</v>
      </c>
      <c r="X13" s="8" t="str">
        <f>Sheet1!BE14</f>
        <v>NA</v>
      </c>
      <c r="Y13" s="8" t="str">
        <f>Sheet1!BG14</f>
        <v>NA</v>
      </c>
      <c r="Z13" s="8" t="str">
        <f>Sheet1!BI14</f>
        <v>NA</v>
      </c>
      <c r="AA13" s="8" t="str">
        <f>Sheet1!BK14</f>
        <v>NA</v>
      </c>
      <c r="AB13" s="8" t="str">
        <f>Sheet1!BM14</f>
        <v>NA</v>
      </c>
      <c r="AC13" s="8" t="str">
        <f>Sheet1!BO14</f>
        <v>NA</v>
      </c>
      <c r="AD13" s="8" t="str">
        <f>Sheet1!BQ14</f>
        <v>NA</v>
      </c>
      <c r="AE13" s="8" t="str">
        <f>Sheet1!BS14</f>
        <v>NA</v>
      </c>
      <c r="AF13" s="8" t="str">
        <f>Sheet1!BU14</f>
        <v>NA</v>
      </c>
      <c r="AG13" s="8" t="str">
        <f>Sheet1!BW14</f>
        <v>NA</v>
      </c>
      <c r="AH13" s="8" t="str">
        <f>Sheet1!BY14</f>
        <v>NA</v>
      </c>
      <c r="AI13" s="8" t="str">
        <f>Sheet1!CA14</f>
        <v>NA</v>
      </c>
      <c r="AJ13" s="8" t="str">
        <f>Sheet1!CC14</f>
        <v>NA</v>
      </c>
      <c r="AK13" s="8" t="str">
        <f>Sheet1!CE14</f>
        <v>NA</v>
      </c>
      <c r="AL13" s="8" t="str">
        <f>Sheet1!CH14</f>
        <v>some</v>
      </c>
      <c r="AM13" s="8">
        <f>Sheet1!CI14</f>
        <v>0</v>
      </c>
      <c r="AN13" s="8">
        <f>Sheet1!CK14</f>
        <v>0</v>
      </c>
      <c r="AO13" s="8" t="str">
        <f>Sheet1!CM14</f>
        <v>some</v>
      </c>
      <c r="AP13" s="8" t="str">
        <f>Sheet1!CO14</f>
        <v>some</v>
      </c>
      <c r="AQ13" s="8" t="str">
        <f>Sheet1!CQ14</f>
        <v>all</v>
      </c>
      <c r="AR13" s="8">
        <f>Sheet1!CS14</f>
        <v>0</v>
      </c>
      <c r="AS13" s="8" t="str">
        <f>Sheet1!CU14</f>
        <v>all</v>
      </c>
      <c r="AT13" s="8" t="str">
        <f>Sheet1!CW14</f>
        <v>yes</v>
      </c>
      <c r="AU13" s="8" t="str">
        <f>Sheet1!CY14</f>
        <v>some</v>
      </c>
      <c r="AV13" s="8" t="str">
        <f>Sheet1!DA14</f>
        <v>NS</v>
      </c>
      <c r="AW13" s="8" t="str">
        <f>Sheet1!DC14</f>
        <v>NS</v>
      </c>
      <c r="AX13" s="8" t="str">
        <f>Sheet1!DE14</f>
        <v>some</v>
      </c>
      <c r="AY13" s="8" t="str">
        <f>Sheet1!DG14</f>
        <v>NS</v>
      </c>
      <c r="AZ13" s="8" t="str">
        <f>IF(Sheet1!DI14="Psychotic Disorder","yes","no")</f>
        <v>yes</v>
      </c>
      <c r="BA13" s="8" t="str">
        <f>Sheet1!DK14</f>
        <v>SCID</v>
      </c>
      <c r="BB13" s="8" t="str">
        <f>Sheet1!DM14</f>
        <v>ICD-10</v>
      </c>
      <c r="BC13" s="8">
        <f>Sheet1!EI14</f>
        <v>10</v>
      </c>
    </row>
    <row r="14" spans="1:55" x14ac:dyDescent="0.2">
      <c r="A14" s="63" t="str">
        <f>Sheet1!A15</f>
        <v>Marques</v>
      </c>
      <c r="B14" s="63">
        <f>Sheet1!B15</f>
        <v>2020</v>
      </c>
      <c r="C14" s="8" t="str">
        <f>_xlfn.CONCAT(data!A14," ",data!B14)</f>
        <v>Marques 2020</v>
      </c>
      <c r="D14" s="8">
        <f>Sheet1!C15</f>
        <v>119</v>
      </c>
      <c r="E14" s="8">
        <f>Sheet1!E15</f>
        <v>81</v>
      </c>
      <c r="F14" s="8" t="str">
        <f>Sheet1!G15</f>
        <v>NS</v>
      </c>
      <c r="G14" s="8" t="str">
        <f>Sheet1!I15</f>
        <v>NS</v>
      </c>
      <c r="H14" s="8">
        <f>Sheet1!K15</f>
        <v>47</v>
      </c>
      <c r="I14" s="8">
        <f>Sheet1!O15</f>
        <v>200</v>
      </c>
      <c r="J14" s="8">
        <f>Sheet1!U15</f>
        <v>0</v>
      </c>
      <c r="K14" s="8">
        <f>Sheet1!W15</f>
        <v>200</v>
      </c>
      <c r="L14" s="8">
        <f>Sheet1!Y15</f>
        <v>0</v>
      </c>
      <c r="M14" s="8">
        <f>Sheet1!AA15</f>
        <v>0</v>
      </c>
      <c r="N14" s="8" t="str">
        <f>Sheet1!AC15</f>
        <v>inpat_psych</v>
      </c>
      <c r="O14" s="64" t="str">
        <f>Sheet1!AF15</f>
        <v>euro</v>
      </c>
      <c r="P14" s="8" t="str">
        <f>Sheet1!AI15</f>
        <v>no</v>
      </c>
      <c r="Q14" s="8" t="str">
        <f>Sheet1!AK15</f>
        <v>no</v>
      </c>
      <c r="R14" s="8">
        <f>Sheet1!AS15</f>
        <v>200</v>
      </c>
      <c r="S14" s="8">
        <f>Sheet1!AU15</f>
        <v>50</v>
      </c>
      <c r="T14" s="8" t="str">
        <f>Sheet1!AW15</f>
        <v>Multiple</v>
      </c>
      <c r="U14" s="8">
        <f>Sheet1!AY15</f>
        <v>50</v>
      </c>
      <c r="V14" s="8">
        <f>Sheet1!BA15</f>
        <v>0</v>
      </c>
      <c r="W14" s="8">
        <f>Sheet1!BC15</f>
        <v>1</v>
      </c>
      <c r="X14" s="8">
        <f>Sheet1!BE15</f>
        <v>0</v>
      </c>
      <c r="Y14" s="8">
        <f>Sheet1!BG15</f>
        <v>0</v>
      </c>
      <c r="Z14" s="8">
        <f>Sheet1!BI15</f>
        <v>0</v>
      </c>
      <c r="AA14" s="8">
        <f>Sheet1!BK15</f>
        <v>4</v>
      </c>
      <c r="AB14" s="8">
        <f>Sheet1!BM15</f>
        <v>7</v>
      </c>
      <c r="AC14" s="8">
        <f>Sheet1!BO15</f>
        <v>0</v>
      </c>
      <c r="AD14" s="8">
        <f>Sheet1!BQ15</f>
        <v>0</v>
      </c>
      <c r="AE14" s="8">
        <f>Sheet1!BS15</f>
        <v>0</v>
      </c>
      <c r="AF14" s="8">
        <f>Sheet1!BU15</f>
        <v>19</v>
      </c>
      <c r="AG14" s="8">
        <f>Sheet1!BW15</f>
        <v>0</v>
      </c>
      <c r="AH14" s="8">
        <f>Sheet1!BY15</f>
        <v>19</v>
      </c>
      <c r="AI14" s="8">
        <f>Sheet1!CA15</f>
        <v>0</v>
      </c>
      <c r="AJ14" s="8">
        <f>Sheet1!CC15</f>
        <v>0</v>
      </c>
      <c r="AK14" s="8">
        <f>Sheet1!CE15</f>
        <v>0</v>
      </c>
      <c r="AL14" s="8" t="str">
        <f>Sheet1!CH15</f>
        <v>NS</v>
      </c>
      <c r="AM14" s="8" t="str">
        <f>Sheet1!CI15</f>
        <v>all</v>
      </c>
      <c r="AN14" s="8">
        <f>Sheet1!CK15</f>
        <v>0</v>
      </c>
      <c r="AO14" s="8" t="str">
        <f>Sheet1!CM15</f>
        <v>all</v>
      </c>
      <c r="AP14" s="8">
        <f>Sheet1!CO15</f>
        <v>0</v>
      </c>
      <c r="AQ14" s="8" t="str">
        <f>Sheet1!CQ15</f>
        <v>all</v>
      </c>
      <c r="AR14" s="8" t="str">
        <f>Sheet1!CS15</f>
        <v>all</v>
      </c>
      <c r="AS14" s="8" t="str">
        <f>Sheet1!CU15</f>
        <v>all</v>
      </c>
      <c r="AT14" s="8" t="str">
        <f>Sheet1!CW15</f>
        <v>NS</v>
      </c>
      <c r="AU14" s="8" t="str">
        <f>Sheet1!CY15</f>
        <v>NS</v>
      </c>
      <c r="AV14" s="8" t="str">
        <f>Sheet1!DA15</f>
        <v>all</v>
      </c>
      <c r="AW14" s="8" t="str">
        <f>Sheet1!DC15</f>
        <v>NS</v>
      </c>
      <c r="AX14" s="8" t="str">
        <f>Sheet1!DE15</f>
        <v>NS</v>
      </c>
      <c r="AY14" s="8" t="str">
        <f>Sheet1!DG15</f>
        <v>NS</v>
      </c>
      <c r="AZ14" s="8" t="str">
        <f>IF(Sheet1!DI15="Psychotic Disorder","yes","no")</f>
        <v>yes</v>
      </c>
      <c r="BA14" s="8" t="str">
        <f>Sheet1!DK15</f>
        <v>Clinical Assessment</v>
      </c>
      <c r="BB14" s="8" t="str">
        <f>Sheet1!DM15</f>
        <v>ICD-9</v>
      </c>
      <c r="BC14" s="8">
        <f>Sheet1!EI15</f>
        <v>10</v>
      </c>
    </row>
    <row r="15" spans="1:55" x14ac:dyDescent="0.2">
      <c r="A15" s="63" t="str">
        <f>Sheet1!A16</f>
        <v>Mauri</v>
      </c>
      <c r="B15" s="63">
        <f>Sheet1!B16</f>
        <v>2017</v>
      </c>
      <c r="C15" s="8" t="str">
        <f>_xlfn.CONCAT(data!A15," ",data!B15)</f>
        <v>Mauri 2017</v>
      </c>
      <c r="D15" s="8">
        <f>Sheet1!C16</f>
        <v>43</v>
      </c>
      <c r="E15" s="8">
        <f>Sheet1!E16</f>
        <v>5</v>
      </c>
      <c r="F15" s="8" t="str">
        <f>Sheet1!G16</f>
        <v>NS</v>
      </c>
      <c r="G15" s="8" t="str">
        <f>Sheet1!I16</f>
        <v>NS</v>
      </c>
      <c r="H15" s="8">
        <f>Sheet1!K16</f>
        <v>25.6</v>
      </c>
      <c r="I15" s="8" t="str">
        <f>Sheet1!O16</f>
        <v>NS</v>
      </c>
      <c r="J15" s="8">
        <f>Sheet1!U16</f>
        <v>0</v>
      </c>
      <c r="K15" s="8">
        <f>Sheet1!W16</f>
        <v>48</v>
      </c>
      <c r="L15" s="8">
        <f>Sheet1!Y16</f>
        <v>0</v>
      </c>
      <c r="M15" s="8">
        <f>Sheet1!AA16</f>
        <v>0</v>
      </c>
      <c r="N15" s="8" t="str">
        <f>Sheet1!AC16</f>
        <v>inpat_psych</v>
      </c>
      <c r="O15" s="64" t="str">
        <f>Sheet1!AF16</f>
        <v>euro</v>
      </c>
      <c r="P15" s="8" t="str">
        <f>Sheet1!AI16</f>
        <v>yes</v>
      </c>
      <c r="Q15" s="8" t="str">
        <f>Sheet1!AK16</f>
        <v>yes</v>
      </c>
      <c r="R15" s="8">
        <f>Sheet1!AS16</f>
        <v>48</v>
      </c>
      <c r="S15" s="8">
        <f>Sheet1!AU16</f>
        <v>23</v>
      </c>
      <c r="T15" s="8" t="str">
        <f>Sheet1!AW16</f>
        <v>Single</v>
      </c>
      <c r="U15" s="8" t="str">
        <f>Sheet1!AY16</f>
        <v>NA</v>
      </c>
      <c r="V15" s="8">
        <f>Sheet1!BA16</f>
        <v>23</v>
      </c>
      <c r="W15" s="8" t="str">
        <f>Sheet1!BC16</f>
        <v>NA</v>
      </c>
      <c r="X15" s="8" t="str">
        <f>Sheet1!BE16</f>
        <v>NA</v>
      </c>
      <c r="Y15" s="8">
        <f>Sheet1!BG16</f>
        <v>23</v>
      </c>
      <c r="Z15" s="8" t="str">
        <f>Sheet1!BI16</f>
        <v>NA</v>
      </c>
      <c r="AA15" s="8" t="str">
        <f>Sheet1!BK16</f>
        <v>NA</v>
      </c>
      <c r="AB15" s="8" t="str">
        <f>Sheet1!BM16</f>
        <v>NA</v>
      </c>
      <c r="AC15" s="8" t="str">
        <f>Sheet1!BO16</f>
        <v>NA</v>
      </c>
      <c r="AD15" s="8" t="str">
        <f>Sheet1!BQ16</f>
        <v>NA</v>
      </c>
      <c r="AE15" s="8" t="str">
        <f>Sheet1!BS16</f>
        <v>NA</v>
      </c>
      <c r="AF15" s="8" t="str">
        <f>Sheet1!BU16</f>
        <v>NA</v>
      </c>
      <c r="AG15" s="8" t="str">
        <f>Sheet1!BW16</f>
        <v>NA</v>
      </c>
      <c r="AH15" s="8" t="str">
        <f>Sheet1!BY16</f>
        <v>NA</v>
      </c>
      <c r="AI15" s="8" t="str">
        <f>Sheet1!CA16</f>
        <v>NA</v>
      </c>
      <c r="AJ15" s="8" t="str">
        <f>Sheet1!CC16</f>
        <v>NA</v>
      </c>
      <c r="AK15" s="8" t="str">
        <f>Sheet1!CE16</f>
        <v>NA</v>
      </c>
      <c r="AL15" s="8" t="str">
        <f>Sheet1!CH16</f>
        <v>NS</v>
      </c>
      <c r="AM15" s="8" t="str">
        <f>Sheet1!CI16</f>
        <v>NS</v>
      </c>
      <c r="AN15" s="8" t="str">
        <f>Sheet1!CK16</f>
        <v>NS</v>
      </c>
      <c r="AO15" s="8" t="str">
        <f>Sheet1!CM16</f>
        <v>NS</v>
      </c>
      <c r="AP15" s="8" t="str">
        <f>Sheet1!CO16</f>
        <v>NS</v>
      </c>
      <c r="AQ15" s="8" t="str">
        <f>Sheet1!CQ16</f>
        <v>NS</v>
      </c>
      <c r="AR15" s="8" t="str">
        <f>Sheet1!CS16</f>
        <v>some</v>
      </c>
      <c r="AS15" s="8" t="str">
        <f>Sheet1!CU16</f>
        <v>all</v>
      </c>
      <c r="AT15" s="8" t="str">
        <f>Sheet1!CW16</f>
        <v>NS</v>
      </c>
      <c r="AU15" s="8" t="str">
        <f>Sheet1!CY16</f>
        <v>NS</v>
      </c>
      <c r="AV15" s="8" t="str">
        <f>Sheet1!DA16</f>
        <v>NS</v>
      </c>
      <c r="AW15" s="8" t="str">
        <f>Sheet1!DC16</f>
        <v>NS</v>
      </c>
      <c r="AX15" s="8" t="str">
        <f>Sheet1!DE16</f>
        <v>NS</v>
      </c>
      <c r="AY15" s="8" t="str">
        <f>Sheet1!DG16</f>
        <v>NS</v>
      </c>
      <c r="AZ15" s="8" t="str">
        <f>IF(Sheet1!DI16="Psychotic Disorder","yes","no")</f>
        <v>yes</v>
      </c>
      <c r="BA15" s="8" t="str">
        <f>Sheet1!DK16</f>
        <v>BPRS</v>
      </c>
      <c r="BB15" s="8" t="str">
        <f>Sheet1!DM16</f>
        <v>DSM-IV</v>
      </c>
      <c r="BC15" s="8">
        <f>Sheet1!EI16</f>
        <v>9</v>
      </c>
    </row>
    <row r="16" spans="1:55" x14ac:dyDescent="0.2">
      <c r="A16" s="63" t="str">
        <f>Sheet1!A17</f>
        <v>Misselbrook</v>
      </c>
      <c r="B16" s="63" t="str">
        <f>Sheet1!B17</f>
        <v>2017 </v>
      </c>
      <c r="C16" s="8" t="str">
        <f>_xlfn.CONCAT(data!A16," ",data!B16)</f>
        <v>Misselbrook 2017 </v>
      </c>
      <c r="D16" s="8" t="str">
        <f>Sheet1!C17</f>
        <v>NS</v>
      </c>
      <c r="E16" s="8" t="str">
        <f>Sheet1!E17</f>
        <v>NS</v>
      </c>
      <c r="F16" s="8" t="str">
        <f>Sheet1!G17</f>
        <v>NS</v>
      </c>
      <c r="G16" s="8" t="str">
        <f>Sheet1!I17</f>
        <v>NS</v>
      </c>
      <c r="H16" s="8" t="str">
        <f>Sheet1!K17</f>
        <v>NS</v>
      </c>
      <c r="I16" s="8" t="str">
        <f>Sheet1!O17</f>
        <v>NS</v>
      </c>
      <c r="J16" s="8" t="str">
        <f>Sheet1!U17</f>
        <v>NS</v>
      </c>
      <c r="K16" s="8">
        <f>Sheet1!W17</f>
        <v>18297</v>
      </c>
      <c r="L16" s="8" t="str">
        <f>Sheet1!Y17</f>
        <v>NS</v>
      </c>
      <c r="M16" s="8" t="str">
        <f>Sheet1!AA17</f>
        <v>NS</v>
      </c>
      <c r="N16" s="8">
        <f>Sheet1!AC17</f>
        <v>0</v>
      </c>
      <c r="O16" s="64">
        <f>Sheet1!AF17</f>
        <v>0</v>
      </c>
      <c r="P16" s="8" t="str">
        <f>Sheet1!AI17</f>
        <v>no</v>
      </c>
      <c r="Q16" s="8" t="str">
        <f>Sheet1!AK17</f>
        <v>no</v>
      </c>
      <c r="R16" s="8">
        <f>Sheet1!AS17</f>
        <v>18297</v>
      </c>
      <c r="S16" s="8">
        <f>Sheet1!AU17</f>
        <v>553</v>
      </c>
      <c r="T16" s="8" t="str">
        <f>Sheet1!AW17</f>
        <v>Multiple</v>
      </c>
      <c r="U16" s="8" t="str">
        <f>Sheet1!AY17</f>
        <v>NS</v>
      </c>
      <c r="V16" s="8" t="str">
        <f>Sheet1!BA17</f>
        <v>NS</v>
      </c>
      <c r="W16" s="8" t="str">
        <f>Sheet1!BC17</f>
        <v>NS</v>
      </c>
      <c r="X16" s="8" t="str">
        <f>Sheet1!BE17</f>
        <v>NS</v>
      </c>
      <c r="Y16" s="8" t="str">
        <f>Sheet1!BG17</f>
        <v>NS</v>
      </c>
      <c r="Z16" s="8" t="str">
        <f>Sheet1!BI17</f>
        <v>NS</v>
      </c>
      <c r="AA16" s="8" t="str">
        <f>Sheet1!BK17</f>
        <v>NS</v>
      </c>
      <c r="AB16" s="8" t="str">
        <f>Sheet1!BM17</f>
        <v>NS</v>
      </c>
      <c r="AC16" s="8" t="str">
        <f>Sheet1!BO17</f>
        <v>NS</v>
      </c>
      <c r="AD16" s="8" t="str">
        <f>Sheet1!BQ17</f>
        <v>NS</v>
      </c>
      <c r="AE16" s="8" t="str">
        <f>Sheet1!BS17</f>
        <v>NS</v>
      </c>
      <c r="AF16" s="8" t="str">
        <f>Sheet1!BU17</f>
        <v>NS</v>
      </c>
      <c r="AG16" s="8" t="str">
        <f>Sheet1!BW17</f>
        <v>NS</v>
      </c>
      <c r="AH16" s="8" t="str">
        <f>Sheet1!BY17</f>
        <v>NS</v>
      </c>
      <c r="AI16" s="8" t="str">
        <f>Sheet1!CA17</f>
        <v>NS</v>
      </c>
      <c r="AJ16" s="8" t="str">
        <f>Sheet1!CC17</f>
        <v>NS</v>
      </c>
      <c r="AK16" s="8">
        <f>Sheet1!CE17</f>
        <v>553</v>
      </c>
      <c r="AL16" s="8" t="str">
        <f>Sheet1!CH17</f>
        <v>NS</v>
      </c>
      <c r="AM16" s="8" t="str">
        <f>Sheet1!CI17</f>
        <v>NS</v>
      </c>
      <c r="AN16" s="8" t="str">
        <f>Sheet1!CK17</f>
        <v>NS</v>
      </c>
      <c r="AO16" s="8" t="str">
        <f>Sheet1!CM17</f>
        <v>NS</v>
      </c>
      <c r="AP16" s="8" t="str">
        <f>Sheet1!CO17</f>
        <v>NS</v>
      </c>
      <c r="AQ16" s="8" t="str">
        <f>Sheet1!CQ17</f>
        <v>NS</v>
      </c>
      <c r="AR16" s="8" t="str">
        <f>Sheet1!CS17</f>
        <v>NS</v>
      </c>
      <c r="AS16" s="8" t="str">
        <f>Sheet1!CU17</f>
        <v>NS</v>
      </c>
      <c r="AT16" s="8" t="str">
        <f>Sheet1!CW17</f>
        <v>NS</v>
      </c>
      <c r="AU16" s="8" t="str">
        <f>Sheet1!CY17</f>
        <v>NS</v>
      </c>
      <c r="AV16" s="8" t="str">
        <f>Sheet1!DA17</f>
        <v>NS</v>
      </c>
      <c r="AW16" s="8" t="str">
        <f>Sheet1!DC17</f>
        <v>NS</v>
      </c>
      <c r="AX16" s="8" t="str">
        <f>Sheet1!DE17</f>
        <v>NS</v>
      </c>
      <c r="AY16" s="8" t="str">
        <f>Sheet1!DG17</f>
        <v>NS</v>
      </c>
      <c r="AZ16" s="8" t="str">
        <f>IF(Sheet1!DI17="Psychotic Disorder","yes","no")</f>
        <v>no</v>
      </c>
      <c r="BA16" s="8" t="str">
        <f>Sheet1!DK17</f>
        <v>NS</v>
      </c>
      <c r="BB16" s="8" t="str">
        <f>Sheet1!DM17</f>
        <v>NS</v>
      </c>
      <c r="BC16" s="8">
        <f>Sheet1!EI17</f>
        <v>9</v>
      </c>
    </row>
    <row r="17" spans="1:55" x14ac:dyDescent="0.2">
      <c r="A17" s="63" t="str">
        <f>Sheet1!A18</f>
        <v>Nkire</v>
      </c>
      <c r="B17" s="63">
        <f>Sheet1!B18</f>
        <v>2021</v>
      </c>
      <c r="C17" s="8" t="str">
        <f>_xlfn.CONCAT(data!A17," ",data!B17)</f>
        <v>Nkire 2021</v>
      </c>
      <c r="D17" s="8">
        <f>Sheet1!C18</f>
        <v>249</v>
      </c>
      <c r="E17" s="8">
        <f>Sheet1!E18</f>
        <v>183</v>
      </c>
      <c r="F17" s="8" t="str">
        <f>Sheet1!G18</f>
        <v>NS</v>
      </c>
      <c r="G17" s="8" t="str">
        <f>Sheet1!I18</f>
        <v>NS</v>
      </c>
      <c r="H17" s="8">
        <f>Sheet1!K18</f>
        <v>38.299999999999997</v>
      </c>
      <c r="I17" s="8" t="str">
        <f>Sheet1!O18</f>
        <v>NS</v>
      </c>
      <c r="J17" s="8">
        <f>Sheet1!U18</f>
        <v>0</v>
      </c>
      <c r="K17" s="8">
        <f>Sheet1!W18</f>
        <v>8</v>
      </c>
      <c r="L17" s="8">
        <f>Sheet1!Y18</f>
        <v>424</v>
      </c>
      <c r="M17" s="8">
        <f>Sheet1!AA18</f>
        <v>0</v>
      </c>
      <c r="N17" s="8" t="str">
        <f>Sheet1!AC18</f>
        <v>mixture</v>
      </c>
      <c r="O17" s="64" t="str">
        <f>Sheet1!AF18</f>
        <v>euro</v>
      </c>
      <c r="P17" s="8" t="str">
        <f>Sheet1!AI18</f>
        <v>yes</v>
      </c>
      <c r="Q17" s="8" t="str">
        <f>Sheet1!AK18</f>
        <v>yes</v>
      </c>
      <c r="R17" s="8">
        <f>Sheet1!AS18</f>
        <v>432</v>
      </c>
      <c r="S17" s="8">
        <f>Sheet1!AU18</f>
        <v>38</v>
      </c>
      <c r="T17" s="8" t="str">
        <f>Sheet1!AW18</f>
        <v>Multiple</v>
      </c>
      <c r="U17" s="8">
        <f>Sheet1!AY18</f>
        <v>13</v>
      </c>
      <c r="V17" s="8">
        <f>Sheet1!BA18</f>
        <v>25</v>
      </c>
      <c r="W17" s="8" t="str">
        <f>Sheet1!BC18</f>
        <v>NA</v>
      </c>
      <c r="X17" s="8" t="str">
        <f>Sheet1!BE18</f>
        <v>NA</v>
      </c>
      <c r="Y17" s="8">
        <f>Sheet1!BG18</f>
        <v>25</v>
      </c>
      <c r="Z17" s="8" t="str">
        <f>Sheet1!BI18</f>
        <v>NA</v>
      </c>
      <c r="AA17" s="8" t="str">
        <f>Sheet1!BK18</f>
        <v>NA</v>
      </c>
      <c r="AB17" s="8" t="str">
        <f>Sheet1!BM18</f>
        <v>NA</v>
      </c>
      <c r="AC17" s="8" t="str">
        <f>Sheet1!BO18</f>
        <v>NA</v>
      </c>
      <c r="AD17" s="8" t="str">
        <f>Sheet1!BQ18</f>
        <v>NA</v>
      </c>
      <c r="AE17" s="8" t="str">
        <f>Sheet1!BS18</f>
        <v>NA</v>
      </c>
      <c r="AF17" s="8" t="str">
        <f>Sheet1!BU18</f>
        <v>NA</v>
      </c>
      <c r="AG17" s="8" t="str">
        <f>Sheet1!BW18</f>
        <v>NA</v>
      </c>
      <c r="AH17" s="8" t="str">
        <f>Sheet1!BY18</f>
        <v>NA</v>
      </c>
      <c r="AI17" s="8" t="str">
        <f>Sheet1!CA18</f>
        <v>NA</v>
      </c>
      <c r="AJ17" s="8" t="str">
        <f>Sheet1!CC18</f>
        <v>NA</v>
      </c>
      <c r="AK17" s="8">
        <f>Sheet1!CE18</f>
        <v>13</v>
      </c>
      <c r="AL17" s="8" t="str">
        <f>Sheet1!CH18</f>
        <v>NS</v>
      </c>
      <c r="AM17" s="8" t="str">
        <f>Sheet1!CI18</f>
        <v>NS</v>
      </c>
      <c r="AN17" s="8" t="str">
        <f>Sheet1!CK18</f>
        <v>NS</v>
      </c>
      <c r="AO17" s="8" t="str">
        <f>Sheet1!CM18</f>
        <v>NS</v>
      </c>
      <c r="AP17" s="8" t="str">
        <f>Sheet1!CO18</f>
        <v>NS</v>
      </c>
      <c r="AQ17" s="8" t="str">
        <f>Sheet1!CQ18</f>
        <v>NS</v>
      </c>
      <c r="AR17" s="8" t="str">
        <f>Sheet1!CS18</f>
        <v>NS</v>
      </c>
      <c r="AS17" s="8" t="str">
        <f>Sheet1!CU18</f>
        <v>all</v>
      </c>
      <c r="AT17" s="8" t="str">
        <f>Sheet1!CW18</f>
        <v>yes</v>
      </c>
      <c r="AU17" s="8" t="str">
        <f>Sheet1!CY18</f>
        <v>all</v>
      </c>
      <c r="AV17" s="8" t="str">
        <f>Sheet1!DA18</f>
        <v>all</v>
      </c>
      <c r="AW17" s="8" t="str">
        <f>Sheet1!DC18</f>
        <v>yes</v>
      </c>
      <c r="AX17" s="8" t="str">
        <f>Sheet1!DE18</f>
        <v>NS</v>
      </c>
      <c r="AY17" s="8" t="str">
        <f>Sheet1!DG18</f>
        <v>NS</v>
      </c>
      <c r="AZ17" s="8" t="str">
        <f>IF(Sheet1!DI18="Psychotic Disorder","yes","no")</f>
        <v>yes</v>
      </c>
      <c r="BA17" s="8" t="str">
        <f>Sheet1!DK18</f>
        <v>SCID</v>
      </c>
      <c r="BB17" s="8" t="str">
        <f>Sheet1!DM18</f>
        <v>DSM-IV</v>
      </c>
      <c r="BC17" s="8">
        <f>Sheet1!EI18</f>
        <v>10</v>
      </c>
    </row>
    <row r="18" spans="1:55" x14ac:dyDescent="0.2">
      <c r="A18" s="63" t="str">
        <f>Sheet1!A19</f>
        <v>Okewole</v>
      </c>
      <c r="B18" s="63">
        <f>Sheet1!B19</f>
        <v>2016</v>
      </c>
      <c r="C18" s="8" t="str">
        <f>_xlfn.CONCAT(data!A18," ",data!B18)</f>
        <v>Okewole 2016</v>
      </c>
      <c r="D18" s="8">
        <f>Sheet1!C19</f>
        <v>204</v>
      </c>
      <c r="E18" s="8">
        <f>Sheet1!E19</f>
        <v>202</v>
      </c>
      <c r="F18" s="8" t="str">
        <f>Sheet1!G19</f>
        <v>NS</v>
      </c>
      <c r="G18" s="8" t="str">
        <f>Sheet1!I19</f>
        <v>NS</v>
      </c>
      <c r="H18" s="8">
        <f>Sheet1!K19</f>
        <v>15.9</v>
      </c>
      <c r="I18" s="8" t="str">
        <f>Sheet1!O19</f>
        <v>NS</v>
      </c>
      <c r="J18" s="8">
        <f>Sheet1!U19</f>
        <v>0</v>
      </c>
      <c r="K18" s="8">
        <f>Sheet1!W19</f>
        <v>409</v>
      </c>
      <c r="L18" s="8">
        <f>Sheet1!Y19</f>
        <v>0</v>
      </c>
      <c r="M18" s="8">
        <f>Sheet1!AA19</f>
        <v>0</v>
      </c>
      <c r="N18" s="8" t="str">
        <f>Sheet1!AC19</f>
        <v>inpat_psych</v>
      </c>
      <c r="O18" s="64" t="str">
        <f>Sheet1!AF19</f>
        <v>afri</v>
      </c>
      <c r="P18" s="8" t="str">
        <f>Sheet1!AI19</f>
        <v>no</v>
      </c>
      <c r="Q18" s="8" t="str">
        <f>Sheet1!AK19</f>
        <v>NS</v>
      </c>
      <c r="R18" s="8">
        <f>Sheet1!AS19</f>
        <v>409</v>
      </c>
      <c r="S18" s="8">
        <f>Sheet1!AU19</f>
        <v>32</v>
      </c>
      <c r="T18" s="8" t="str">
        <f>Sheet1!AW19</f>
        <v>multiple</v>
      </c>
      <c r="U18" s="8">
        <f>Sheet1!AY19</f>
        <v>32</v>
      </c>
      <c r="V18" s="8" t="str">
        <f>Sheet1!BA19</f>
        <v>NA</v>
      </c>
      <c r="W18" s="8" t="str">
        <f>Sheet1!BC19</f>
        <v>NA</v>
      </c>
      <c r="X18" s="8" t="str">
        <f>Sheet1!BE19</f>
        <v>NA</v>
      </c>
      <c r="Y18" s="8" t="str">
        <f>Sheet1!BG19</f>
        <v>NA</v>
      </c>
      <c r="Z18" s="8" t="str">
        <f>Sheet1!BI19</f>
        <v>NA</v>
      </c>
      <c r="AA18" s="8" t="str">
        <f>Sheet1!BK19</f>
        <v>NA</v>
      </c>
      <c r="AB18" s="8" t="str">
        <f>Sheet1!BM19</f>
        <v>NA</v>
      </c>
      <c r="AC18" s="8" t="str">
        <f>Sheet1!BO19</f>
        <v>NA</v>
      </c>
      <c r="AD18" s="8" t="str">
        <f>Sheet1!BQ19</f>
        <v>NA</v>
      </c>
      <c r="AE18" s="8" t="str">
        <f>Sheet1!BS19</f>
        <v>NA</v>
      </c>
      <c r="AF18" s="8" t="str">
        <f>Sheet1!BU19</f>
        <v>NA</v>
      </c>
      <c r="AG18" s="8" t="str">
        <f>Sheet1!BW19</f>
        <v>NA</v>
      </c>
      <c r="AH18" s="8" t="str">
        <f>Sheet1!BY19</f>
        <v>NA</v>
      </c>
      <c r="AI18" s="8" t="str">
        <f>Sheet1!CA19</f>
        <v>NA</v>
      </c>
      <c r="AJ18" s="8" t="str">
        <f>Sheet1!CC19</f>
        <v>NA</v>
      </c>
      <c r="AK18" s="8">
        <f>Sheet1!CE19</f>
        <v>32</v>
      </c>
      <c r="AL18" s="8" t="str">
        <f>Sheet1!CH19</f>
        <v>NS</v>
      </c>
      <c r="AM18" s="8" t="str">
        <f>Sheet1!CI19</f>
        <v>NS</v>
      </c>
      <c r="AN18" s="8" t="str">
        <f>Sheet1!CK19</f>
        <v>NS</v>
      </c>
      <c r="AO18" s="8" t="str">
        <f>Sheet1!CM19</f>
        <v>NS</v>
      </c>
      <c r="AP18" s="8" t="str">
        <f>Sheet1!CO19</f>
        <v>NS</v>
      </c>
      <c r="AQ18" s="8" t="str">
        <f>Sheet1!CQ19</f>
        <v>NS</v>
      </c>
      <c r="AR18" s="8" t="str">
        <f>Sheet1!CS19</f>
        <v>NS</v>
      </c>
      <c r="AS18" s="8" t="str">
        <f>Sheet1!CU19</f>
        <v>all</v>
      </c>
      <c r="AT18" s="8" t="str">
        <f>Sheet1!CW19</f>
        <v>yes</v>
      </c>
      <c r="AU18" s="8" t="str">
        <f>Sheet1!CY19</f>
        <v>NS</v>
      </c>
      <c r="AV18" s="8" t="str">
        <f>Sheet1!DA19</f>
        <v>NS</v>
      </c>
      <c r="AW18" s="8" t="str">
        <f>Sheet1!DC19</f>
        <v>NS</v>
      </c>
      <c r="AX18" s="8" t="str">
        <f>Sheet1!DE19</f>
        <v>NS</v>
      </c>
      <c r="AY18" s="8" t="str">
        <f>Sheet1!DG19</f>
        <v>NS</v>
      </c>
      <c r="AZ18" s="8" t="str">
        <f>IF(Sheet1!DI19="Psychotic Disorder","yes","no")</f>
        <v>yes</v>
      </c>
      <c r="BA18" s="8" t="str">
        <f>Sheet1!DK19</f>
        <v>Clinical Assessment</v>
      </c>
      <c r="BB18" s="8" t="str">
        <f>Sheet1!DM19</f>
        <v>ICD-10 and DSM-IV</v>
      </c>
      <c r="BC18" s="8">
        <f>Sheet1!EI19</f>
        <v>9</v>
      </c>
    </row>
    <row r="19" spans="1:55" x14ac:dyDescent="0.2">
      <c r="A19" s="63" t="str">
        <f>Sheet1!A20</f>
        <v>Perala</v>
      </c>
      <c r="B19" s="63">
        <f>Sheet1!B20</f>
        <v>2007</v>
      </c>
      <c r="C19" s="8" t="str">
        <f>_xlfn.CONCAT(data!A19," ",data!B19)</f>
        <v>Perala 2007</v>
      </c>
      <c r="D19" s="8" t="str">
        <f>Sheet1!C20</f>
        <v>NS</v>
      </c>
      <c r="E19" s="8" t="str">
        <f>Sheet1!E20</f>
        <v>NS</v>
      </c>
      <c r="F19" s="8" t="str">
        <f>Sheet1!G20</f>
        <v>NS</v>
      </c>
      <c r="G19" s="8" t="str">
        <f>Sheet1!I20</f>
        <v>NS</v>
      </c>
      <c r="H19" s="8" t="str">
        <f>Sheet1!K20</f>
        <v>NS</v>
      </c>
      <c r="I19" s="8" t="str">
        <f>Sheet1!O20</f>
        <v>NS</v>
      </c>
      <c r="J19" s="8" t="str">
        <f>Sheet1!U20</f>
        <v>NS</v>
      </c>
      <c r="K19" s="8" t="str">
        <f>Sheet1!W20</f>
        <v>NS</v>
      </c>
      <c r="L19" s="8">
        <f>Sheet1!Y20</f>
        <v>0</v>
      </c>
      <c r="M19" s="8">
        <f>Sheet1!AA20</f>
        <v>0</v>
      </c>
      <c r="N19" s="8" t="str">
        <f>Sheet1!AC20</f>
        <v>NS</v>
      </c>
      <c r="O19" s="64" t="str">
        <f>Sheet1!AF20</f>
        <v>euro</v>
      </c>
      <c r="P19" s="8" t="str">
        <f>Sheet1!AI20</f>
        <v>yes</v>
      </c>
      <c r="Q19" s="8" t="str">
        <f>Sheet1!AK20</f>
        <v>no</v>
      </c>
      <c r="R19" s="8">
        <f>Sheet1!AS20</f>
        <v>249</v>
      </c>
      <c r="S19" s="8">
        <f>Sheet1!AU20</f>
        <v>55</v>
      </c>
      <c r="T19" s="8" t="str">
        <f>Sheet1!AW20</f>
        <v>Single</v>
      </c>
      <c r="U19" s="8">
        <f>Sheet1!AY20</f>
        <v>23</v>
      </c>
      <c r="V19" s="8">
        <f>Sheet1!BA20</f>
        <v>33</v>
      </c>
      <c r="W19" s="8" t="str">
        <f>Sheet1!BC20</f>
        <v>NA</v>
      </c>
      <c r="X19" s="8" t="str">
        <f>Sheet1!BE20</f>
        <v>NA</v>
      </c>
      <c r="Y19" s="8">
        <f>Sheet1!BG20</f>
        <v>33</v>
      </c>
      <c r="Z19" s="8" t="str">
        <f>Sheet1!BI20</f>
        <v>NA</v>
      </c>
      <c r="AA19" s="8" t="str">
        <f>Sheet1!BK20</f>
        <v>NA</v>
      </c>
      <c r="AB19" s="8" t="str">
        <f>Sheet1!BM20</f>
        <v>NA</v>
      </c>
      <c r="AC19" s="8" t="str">
        <f>Sheet1!BO20</f>
        <v>NA</v>
      </c>
      <c r="AD19" s="8" t="str">
        <f>Sheet1!BQ20</f>
        <v>NA</v>
      </c>
      <c r="AE19" s="8" t="str">
        <f>Sheet1!BS20</f>
        <v>NA</v>
      </c>
      <c r="AF19" s="8" t="str">
        <f>Sheet1!BU20</f>
        <v>NA</v>
      </c>
      <c r="AG19" s="8" t="str">
        <f>Sheet1!BW20</f>
        <v>NA</v>
      </c>
      <c r="AH19" s="8" t="str">
        <f>Sheet1!BY20</f>
        <v>NA</v>
      </c>
      <c r="AI19" s="8" t="str">
        <f>Sheet1!CA20</f>
        <v>NA</v>
      </c>
      <c r="AJ19" s="8" t="str">
        <f>Sheet1!CC20</f>
        <v>NA</v>
      </c>
      <c r="AK19" s="8">
        <f>Sheet1!CE20</f>
        <v>23</v>
      </c>
      <c r="AL19" s="8" t="str">
        <f>Sheet1!CH20</f>
        <v>NS</v>
      </c>
      <c r="AM19" s="8" t="str">
        <f>Sheet1!CI20</f>
        <v>NS</v>
      </c>
      <c r="AN19" s="8" t="str">
        <f>Sheet1!CK20</f>
        <v>NS</v>
      </c>
      <c r="AO19" s="8" t="str">
        <f>Sheet1!CM20</f>
        <v>NS</v>
      </c>
      <c r="AP19" s="8" t="str">
        <f>Sheet1!CO20</f>
        <v>NS</v>
      </c>
      <c r="AQ19" s="8" t="str">
        <f>Sheet1!CQ20</f>
        <v>NS</v>
      </c>
      <c r="AR19" s="8" t="str">
        <f>Sheet1!CS20</f>
        <v>NS</v>
      </c>
      <c r="AS19" s="8" t="str">
        <f>Sheet1!CU20</f>
        <v>all</v>
      </c>
      <c r="AT19" s="8" t="str">
        <f>Sheet1!CW20</f>
        <v>yes</v>
      </c>
      <c r="AU19" s="8" t="str">
        <f>Sheet1!CY20</f>
        <v>all</v>
      </c>
      <c r="AV19" s="8" t="str">
        <f>Sheet1!DA20</f>
        <v>NS</v>
      </c>
      <c r="AW19" s="8" t="str">
        <f>Sheet1!DC20</f>
        <v>NS</v>
      </c>
      <c r="AX19" s="8" t="str">
        <f>Sheet1!DE20</f>
        <v>NS</v>
      </c>
      <c r="AY19" s="8" t="str">
        <f>Sheet1!DG20</f>
        <v>NS</v>
      </c>
      <c r="AZ19" s="8" t="str">
        <f>IF(Sheet1!DI20="Psychotic Disorder","yes","no")</f>
        <v>yes</v>
      </c>
      <c r="BA19" s="8" t="str">
        <f>Sheet1!DK20</f>
        <v>SCID</v>
      </c>
      <c r="BB19" s="8" t="str">
        <f>Sheet1!DM20</f>
        <v>DSM-IV</v>
      </c>
      <c r="BC19" s="8">
        <f>Sheet1!EI20</f>
        <v>10</v>
      </c>
    </row>
    <row r="20" spans="1:55" x14ac:dyDescent="0.2">
      <c r="A20" s="63" t="str">
        <f>Sheet1!A21</f>
        <v>Rattay</v>
      </c>
      <c r="B20" s="63">
        <f>Sheet1!B21</f>
        <v>2021</v>
      </c>
      <c r="C20" s="8" t="str">
        <f>_xlfn.CONCAT(data!A20," ",data!B20)</f>
        <v>Rattay 2021</v>
      </c>
      <c r="D20" s="8">
        <f>Sheet1!C21</f>
        <v>88</v>
      </c>
      <c r="E20" s="8">
        <f>Sheet1!E21</f>
        <v>56</v>
      </c>
      <c r="F20" s="8" t="str">
        <f>Sheet1!G21</f>
        <v>NS</v>
      </c>
      <c r="G20" s="8" t="str">
        <f>Sheet1!I21</f>
        <v>NS</v>
      </c>
      <c r="H20" s="8" t="str">
        <f>Sheet1!K21</f>
        <v>Mixed</v>
      </c>
      <c r="I20" s="8" t="str">
        <f>Sheet1!O21</f>
        <v>NS</v>
      </c>
      <c r="J20" s="8">
        <f>Sheet1!U21</f>
        <v>0</v>
      </c>
      <c r="K20" s="8">
        <f>Sheet1!W21</f>
        <v>144</v>
      </c>
      <c r="L20" s="8">
        <f>Sheet1!Y21</f>
        <v>0</v>
      </c>
      <c r="M20" s="8">
        <f>Sheet1!AA21</f>
        <v>0</v>
      </c>
      <c r="N20" s="8" t="str">
        <f>Sheet1!AC21</f>
        <v>inpat_psych</v>
      </c>
      <c r="O20" s="64" t="str">
        <f>Sheet1!AF21</f>
        <v>euro</v>
      </c>
      <c r="P20" s="8" t="str">
        <f>Sheet1!AI21</f>
        <v>no</v>
      </c>
      <c r="Q20" s="8" t="str">
        <f>Sheet1!AK21</f>
        <v>no</v>
      </c>
      <c r="R20" s="8">
        <f>Sheet1!AS21</f>
        <v>144</v>
      </c>
      <c r="S20" s="8">
        <f>Sheet1!AU21</f>
        <v>18</v>
      </c>
      <c r="T20" s="8" t="str">
        <f>Sheet1!AW21</f>
        <v>Multiple</v>
      </c>
      <c r="U20" s="8">
        <f>Sheet1!AY21</f>
        <v>17</v>
      </c>
      <c r="V20" s="8">
        <f>Sheet1!BA21</f>
        <v>0</v>
      </c>
      <c r="W20" s="8">
        <f>Sheet1!BC21</f>
        <v>10</v>
      </c>
      <c r="X20" s="8">
        <f>Sheet1!BE21</f>
        <v>0</v>
      </c>
      <c r="Y20" s="8">
        <f>Sheet1!BG21</f>
        <v>0</v>
      </c>
      <c r="Z20" s="8">
        <f>Sheet1!BI21</f>
        <v>0</v>
      </c>
      <c r="AA20" s="8">
        <f>Sheet1!BK21</f>
        <v>0</v>
      </c>
      <c r="AB20" s="8">
        <f>Sheet1!BM21</f>
        <v>1</v>
      </c>
      <c r="AC20" s="8">
        <f>Sheet1!BO21</f>
        <v>0</v>
      </c>
      <c r="AD20" s="8">
        <f>Sheet1!BQ21</f>
        <v>0</v>
      </c>
      <c r="AE20" s="8">
        <f>Sheet1!BS21</f>
        <v>2</v>
      </c>
      <c r="AF20" s="8">
        <f>Sheet1!BU21</f>
        <v>0</v>
      </c>
      <c r="AG20" s="8">
        <f>Sheet1!BW21</f>
        <v>2</v>
      </c>
      <c r="AH20" s="8">
        <f>Sheet1!BY21</f>
        <v>0</v>
      </c>
      <c r="AI20" s="8">
        <f>Sheet1!CA21</f>
        <v>2</v>
      </c>
      <c r="AJ20" s="8">
        <f>Sheet1!CC21</f>
        <v>0</v>
      </c>
      <c r="AK20" s="8">
        <f>Sheet1!CE21</f>
        <v>0</v>
      </c>
      <c r="AL20" s="8" t="str">
        <f>Sheet1!CH21</f>
        <v>some</v>
      </c>
      <c r="AM20" s="8" t="str">
        <f>Sheet1!CI21</f>
        <v>all</v>
      </c>
      <c r="AN20" s="8">
        <f>Sheet1!CK21</f>
        <v>0</v>
      </c>
      <c r="AO20" s="8" t="str">
        <f>Sheet1!CM21</f>
        <v>some</v>
      </c>
      <c r="AP20" s="8" t="str">
        <f>Sheet1!CO21</f>
        <v>all</v>
      </c>
      <c r="AQ20" s="8" t="str">
        <f>Sheet1!CQ21</f>
        <v>all</v>
      </c>
      <c r="AR20" s="8">
        <f>Sheet1!CS21</f>
        <v>0</v>
      </c>
      <c r="AS20" s="8" t="str">
        <f>Sheet1!CU21</f>
        <v>all</v>
      </c>
      <c r="AT20" s="8" t="str">
        <f>Sheet1!CW21</f>
        <v>NS</v>
      </c>
      <c r="AU20" s="8" t="str">
        <f>Sheet1!CY21</f>
        <v>all</v>
      </c>
      <c r="AV20" s="8" t="str">
        <f>Sheet1!DA21</f>
        <v>NS</v>
      </c>
      <c r="AW20" s="8" t="str">
        <f>Sheet1!DC21</f>
        <v>NS</v>
      </c>
      <c r="AX20" s="8" t="str">
        <f>Sheet1!DE21</f>
        <v>NS</v>
      </c>
      <c r="AY20" s="8" t="str">
        <f>Sheet1!DG21</f>
        <v>NS</v>
      </c>
      <c r="AZ20" s="8" t="str">
        <f>IF(Sheet1!DI21="Psychotic Disorder","yes","no")</f>
        <v>no</v>
      </c>
      <c r="BA20" s="8" t="str">
        <f>Sheet1!DK21</f>
        <v>Clinical Assessment</v>
      </c>
      <c r="BB20" s="8" t="str">
        <f>Sheet1!DM21</f>
        <v>ICD-10</v>
      </c>
      <c r="BC20" s="8">
        <f>Sheet1!EI21</f>
        <v>10</v>
      </c>
    </row>
    <row r="21" spans="1:55" x14ac:dyDescent="0.2">
      <c r="A21" s="63" t="str">
        <f>Sheet1!A22</f>
        <v>Reay</v>
      </c>
      <c r="B21" s="63">
        <f>Sheet1!B22</f>
        <v>2010</v>
      </c>
      <c r="C21" s="8" t="str">
        <f>_xlfn.CONCAT(data!A21," ",data!B21)</f>
        <v>Reay 2010</v>
      </c>
      <c r="D21" s="8">
        <f>Sheet1!C22</f>
        <v>308</v>
      </c>
      <c r="E21" s="8">
        <f>Sheet1!E22</f>
        <v>231</v>
      </c>
      <c r="F21" s="8" t="str">
        <f>Sheet1!G22</f>
        <v>NS</v>
      </c>
      <c r="G21" s="8" t="str">
        <f>Sheet1!I22</f>
        <v>NS</v>
      </c>
      <c r="H21" s="8" t="str">
        <f>Sheet1!K22</f>
        <v>NS</v>
      </c>
      <c r="I21" s="8">
        <f>Sheet1!O22</f>
        <v>534</v>
      </c>
      <c r="J21" s="8" t="str">
        <f>Sheet1!U22</f>
        <v>NS</v>
      </c>
      <c r="K21" s="8" t="str">
        <f>Sheet1!W22</f>
        <v>NS</v>
      </c>
      <c r="L21" s="8" t="str">
        <f>Sheet1!Y22</f>
        <v>NS</v>
      </c>
      <c r="M21" s="8" t="str">
        <f>Sheet1!AA22</f>
        <v>NS</v>
      </c>
      <c r="N21" s="8" t="str">
        <f>Sheet1!AC22</f>
        <v>NS</v>
      </c>
      <c r="O21" s="64" t="str">
        <f>Sheet1!AF22</f>
        <v>euro</v>
      </c>
      <c r="P21" s="8" t="str">
        <f>Sheet1!AI22</f>
        <v>yes</v>
      </c>
      <c r="Q21" s="8" t="str">
        <f>Sheet1!AK22</f>
        <v>yes</v>
      </c>
      <c r="R21" s="8">
        <f>Sheet1!AS22</f>
        <v>540</v>
      </c>
      <c r="S21" s="8">
        <f>Sheet1!AU22</f>
        <v>87</v>
      </c>
      <c r="T21" s="8" t="str">
        <f>Sheet1!AW22</f>
        <v>Single</v>
      </c>
      <c r="U21" s="8">
        <f>Sheet1!AY22</f>
        <v>41</v>
      </c>
      <c r="V21" s="8">
        <f>Sheet1!BA22</f>
        <v>46</v>
      </c>
      <c r="W21" s="8" t="str">
        <f>Sheet1!BC22</f>
        <v>NA</v>
      </c>
      <c r="X21" s="8" t="str">
        <f>Sheet1!BE22</f>
        <v>NA</v>
      </c>
      <c r="Y21" s="8">
        <f>Sheet1!BG22</f>
        <v>46</v>
      </c>
      <c r="Z21" s="8" t="str">
        <f>Sheet1!BI22</f>
        <v>NA</v>
      </c>
      <c r="AA21" s="8" t="str">
        <f>Sheet1!BK22</f>
        <v>NA</v>
      </c>
      <c r="AB21" s="8" t="str">
        <f>Sheet1!BM22</f>
        <v>NA</v>
      </c>
      <c r="AC21" s="8" t="str">
        <f>Sheet1!BO22</f>
        <v>NA</v>
      </c>
      <c r="AD21" s="8" t="str">
        <f>Sheet1!BQ22</f>
        <v>NA</v>
      </c>
      <c r="AE21" s="8" t="str">
        <f>Sheet1!BS22</f>
        <v>NA</v>
      </c>
      <c r="AF21" s="8" t="str">
        <f>Sheet1!BU22</f>
        <v>NA</v>
      </c>
      <c r="AG21" s="8" t="str">
        <f>Sheet1!BW22</f>
        <v>NA</v>
      </c>
      <c r="AH21" s="8" t="str">
        <f>Sheet1!BY22</f>
        <v>NA</v>
      </c>
      <c r="AI21" s="8" t="str">
        <f>Sheet1!CA22</f>
        <v>NA</v>
      </c>
      <c r="AJ21" s="8" t="str">
        <f>Sheet1!CC22</f>
        <v>NA</v>
      </c>
      <c r="AK21" s="8">
        <f>Sheet1!CE22</f>
        <v>41</v>
      </c>
      <c r="AL21" s="8" t="str">
        <f>Sheet1!CH22</f>
        <v>NS</v>
      </c>
      <c r="AM21" s="8" t="str">
        <f>Sheet1!CI22</f>
        <v>NS</v>
      </c>
      <c r="AN21" s="8" t="str">
        <f>Sheet1!CK22</f>
        <v>NS</v>
      </c>
      <c r="AO21" s="8" t="str">
        <f>Sheet1!CM22</f>
        <v>NS</v>
      </c>
      <c r="AP21" s="8" t="str">
        <f>Sheet1!CO22</f>
        <v>NS</v>
      </c>
      <c r="AQ21" s="8" t="str">
        <f>Sheet1!CQ22</f>
        <v>NS</v>
      </c>
      <c r="AR21" s="8" t="str">
        <f>Sheet1!CS22</f>
        <v>NS</v>
      </c>
      <c r="AS21" s="8" t="str">
        <f>Sheet1!CU22</f>
        <v>NS</v>
      </c>
      <c r="AT21" s="8" t="str">
        <f>Sheet1!CW22</f>
        <v>NS</v>
      </c>
      <c r="AU21" s="8" t="str">
        <f>Sheet1!CY22</f>
        <v>NS</v>
      </c>
      <c r="AV21" s="8" t="str">
        <f>Sheet1!DA22</f>
        <v>NS</v>
      </c>
      <c r="AW21" s="8" t="str">
        <f>Sheet1!DC22</f>
        <v>NS</v>
      </c>
      <c r="AX21" s="8" t="str">
        <f>Sheet1!DE22</f>
        <v>NS</v>
      </c>
      <c r="AY21" s="8" t="str">
        <f>Sheet1!DG22</f>
        <v>NS</v>
      </c>
      <c r="AZ21" s="8" t="str">
        <f>IF(Sheet1!DI22="Psychotic Disorder","yes","no")</f>
        <v>yes</v>
      </c>
      <c r="BA21" s="8" t="str">
        <f>Sheet1!DK22</f>
        <v>Clinical Assessment</v>
      </c>
      <c r="BB21" s="8" t="str">
        <f>Sheet1!DM22</f>
        <v>ICD-10</v>
      </c>
      <c r="BC21" s="8">
        <f>Sheet1!EI22</f>
        <v>6</v>
      </c>
    </row>
    <row r="22" spans="1:55" x14ac:dyDescent="0.2">
      <c r="A22" s="63" t="str">
        <f>Sheet1!A23</f>
        <v>Solomons</v>
      </c>
      <c r="B22" s="63">
        <f>Sheet1!B23</f>
        <v>1990</v>
      </c>
      <c r="C22" s="8" t="str">
        <f>_xlfn.CONCAT(data!A22," ",data!B22)</f>
        <v>Solomons 1990</v>
      </c>
      <c r="D22" s="8">
        <f>Sheet1!C23</f>
        <v>100</v>
      </c>
      <c r="E22" s="8">
        <f>Sheet1!E23</f>
        <v>0</v>
      </c>
      <c r="F22" s="8" t="str">
        <f>Sheet1!G23</f>
        <v>NS</v>
      </c>
      <c r="G22" s="8" t="str">
        <f>Sheet1!I23</f>
        <v>NS</v>
      </c>
      <c r="H22" s="8">
        <f>Sheet1!K23</f>
        <v>28.2</v>
      </c>
      <c r="I22" s="8">
        <f>Sheet1!O23</f>
        <v>0</v>
      </c>
      <c r="J22" s="8">
        <f>Sheet1!U23</f>
        <v>0</v>
      </c>
      <c r="K22" s="8">
        <f>Sheet1!W23</f>
        <v>100</v>
      </c>
      <c r="L22" s="8">
        <f>Sheet1!Y23</f>
        <v>0</v>
      </c>
      <c r="M22" s="8">
        <f>Sheet1!AA23</f>
        <v>0</v>
      </c>
      <c r="N22" s="8" t="str">
        <f>Sheet1!AC23</f>
        <v>inpat_psych</v>
      </c>
      <c r="O22" s="64" t="str">
        <f>Sheet1!AF23</f>
        <v>afri</v>
      </c>
      <c r="P22" s="8" t="str">
        <f>Sheet1!AI23</f>
        <v>yes</v>
      </c>
      <c r="Q22" s="8" t="str">
        <f>Sheet1!AK23</f>
        <v>no</v>
      </c>
      <c r="R22" s="8">
        <f>Sheet1!AS23</f>
        <v>100</v>
      </c>
      <c r="S22" s="8">
        <f>Sheet1!AU23</f>
        <v>56</v>
      </c>
      <c r="T22" s="8" t="str">
        <f>Sheet1!AW23</f>
        <v>Multiple</v>
      </c>
      <c r="U22" s="8">
        <f>Sheet1!AY23</f>
        <v>8</v>
      </c>
      <c r="V22" s="8">
        <f>Sheet1!BA23</f>
        <v>43</v>
      </c>
      <c r="W22" s="8">
        <f>Sheet1!BC23</f>
        <v>0</v>
      </c>
      <c r="X22" s="8">
        <f>Sheet1!BE23</f>
        <v>0</v>
      </c>
      <c r="Y22" s="8">
        <f>Sheet1!BG23</f>
        <v>43</v>
      </c>
      <c r="Z22" s="8">
        <f>Sheet1!BI23</f>
        <v>0</v>
      </c>
      <c r="AA22" s="8">
        <f>Sheet1!BK23</f>
        <v>0</v>
      </c>
      <c r="AB22" s="8">
        <f>Sheet1!BM23</f>
        <v>0</v>
      </c>
      <c r="AC22" s="8">
        <f>Sheet1!BO23</f>
        <v>0</v>
      </c>
      <c r="AD22" s="8">
        <f>Sheet1!BQ23</f>
        <v>0</v>
      </c>
      <c r="AE22" s="8">
        <f>Sheet1!BS23</f>
        <v>2</v>
      </c>
      <c r="AF22" s="8">
        <f>Sheet1!BU23</f>
        <v>0</v>
      </c>
      <c r="AG22" s="8">
        <f>Sheet1!BW23</f>
        <v>0</v>
      </c>
      <c r="AH22" s="8">
        <f>Sheet1!BY23</f>
        <v>6</v>
      </c>
      <c r="AI22" s="8">
        <f>Sheet1!CA23</f>
        <v>0</v>
      </c>
      <c r="AJ22" s="8">
        <f>Sheet1!CC23</f>
        <v>2</v>
      </c>
      <c r="AK22" s="8">
        <f>Sheet1!CE23</f>
        <v>0</v>
      </c>
      <c r="AL22" s="8">
        <f>Sheet1!CH23</f>
        <v>0</v>
      </c>
      <c r="AM22" s="8">
        <f>Sheet1!CI23</f>
        <v>0</v>
      </c>
      <c r="AN22" s="8">
        <f>Sheet1!CK23</f>
        <v>0</v>
      </c>
      <c r="AO22" s="8" t="str">
        <f>Sheet1!CM23</f>
        <v>some</v>
      </c>
      <c r="AP22" s="8">
        <f>Sheet1!CO23</f>
        <v>0</v>
      </c>
      <c r="AQ22" s="8">
        <f>Sheet1!CQ23</f>
        <v>0</v>
      </c>
      <c r="AR22" s="8" t="str">
        <f>Sheet1!CS23</f>
        <v>all</v>
      </c>
      <c r="AS22" s="8" t="str">
        <f>Sheet1!CU23</f>
        <v>NS</v>
      </c>
      <c r="AT22" s="8" t="str">
        <f>Sheet1!CW23</f>
        <v>NS</v>
      </c>
      <c r="AU22" s="8" t="str">
        <f>Sheet1!CY23</f>
        <v>NS</v>
      </c>
      <c r="AV22" s="8" t="str">
        <f>Sheet1!DA23</f>
        <v>NS</v>
      </c>
      <c r="AW22" s="8" t="str">
        <f>Sheet1!DC23</f>
        <v>NS</v>
      </c>
      <c r="AX22" s="8" t="str">
        <f>Sheet1!DE23</f>
        <v>NS</v>
      </c>
      <c r="AY22" s="8" t="str">
        <f>Sheet1!DG23</f>
        <v>NS</v>
      </c>
      <c r="AZ22" s="8" t="str">
        <f>IF(Sheet1!DI23="Psychotic Disorder","yes","no")</f>
        <v>yes</v>
      </c>
      <c r="BA22" s="8" t="str">
        <f>Sheet1!DK23</f>
        <v>BPRS</v>
      </c>
      <c r="BB22" s="8" t="str">
        <f>Sheet1!DM23</f>
        <v>DSM-III</v>
      </c>
      <c r="BC22" s="8">
        <f>Sheet1!EI23</f>
        <v>9</v>
      </c>
    </row>
    <row r="23" spans="1:55" x14ac:dyDescent="0.2">
      <c r="A23" s="63" t="str">
        <f>Sheet1!A24</f>
        <v>Spies</v>
      </c>
      <c r="B23" s="63">
        <f>Sheet1!B24</f>
        <v>2022</v>
      </c>
      <c r="C23" s="8" t="str">
        <f>_xlfn.CONCAT(data!A23," ",data!B23)</f>
        <v>Spies 2022</v>
      </c>
      <c r="D23" s="8">
        <f>Sheet1!C24</f>
        <v>448</v>
      </c>
      <c r="E23" s="8">
        <f>Sheet1!E24</f>
        <v>463</v>
      </c>
      <c r="F23" s="8" t="str">
        <f>Sheet1!G24</f>
        <v>NS</v>
      </c>
      <c r="G23" s="8" t="str">
        <f>Sheet1!I24</f>
        <v>NS</v>
      </c>
      <c r="H23" s="8" t="str">
        <f>Sheet1!K24</f>
        <v>Mixed</v>
      </c>
      <c r="I23" s="8" t="str">
        <f>Sheet1!O24</f>
        <v>NS</v>
      </c>
      <c r="J23" s="8">
        <f>Sheet1!U24</f>
        <v>0</v>
      </c>
      <c r="K23" s="8">
        <f>Sheet1!W24</f>
        <v>911</v>
      </c>
      <c r="L23" s="8">
        <f>Sheet1!Y24</f>
        <v>0</v>
      </c>
      <c r="M23" s="8">
        <f>Sheet1!AA24</f>
        <v>0</v>
      </c>
      <c r="N23" s="8" t="str">
        <f>Sheet1!AC24</f>
        <v>inpat_psych</v>
      </c>
      <c r="O23" s="64" t="str">
        <f>Sheet1!AF24</f>
        <v>aus</v>
      </c>
      <c r="P23" s="8" t="str">
        <f>Sheet1!AI24</f>
        <v>no</v>
      </c>
      <c r="Q23" s="8" t="str">
        <f>Sheet1!AK24</f>
        <v>no</v>
      </c>
      <c r="R23" s="8">
        <f>Sheet1!AS24</f>
        <v>911</v>
      </c>
      <c r="S23" s="8">
        <f>Sheet1!AU24</f>
        <v>3</v>
      </c>
      <c r="T23" s="8" t="str">
        <f>Sheet1!AW24</f>
        <v>Single</v>
      </c>
      <c r="U23" s="8">
        <f>Sheet1!AY24</f>
        <v>2</v>
      </c>
      <c r="V23" s="8" t="str">
        <f>Sheet1!BA24</f>
        <v>NA</v>
      </c>
      <c r="W23" s="8">
        <f>Sheet1!BC24</f>
        <v>2</v>
      </c>
      <c r="X23" s="8" t="str">
        <f>Sheet1!BE24</f>
        <v>NA</v>
      </c>
      <c r="Y23" s="8" t="str">
        <f>Sheet1!BG24</f>
        <v>NA</v>
      </c>
      <c r="Z23" s="8" t="str">
        <f>Sheet1!BI24</f>
        <v>NA</v>
      </c>
      <c r="AA23" s="8" t="str">
        <f>Sheet1!BK24</f>
        <v>NA</v>
      </c>
      <c r="AB23" s="8" t="str">
        <f>Sheet1!BM24</f>
        <v>NA</v>
      </c>
      <c r="AC23" s="8" t="str">
        <f>Sheet1!BO24</f>
        <v>NA</v>
      </c>
      <c r="AD23" s="8" t="str">
        <f>Sheet1!BQ24</f>
        <v>NA</v>
      </c>
      <c r="AE23" s="8" t="str">
        <f>Sheet1!BS24</f>
        <v>NA</v>
      </c>
      <c r="AF23" s="8" t="str">
        <f>Sheet1!BU24</f>
        <v>NA</v>
      </c>
      <c r="AG23" s="8" t="str">
        <f>Sheet1!BW24</f>
        <v>NA</v>
      </c>
      <c r="AH23" s="8" t="str">
        <f>Sheet1!BY24</f>
        <v>NA</v>
      </c>
      <c r="AI23" s="8" t="str">
        <f>Sheet1!CA24</f>
        <v>NA</v>
      </c>
      <c r="AJ23" s="8" t="str">
        <f>Sheet1!CC24</f>
        <v>NA</v>
      </c>
      <c r="AK23" s="8" t="str">
        <f>Sheet1!CE24</f>
        <v>NA</v>
      </c>
      <c r="AL23" s="8" t="str">
        <f>Sheet1!CH24</f>
        <v>some</v>
      </c>
      <c r="AM23" s="8" t="str">
        <f>Sheet1!CI24</f>
        <v>some</v>
      </c>
      <c r="AN23" s="8" t="str">
        <f>Sheet1!CK24</f>
        <v>some</v>
      </c>
      <c r="AO23" s="8" t="str">
        <f>Sheet1!CM24</f>
        <v>NS</v>
      </c>
      <c r="AP23" s="8" t="str">
        <f>Sheet1!CO24</f>
        <v>NS</v>
      </c>
      <c r="AQ23" s="8" t="str">
        <f>Sheet1!CQ24</f>
        <v>all</v>
      </c>
      <c r="AR23" s="8" t="str">
        <f>Sheet1!CS24</f>
        <v>NS</v>
      </c>
      <c r="AS23" s="8" t="str">
        <f>Sheet1!CU24</f>
        <v>all</v>
      </c>
      <c r="AT23" s="8" t="str">
        <f>Sheet1!CW24</f>
        <v>NS</v>
      </c>
      <c r="AU23" s="8" t="str">
        <f>Sheet1!CY24</f>
        <v>NS</v>
      </c>
      <c r="AV23" s="8" t="str">
        <f>Sheet1!DA24</f>
        <v>NS</v>
      </c>
      <c r="AW23" s="8" t="str">
        <f>Sheet1!DC24</f>
        <v>NS</v>
      </c>
      <c r="AX23" s="8" t="str">
        <f>Sheet1!DE24</f>
        <v>NS</v>
      </c>
      <c r="AY23" s="8" t="str">
        <f>Sheet1!DG24</f>
        <v>NS</v>
      </c>
      <c r="AZ23" s="8" t="str">
        <f>IF(Sheet1!DI24="Psychotic Disorder","yes","no")</f>
        <v>yes</v>
      </c>
      <c r="BA23" s="8" t="str">
        <f>Sheet1!DK24</f>
        <v>NS</v>
      </c>
      <c r="BB23" s="8" t="str">
        <f>Sheet1!DM24</f>
        <v>ICD-10</v>
      </c>
      <c r="BC23" s="8">
        <f>Sheet1!EI24</f>
        <v>10</v>
      </c>
    </row>
    <row r="24" spans="1:55" x14ac:dyDescent="0.2">
      <c r="A24" s="63" t="str">
        <f>Sheet1!A25</f>
        <v>Thompson</v>
      </c>
      <c r="B24" s="63">
        <f>Sheet1!B25</f>
        <v>2016</v>
      </c>
      <c r="C24" s="8" t="str">
        <f>_xlfn.CONCAT(data!A24," ",data!B24)</f>
        <v>Thompson 2016</v>
      </c>
      <c r="D24" s="8">
        <f>Sheet1!C25</f>
        <v>658</v>
      </c>
      <c r="E24" s="8">
        <f>Sheet1!E25</f>
        <v>296</v>
      </c>
      <c r="F24" s="8">
        <f>Sheet1!G25</f>
        <v>21.3</v>
      </c>
      <c r="G24" s="8">
        <f>Sheet1!I25</f>
        <v>20.7</v>
      </c>
      <c r="H24" s="8">
        <f>Sheet1!K25</f>
        <v>21.3</v>
      </c>
      <c r="I24" s="8">
        <f>Sheet1!O25</f>
        <v>710</v>
      </c>
      <c r="J24" s="8">
        <f>Sheet1!U25</f>
        <v>0</v>
      </c>
      <c r="K24" s="8">
        <f>Sheet1!W25</f>
        <v>0</v>
      </c>
      <c r="L24" s="8">
        <f>Sheet1!Y25</f>
        <v>954</v>
      </c>
      <c r="M24" s="8">
        <f>Sheet1!AA25</f>
        <v>0</v>
      </c>
      <c r="N24" s="8" t="str">
        <f>Sheet1!AC25</f>
        <v>outpat_psych</v>
      </c>
      <c r="O24" s="64" t="str">
        <f>Sheet1!AF25</f>
        <v>euro</v>
      </c>
      <c r="P24" s="8" t="str">
        <f>Sheet1!AI25</f>
        <v>no</v>
      </c>
      <c r="Q24" s="8" t="str">
        <f>Sheet1!AK25</f>
        <v>yes</v>
      </c>
      <c r="R24" s="8">
        <f>Sheet1!AS25</f>
        <v>954</v>
      </c>
      <c r="S24" s="8">
        <f>Sheet1!AU25</f>
        <v>67</v>
      </c>
      <c r="T24" s="8" t="str">
        <f>Sheet1!AW25</f>
        <v>Single</v>
      </c>
      <c r="U24" s="8" t="str">
        <f>Sheet1!AY25</f>
        <v>NA</v>
      </c>
      <c r="V24" s="8">
        <f>Sheet1!BA25</f>
        <v>67</v>
      </c>
      <c r="W24" s="8" t="str">
        <f>Sheet1!BC25</f>
        <v>NA</v>
      </c>
      <c r="X24" s="8" t="str">
        <f>Sheet1!BE25</f>
        <v>NA</v>
      </c>
      <c r="Y24" s="8">
        <f>Sheet1!BG25</f>
        <v>67</v>
      </c>
      <c r="Z24" s="8" t="str">
        <f>Sheet1!BI25</f>
        <v>NA</v>
      </c>
      <c r="AA24" s="8" t="str">
        <f>Sheet1!BK25</f>
        <v>NA</v>
      </c>
      <c r="AB24" s="8" t="str">
        <f>Sheet1!BM25</f>
        <v>NA</v>
      </c>
      <c r="AC24" s="8" t="str">
        <f>Sheet1!BO25</f>
        <v>NA</v>
      </c>
      <c r="AD24" s="8" t="str">
        <f>Sheet1!BQ25</f>
        <v>NA</v>
      </c>
      <c r="AE24" s="8" t="str">
        <f>Sheet1!BS25</f>
        <v>NA</v>
      </c>
      <c r="AF24" s="8" t="str">
        <f>Sheet1!BU25</f>
        <v>NA</v>
      </c>
      <c r="AG24" s="8" t="str">
        <f>Sheet1!BW25</f>
        <v>NA</v>
      </c>
      <c r="AH24" s="8" t="str">
        <f>Sheet1!BY25</f>
        <v>NA</v>
      </c>
      <c r="AI24" s="8" t="str">
        <f>Sheet1!CA25</f>
        <v>NA</v>
      </c>
      <c r="AJ24" s="8" t="str">
        <f>Sheet1!CC25</f>
        <v>NA</v>
      </c>
      <c r="AK24" s="8" t="str">
        <f>Sheet1!CE25</f>
        <v>NA</v>
      </c>
      <c r="AL24" s="8" t="str">
        <f>Sheet1!CH25</f>
        <v>NS</v>
      </c>
      <c r="AM24" s="8" t="str">
        <f>Sheet1!CI25</f>
        <v>NS</v>
      </c>
      <c r="AN24" s="8" t="str">
        <f>Sheet1!CK25</f>
        <v>NS</v>
      </c>
      <c r="AO24" s="8" t="str">
        <f>Sheet1!CM25</f>
        <v>NS</v>
      </c>
      <c r="AP24" s="8" t="str">
        <f>Sheet1!CO25</f>
        <v>NS</v>
      </c>
      <c r="AQ24" s="8" t="str">
        <f>Sheet1!CQ25</f>
        <v>NS</v>
      </c>
      <c r="AR24" s="8" t="str">
        <f>Sheet1!CS25</f>
        <v>NS</v>
      </c>
      <c r="AS24" s="8" t="str">
        <f>Sheet1!CU25</f>
        <v>all</v>
      </c>
      <c r="AT24" s="8" t="str">
        <f>Sheet1!CW25</f>
        <v>yes</v>
      </c>
      <c r="AU24" s="8" t="str">
        <f>Sheet1!CY25</f>
        <v>NS</v>
      </c>
      <c r="AV24" s="8" t="str">
        <f>Sheet1!DA25</f>
        <v>NS</v>
      </c>
      <c r="AW24" s="8" t="str">
        <f>Sheet1!DC25</f>
        <v>NS</v>
      </c>
      <c r="AX24" s="8" t="str">
        <f>Sheet1!DE25</f>
        <v>NS</v>
      </c>
      <c r="AY24" s="8" t="str">
        <f>Sheet1!DG25</f>
        <v>NS</v>
      </c>
      <c r="AZ24" s="8" t="str">
        <f>IF(Sheet1!DI25="Psychotic Disorder","yes","no")</f>
        <v>yes</v>
      </c>
      <c r="BA24" s="8" t="str">
        <f>Sheet1!DK25</f>
        <v>OPCRIT, Clinical Assessment</v>
      </c>
      <c r="BB24" s="8" t="str">
        <f>Sheet1!DM25</f>
        <v>ICD-10</v>
      </c>
      <c r="BC24" s="8">
        <f>Sheet1!EI25</f>
        <v>9</v>
      </c>
    </row>
    <row r="25" spans="1:55" x14ac:dyDescent="0.2">
      <c r="A25" s="63" t="str">
        <f>Sheet1!A26</f>
        <v>Turner</v>
      </c>
      <c r="B25" s="63">
        <f>Sheet1!B26</f>
        <v>2006</v>
      </c>
      <c r="C25" s="8" t="str">
        <f>_xlfn.CONCAT(data!A25," ",data!B25)</f>
        <v>Turner 2006</v>
      </c>
      <c r="D25" s="8">
        <f>Sheet1!C26</f>
        <v>132</v>
      </c>
      <c r="E25" s="8">
        <f>Sheet1!E26</f>
        <v>50</v>
      </c>
      <c r="F25" s="8" t="str">
        <f>Sheet1!G26</f>
        <v>NS</v>
      </c>
      <c r="G25" s="8" t="str">
        <f>Sheet1!I26</f>
        <v>NS</v>
      </c>
      <c r="H25" s="8">
        <f>Sheet1!K26</f>
        <v>22.35</v>
      </c>
      <c r="I25" s="8">
        <f>Sheet1!O26</f>
        <v>132</v>
      </c>
      <c r="J25" s="8">
        <f>Sheet1!U26</f>
        <v>29</v>
      </c>
      <c r="K25" s="8">
        <f>Sheet1!W26</f>
        <v>116</v>
      </c>
      <c r="L25" s="8">
        <f>Sheet1!Y26</f>
        <v>9</v>
      </c>
      <c r="M25" s="8">
        <f>Sheet1!AA26</f>
        <v>14</v>
      </c>
      <c r="N25" s="8" t="str">
        <f>Sheet1!AC26</f>
        <v>mixture</v>
      </c>
      <c r="O25" s="64" t="str">
        <f>Sheet1!AF26</f>
        <v>aus</v>
      </c>
      <c r="P25" s="8" t="str">
        <f>Sheet1!AI26</f>
        <v>yes</v>
      </c>
      <c r="Q25" s="8" t="str">
        <f>Sheet1!AK26</f>
        <v>yes</v>
      </c>
      <c r="R25" s="8">
        <f>Sheet1!AS26</f>
        <v>184</v>
      </c>
      <c r="S25" s="8">
        <f>Sheet1!AU26</f>
        <v>9</v>
      </c>
      <c r="T25" s="8" t="str">
        <f>Sheet1!AW26</f>
        <v>Single</v>
      </c>
      <c r="U25" s="8" t="str">
        <f>Sheet1!AY26</f>
        <v>NA</v>
      </c>
      <c r="V25" s="8">
        <f>Sheet1!BA26</f>
        <v>9</v>
      </c>
      <c r="W25" s="8" t="str">
        <f>Sheet1!BC26</f>
        <v>NA</v>
      </c>
      <c r="X25" s="8" t="str">
        <f>Sheet1!BE26</f>
        <v>NA</v>
      </c>
      <c r="Y25" s="8">
        <f>Sheet1!BG26</f>
        <v>9</v>
      </c>
      <c r="Z25" s="8" t="str">
        <f>Sheet1!BI26</f>
        <v>NA</v>
      </c>
      <c r="AA25" s="8" t="str">
        <f>Sheet1!BK26</f>
        <v>NA</v>
      </c>
      <c r="AB25" s="8" t="str">
        <f>Sheet1!BM26</f>
        <v>NA</v>
      </c>
      <c r="AC25" s="8" t="str">
        <f>Sheet1!BO26</f>
        <v>NA</v>
      </c>
      <c r="AD25" s="8" t="str">
        <f>Sheet1!BQ26</f>
        <v>NA</v>
      </c>
      <c r="AE25" s="8" t="str">
        <f>Sheet1!BS26</f>
        <v>NA</v>
      </c>
      <c r="AF25" s="8" t="str">
        <f>Sheet1!BU26</f>
        <v>NA</v>
      </c>
      <c r="AG25" s="8" t="str">
        <f>Sheet1!BW26</f>
        <v>NA</v>
      </c>
      <c r="AH25" s="8" t="str">
        <f>Sheet1!BY26</f>
        <v>NA</v>
      </c>
      <c r="AI25" s="8" t="str">
        <f>Sheet1!CA26</f>
        <v>NA</v>
      </c>
      <c r="AJ25" s="8" t="str">
        <f>Sheet1!CC26</f>
        <v>NA</v>
      </c>
      <c r="AK25" s="8" t="str">
        <f>Sheet1!CE26</f>
        <v>NA</v>
      </c>
      <c r="AL25" s="8" t="str">
        <f>Sheet1!CH26</f>
        <v>NS</v>
      </c>
      <c r="AM25" s="8" t="str">
        <f>Sheet1!CI26</f>
        <v>NS</v>
      </c>
      <c r="AN25" s="8" t="str">
        <f>Sheet1!CK26</f>
        <v>NS</v>
      </c>
      <c r="AO25" s="8" t="str">
        <f>Sheet1!CM26</f>
        <v>NS</v>
      </c>
      <c r="AP25" s="8" t="str">
        <f>Sheet1!CO26</f>
        <v>NS</v>
      </c>
      <c r="AQ25" s="8" t="str">
        <f>Sheet1!CQ26</f>
        <v>NS</v>
      </c>
      <c r="AR25" s="8" t="str">
        <f>Sheet1!CS26</f>
        <v>NS</v>
      </c>
      <c r="AS25" s="8" t="str">
        <f>Sheet1!CU26</f>
        <v>all</v>
      </c>
      <c r="AT25" s="8" t="str">
        <f>Sheet1!CW26</f>
        <v>yes</v>
      </c>
      <c r="AU25" s="8" t="str">
        <f>Sheet1!CY26</f>
        <v>NS</v>
      </c>
      <c r="AV25" s="8" t="str">
        <f>Sheet1!DA26</f>
        <v>NS</v>
      </c>
      <c r="AW25" s="8" t="str">
        <f>Sheet1!DC26</f>
        <v>NS</v>
      </c>
      <c r="AX25" s="8" t="str">
        <f>Sheet1!DE26</f>
        <v>NS</v>
      </c>
      <c r="AY25" s="8" t="str">
        <f>Sheet1!DG26</f>
        <v>NS</v>
      </c>
      <c r="AZ25" s="8" t="str">
        <f>IF(Sheet1!DI26="Psychotic Disorder","yes","no")</f>
        <v>yes</v>
      </c>
      <c r="BA25" s="8" t="str">
        <f>Sheet1!DK26</f>
        <v>Clinical Assessment</v>
      </c>
      <c r="BB25" s="8" t="str">
        <f>Sheet1!DM26</f>
        <v>DSM-IV</v>
      </c>
      <c r="BC25" s="8">
        <f>Sheet1!EI26</f>
        <v>8</v>
      </c>
    </row>
    <row r="26" spans="1:55" x14ac:dyDescent="0.2">
      <c r="A26" s="63" t="str">
        <f>Sheet1!A27</f>
        <v>Yaxley</v>
      </c>
      <c r="B26" s="63">
        <f>Sheet1!B27</f>
        <v>2021</v>
      </c>
      <c r="C26" s="8" t="str">
        <f>_xlfn.CONCAT(data!A26," ",data!B26)</f>
        <v>Yaxley 2021</v>
      </c>
      <c r="D26" s="8" t="str">
        <f>Sheet1!C27</f>
        <v>NS</v>
      </c>
      <c r="E26" s="8" t="str">
        <f>Sheet1!E27</f>
        <v>NS</v>
      </c>
      <c r="F26" s="8" t="str">
        <f>Sheet1!G27</f>
        <v>NS</v>
      </c>
      <c r="G26" s="8" t="str">
        <f>Sheet1!I27</f>
        <v>NS</v>
      </c>
      <c r="H26" s="8" t="str">
        <f>Sheet1!K27</f>
        <v>NS</v>
      </c>
      <c r="I26" s="8" t="str">
        <f>Sheet1!O27</f>
        <v>NS</v>
      </c>
      <c r="J26" s="8">
        <f>Sheet1!U27</f>
        <v>0</v>
      </c>
      <c r="K26" s="8">
        <f>Sheet1!W27</f>
        <v>132</v>
      </c>
      <c r="L26" s="8">
        <f>Sheet1!Y27</f>
        <v>0</v>
      </c>
      <c r="M26" s="8">
        <f>Sheet1!AA27</f>
        <v>0</v>
      </c>
      <c r="N26" s="8">
        <f>Sheet1!AC27</f>
        <v>0</v>
      </c>
      <c r="O26" s="64">
        <f>Sheet1!AF27</f>
        <v>0</v>
      </c>
      <c r="P26" s="8" t="str">
        <f>Sheet1!AI27</f>
        <v>no</v>
      </c>
      <c r="Q26" s="8" t="str">
        <f>Sheet1!AK27</f>
        <v>yes</v>
      </c>
      <c r="R26" s="8">
        <f>Sheet1!AS27</f>
        <v>132</v>
      </c>
      <c r="S26" s="8">
        <f>Sheet1!AU27</f>
        <v>34</v>
      </c>
      <c r="T26" s="8" t="str">
        <f>Sheet1!AW27</f>
        <v>Multiple</v>
      </c>
      <c r="U26" s="8">
        <f>Sheet1!AY27</f>
        <v>1</v>
      </c>
      <c r="V26" s="8">
        <f>Sheet1!BA27</f>
        <v>33</v>
      </c>
      <c r="W26" s="8">
        <f>Sheet1!BC27</f>
        <v>0</v>
      </c>
      <c r="X26" s="8">
        <f>Sheet1!BE27</f>
        <v>0</v>
      </c>
      <c r="Y26" s="8">
        <f>Sheet1!BG27</f>
        <v>33</v>
      </c>
      <c r="Z26" s="8">
        <f>Sheet1!BI27</f>
        <v>0</v>
      </c>
      <c r="AA26" s="8">
        <f>Sheet1!BK27</f>
        <v>0</v>
      </c>
      <c r="AB26" s="8">
        <f>Sheet1!BM27</f>
        <v>0</v>
      </c>
      <c r="AC26" s="8">
        <f>Sheet1!BO27</f>
        <v>0</v>
      </c>
      <c r="AD26" s="8">
        <f>Sheet1!BQ27</f>
        <v>0</v>
      </c>
      <c r="AE26" s="8">
        <f>Sheet1!BS27</f>
        <v>0</v>
      </c>
      <c r="AF26" s="8">
        <f>Sheet1!BU27</f>
        <v>1</v>
      </c>
      <c r="AG26" s="8">
        <f>Sheet1!BW27</f>
        <v>0</v>
      </c>
      <c r="AH26" s="8">
        <f>Sheet1!BY27</f>
        <v>0</v>
      </c>
      <c r="AI26" s="8">
        <f>Sheet1!CA27</f>
        <v>0</v>
      </c>
      <c r="AJ26" s="8">
        <f>Sheet1!CC27</f>
        <v>0</v>
      </c>
      <c r="AK26" s="8" t="str">
        <f>Sheet1!CE27</f>
        <v>NS</v>
      </c>
      <c r="AL26" s="8" t="str">
        <f>Sheet1!CH27</f>
        <v>Some</v>
      </c>
      <c r="AM26" s="8" t="str">
        <f>Sheet1!CI27</f>
        <v>some</v>
      </c>
      <c r="AN26" s="8" t="str">
        <f>Sheet1!CK27</f>
        <v>NS</v>
      </c>
      <c r="AO26" s="8" t="str">
        <f>Sheet1!CM27</f>
        <v>NS</v>
      </c>
      <c r="AP26" s="8" t="str">
        <f>Sheet1!CO27</f>
        <v>NS</v>
      </c>
      <c r="AQ26" s="8" t="str">
        <f>Sheet1!CQ27</f>
        <v>NS</v>
      </c>
      <c r="AR26" s="8" t="str">
        <f>Sheet1!CS27</f>
        <v>NS</v>
      </c>
      <c r="AS26" s="8" t="str">
        <f>Sheet1!CU27</f>
        <v>NS</v>
      </c>
      <c r="AT26" s="8" t="str">
        <f>Sheet1!CW27</f>
        <v>NS</v>
      </c>
      <c r="AU26" s="8" t="str">
        <f>Sheet1!CY27</f>
        <v>NS</v>
      </c>
      <c r="AV26" s="8" t="str">
        <f>Sheet1!DA27</f>
        <v>NS</v>
      </c>
      <c r="AW26" s="8" t="str">
        <f>Sheet1!DC27</f>
        <v>NS</v>
      </c>
      <c r="AX26" s="8" t="str">
        <f>Sheet1!DE27</f>
        <v>NS</v>
      </c>
      <c r="AY26" s="8" t="str">
        <f>Sheet1!DG27</f>
        <v>NS</v>
      </c>
      <c r="AZ26" s="8" t="str">
        <f>IF(Sheet1!DI27="Psychotic Disorder","yes","no")</f>
        <v>yes</v>
      </c>
      <c r="BA26" s="8" t="str">
        <f>Sheet1!DK27</f>
        <v>NS</v>
      </c>
      <c r="BB26" s="8" t="str">
        <f>Sheet1!DM27</f>
        <v>NS</v>
      </c>
      <c r="BC26" s="8">
        <f>Sheet1!EI27</f>
        <v>10</v>
      </c>
    </row>
    <row r="27" spans="1:55" x14ac:dyDescent="0.2">
      <c r="A27" s="63"/>
      <c r="B27" s="63"/>
      <c r="O27" s="6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key</vt:lpstr>
      <vt:lpstr>data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 B</dc:creator>
  <cp:keywords/>
  <dc:description/>
  <cp:lastModifiedBy>Microsoft Office User</cp:lastModifiedBy>
  <cp:revision/>
  <dcterms:created xsi:type="dcterms:W3CDTF">2022-12-05T18:37:32Z</dcterms:created>
  <dcterms:modified xsi:type="dcterms:W3CDTF">2023-06-02T15:02:27Z</dcterms:modified>
  <cp:category/>
  <cp:contentStatus/>
</cp:coreProperties>
</file>