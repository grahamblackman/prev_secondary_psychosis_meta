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grahamblackman/Dropbox/Organic_psychosis_prevalence_meta_analysis/analysis_r/scripts/"/>
    </mc:Choice>
  </mc:AlternateContent>
  <xr:revisionPtr revIDLastSave="0" documentId="13_ncr:1_{66D26892-10FE-5443-A5F0-6C39768B3BB9}" xr6:coauthVersionLast="47" xr6:coauthVersionMax="47" xr10:uidLastSave="{00000000-0000-0000-0000-000000000000}"/>
  <bookViews>
    <workbookView xWindow="0" yWindow="500" windowWidth="40960" windowHeight="20800" xr2:uid="{00000000-000D-0000-FFFF-FFFF00000000}"/>
  </bookViews>
  <sheets>
    <sheet name="Sheet1" sheetId="1" r:id="rId1"/>
    <sheet name="data" sheetId="2" r:id="rId2"/>
    <sheet name="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I4yjqx/ei5MUtYHq++wcCee/yJj/Lx2WCToZDGppE4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35" i="2"/>
  <c r="A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34" i="2"/>
  <c r="A34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33" i="2"/>
  <c r="A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B32" i="2"/>
  <c r="A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31" i="2"/>
  <c r="A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30" i="2"/>
  <c r="A30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B29" i="2"/>
  <c r="A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B28" i="2"/>
  <c r="A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B27" i="2"/>
  <c r="A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26" i="2"/>
  <c r="A26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X25" i="2"/>
  <c r="W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25" i="2"/>
  <c r="A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24" i="2"/>
  <c r="A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B23" i="2"/>
  <c r="A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B22" i="2"/>
  <c r="A22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21" i="2"/>
  <c r="A21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20" i="2"/>
  <c r="A20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19" i="2"/>
  <c r="A19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W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18" i="2"/>
  <c r="A18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17" i="2"/>
  <c r="A17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B16" i="2"/>
  <c r="A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B15" i="2"/>
  <c r="A15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X14" i="2"/>
  <c r="W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B14" i="2"/>
  <c r="A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A13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B12" i="2"/>
  <c r="A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B11" i="2"/>
  <c r="A11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10" i="2"/>
  <c r="A10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B9" i="2"/>
  <c r="A9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X8" i="2"/>
  <c r="W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B8" i="2"/>
  <c r="A8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X7" i="2"/>
  <c r="W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B7" i="2"/>
  <c r="A7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B6" i="2"/>
  <c r="A6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B5" i="2"/>
  <c r="A5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B4" i="2"/>
  <c r="A4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B3" i="2"/>
  <c r="A3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B2" i="2"/>
  <c r="A2" i="2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HN38" i="1" s="1"/>
  <c r="EW38" i="1"/>
  <c r="BC38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HN37" i="1" s="1"/>
  <c r="BC37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BH35" i="2" s="1"/>
  <c r="BC36" i="1"/>
  <c r="S35" i="2" s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HN35" i="1" s="1"/>
  <c r="BC35" i="1"/>
  <c r="S34" i="2" s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HN34" i="1" s="1"/>
  <c r="EW34" i="1"/>
  <c r="BC34" i="1"/>
  <c r="S33" i="2" s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BH32" i="2" s="1"/>
  <c r="BL33" i="1"/>
  <c r="BK33" i="1"/>
  <c r="FX33" i="1" s="1"/>
  <c r="BC33" i="1"/>
  <c r="S32" i="2" s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HN32" i="1" s="1"/>
  <c r="EW32" i="1"/>
  <c r="BH31" i="2" s="1"/>
  <c r="BC32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BH30" i="2" s="1"/>
  <c r="BC31" i="1"/>
  <c r="S30" i="2" s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HN30" i="1" s="1"/>
  <c r="BC30" i="1"/>
  <c r="S29" i="2" s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BH28" i="2" s="1"/>
  <c r="BC29" i="1"/>
  <c r="S28" i="2" s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HN28" i="1" s="1"/>
  <c r="EW28" i="1"/>
  <c r="BH27" i="2" s="1"/>
  <c r="BC28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BH26" i="2" s="1"/>
  <c r="BL27" i="1"/>
  <c r="FX27" i="1" s="1"/>
  <c r="BC27" i="1"/>
  <c r="S26" i="2" s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BH25" i="2" s="1"/>
  <c r="BL26" i="1"/>
  <c r="BK26" i="1"/>
  <c r="FX26" i="1" s="1"/>
  <c r="BI26" i="1"/>
  <c r="FW26" i="1" s="1"/>
  <c r="BC26" i="1"/>
  <c r="S25" i="2" s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BH24" i="2" s="1"/>
  <c r="BC25" i="1"/>
  <c r="S24" i="2" s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HN24" i="1" s="1"/>
  <c r="EW24" i="1"/>
  <c r="BH23" i="2" s="1"/>
  <c r="BC24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BH22" i="2" s="1"/>
  <c r="BC23" i="1"/>
  <c r="S22" i="2" s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HN22" i="1" s="1"/>
  <c r="BC22" i="1"/>
  <c r="S21" i="2" s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BH20" i="2" s="1"/>
  <c r="BC21" i="1"/>
  <c r="S20" i="2" s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HN20" i="1" s="1"/>
  <c r="EW20" i="1"/>
  <c r="BH19" i="2" s="1"/>
  <c r="BC20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BH18" i="2" s="1"/>
  <c r="BK19" i="1"/>
  <c r="FX19" i="1" s="1"/>
  <c r="BJ19" i="1"/>
  <c r="BI19" i="1"/>
  <c r="FW19" i="1" s="1"/>
  <c r="BC19" i="1"/>
  <c r="S18" i="2" s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HN18" i="1" s="1"/>
  <c r="BC18" i="1"/>
  <c r="S17" i="2" s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HN17" i="1" s="1"/>
  <c r="EW17" i="1"/>
  <c r="BH16" i="2" s="1"/>
  <c r="BC17" i="1"/>
  <c r="S16" i="2" s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BH15" i="2" s="1"/>
  <c r="BC16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HN15" i="1" s="1"/>
  <c r="BL15" i="1"/>
  <c r="FX15" i="1" s="1"/>
  <c r="BK15" i="1"/>
  <c r="Y14" i="2" s="1"/>
  <c r="BC15" i="1"/>
  <c r="S14" i="2" s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BH13" i="2" s="1"/>
  <c r="BC14" i="1"/>
  <c r="S13" i="2" s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BH12" i="2" s="1"/>
  <c r="BC13" i="1"/>
  <c r="S12" i="2" s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HN12" i="1" s="1"/>
  <c r="BC12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HN11" i="1" s="1"/>
  <c r="EW11" i="1"/>
  <c r="BH10" i="2" s="1"/>
  <c r="BC11" i="1"/>
  <c r="S10" i="2" s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E10" i="1"/>
  <c r="FD10" i="1"/>
  <c r="FC10" i="1"/>
  <c r="FB10" i="1"/>
  <c r="FA10" i="1"/>
  <c r="EZ10" i="1"/>
  <c r="EY10" i="1"/>
  <c r="EX10" i="1"/>
  <c r="EW10" i="1"/>
  <c r="HN10" i="1" s="1"/>
  <c r="BC10" i="1"/>
  <c r="S9" i="2" s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BH8" i="2" s="1"/>
  <c r="BL9" i="1"/>
  <c r="BK9" i="1"/>
  <c r="Y8" i="2" s="1"/>
  <c r="BJ9" i="1"/>
  <c r="BC9" i="1"/>
  <c r="S8" i="2" s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BH7" i="2" s="1"/>
  <c r="BK8" i="1"/>
  <c r="Y7" i="2" s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HN7" i="1" s="1"/>
  <c r="BL7" i="1"/>
  <c r="FX7" i="1" s="1"/>
  <c r="BC7" i="1"/>
  <c r="S6" i="2" s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HN6" i="1" s="1"/>
  <c r="BL6" i="1"/>
  <c r="FX6" i="1" s="1"/>
  <c r="BC6" i="1"/>
  <c r="S5" i="2" s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BH4" i="2" s="1"/>
  <c r="BL5" i="1"/>
  <c r="FX5" i="1" s="1"/>
  <c r="BC5" i="1"/>
  <c r="S4" i="2" s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BH3" i="2" s="1"/>
  <c r="BC4" i="1"/>
  <c r="S3" i="2" s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HN3" i="1" s="1"/>
  <c r="BC3" i="1"/>
  <c r="S2" i="2" s="1"/>
  <c r="HN8" i="1" l="1"/>
  <c r="FX9" i="1"/>
  <c r="HN14" i="1"/>
  <c r="HN16" i="1"/>
  <c r="HN19" i="1"/>
  <c r="HN23" i="1"/>
  <c r="HN26" i="1"/>
  <c r="HN27" i="1"/>
  <c r="HN31" i="1"/>
  <c r="HN33" i="1"/>
  <c r="BH2" i="2"/>
  <c r="BH6" i="2"/>
  <c r="BH14" i="2"/>
  <c r="X18" i="2"/>
  <c r="Y25" i="2"/>
  <c r="BH34" i="2"/>
  <c r="HN4" i="1"/>
  <c r="HN5" i="1"/>
  <c r="HN13" i="1"/>
  <c r="HN36" i="1"/>
  <c r="BH11" i="2"/>
  <c r="Y18" i="2"/>
  <c r="FX8" i="1"/>
  <c r="HN9" i="1"/>
  <c r="HN21" i="1"/>
  <c r="HN25" i="1"/>
  <c r="HN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" authorId="0" shapeId="0" xr:uid="{00000000-0006-0000-0000-000001000000}">
      <text>
        <r>
          <rPr>
            <sz val="11"/>
            <color theme="1"/>
            <rFont val="Calibri"/>
            <scheme val="minor"/>
          </rPr>
          <t>SD 13.3
======</t>
        </r>
      </text>
    </comment>
    <comment ref="AS4" authorId="0" shapeId="0" xr:uid="{00000000-0006-0000-0000-000002000000}">
      <text>
        <r>
          <rPr>
            <sz val="11"/>
            <color theme="1"/>
            <rFont val="Calibri"/>
            <scheme val="minor"/>
          </rPr>
          <t>"Duration of illness" in years
======</t>
        </r>
      </text>
    </comment>
    <comment ref="DL4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ID#AAAA6fc2shk
Anonymous    (2023-10-06 19:17:15)
ICD-10</t>
        </r>
      </text>
    </comment>
    <comment ref="O5" authorId="0" shapeId="0" xr:uid="{00000000-0006-0000-0000-000044000000}">
      <text>
        <r>
          <rPr>
            <sz val="11"/>
            <color theme="1"/>
            <rFont val="Calibri"/>
            <scheme val="minor"/>
          </rPr>
          <t>======
ID#AAAAyv48TR0
R B    (2023-06-08 12:33:25)
White/other</t>
        </r>
      </text>
    </comment>
    <comment ref="P5" authorId="0" shapeId="0" xr:uid="{00000000-0006-0000-0000-00007F000000}">
      <text>
        <r>
          <rPr>
            <sz val="11"/>
            <color theme="1"/>
            <rFont val="Calibri"/>
            <scheme val="minor"/>
          </rPr>
          <t>======
ID#AAAAyv48TOI
tc={1376C732-31B8-4C89-B97E-F63CC7153AE5}    (2023-06-08 12:33:25)
[Threaded comment]
Your version of Excel allows you to read this threaded comment; however, any edits to it will get removed if the file is opened in a newer version of Excel. Learn more: https://go.microsoft.com/fwlink/?linkid=870924
Comment:
    White or other</t>
        </r>
      </text>
    </comment>
    <comment ref="V5" authorId="0" shapeId="0" xr:uid="{00000000-0006-0000-0000-00004B000000}">
      <text>
        <r>
          <rPr>
            <sz val="11"/>
            <color theme="1"/>
            <rFont val="Calibri"/>
            <scheme val="minor"/>
          </rPr>
          <t>======
ID#AAAAyv48TRc
tc={2BE2550D-2971-4249-9923-9C6F8F5E427A}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 ED</t>
        </r>
      </text>
    </comment>
    <comment ref="DG5" authorId="0" shapeId="0" xr:uid="{00000000-0006-0000-0000-000049000000}">
      <text>
        <r>
          <rPr>
            <sz val="11"/>
            <color theme="1"/>
            <rFont val="Calibri"/>
            <scheme val="minor"/>
          </rPr>
          <t>======
ID#AAAAyv48TRk
R B    (2023-06-08 12:33:25)
Not specified, but implied in method section "multiple data sources included […] and results of urine toxicologic screens conducted routinely on all emergency department admissions"</t>
        </r>
      </text>
    </comment>
    <comment ref="DH5" authorId="0" shapeId="0" xr:uid="{00000000-0006-0000-0000-00006E000000}">
      <text>
        <r>
          <rPr>
            <sz val="11"/>
            <color theme="1"/>
            <rFont val="Calibri"/>
            <scheme val="minor"/>
          </rPr>
          <t>======
ID#AAAAyv48TPM
tc={BD46BB13-0388-4C9C-8CAB-3227424BE099}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 - done on admission to psychiatric emergency department</t>
        </r>
      </text>
    </comment>
    <comment ref="DJ5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ID#AAAAyv48TNg
tc={88132193-C98A-4741-A969-70FBA3FC7803}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Psychiatric assessment (DSM -5) and PRISM interview - whole sample</t>
        </r>
      </text>
    </comment>
    <comment ref="DK5" authorId="0" shapeId="0" xr:uid="{00000000-0006-0000-0000-000059000000}">
      <text>
        <r>
          <rPr>
            <sz val="11"/>
            <color theme="1"/>
            <rFont val="Calibri"/>
            <scheme val="minor"/>
          </rPr>
          <t>======
ID#AAAAyv48TQg
R B    (2023-06-08 12:33:25)
PRISM</t>
        </r>
      </text>
    </comment>
    <comment ref="DL5" authorId="0" shapeId="0" xr:uid="{00000000-0006-0000-0000-00003D000000}">
      <text>
        <r>
          <rPr>
            <sz val="11"/>
            <color theme="1"/>
            <rFont val="Calibri"/>
            <scheme val="minor"/>
          </rPr>
          <t>======
ID#AAAAyv48TSU
tc={956C4506-8CD8-43BD-8FA5-E63CC48916D0}    (2023-06-08 12:33:25)
[Threaded comment]
Your version of Excel allows you to read this threaded comment; however, any edits to it will get removed if the file is opened in a newer version of Excel. Learn more: https://go.microsoft.com/fwlink/?linkid=870924
Comment:
    PRISM</t>
        </r>
      </text>
    </comment>
    <comment ref="L6" authorId="0" shapeId="0" xr:uid="{00000000-0006-0000-0000-000039000000}">
      <text>
        <r>
          <rPr>
            <sz val="11"/>
            <color theme="1"/>
            <rFont val="Calibri"/>
            <scheme val="minor"/>
          </rPr>
          <t>======
ID#AAAAyv48TSk
tc={3080CF12-D0DE-4545-9CD7-913346B768FF}    (2023-06-08 12:33:25)
[Threaded comment]
Your version of Excel allows you to read this threaded comment; however, any edits to it will get removed if the file is opened in a newer version of Excel. Learn more: https://go.microsoft.com/fwlink/?linkid=870924
Comment:
    Median age range - mean not available</t>
        </r>
      </text>
    </comment>
    <comment ref="S6" authorId="0" shapeId="0" xr:uid="{00000000-0006-0000-0000-00003F000000}">
      <text>
        <r>
          <rPr>
            <sz val="11"/>
            <color theme="1"/>
            <rFont val="Calibri"/>
            <scheme val="minor"/>
          </rPr>
          <t>======
ID#AAAAyv48TSM
R B    (2023-06-08 12:33:25)
Non-white</t>
        </r>
      </text>
    </comment>
    <comment ref="T6" authorId="0" shapeId="0" xr:uid="{00000000-0006-0000-0000-00007A000000}">
      <text>
        <r>
          <rPr>
            <sz val="11"/>
            <color theme="1"/>
            <rFont val="Calibri"/>
            <scheme val="minor"/>
          </rPr>
          <t>======
ID#AAAAyv48TOc
tc={F1168891-4585-4806-B99C-8470632CAA38}    (2023-06-08 12:33:25)
[Threaded comment]
Your version of Excel allows you to read this threaded comment; however, any edits to it will get removed if the file is opened in a newer version of Excel. Learn more: https://go.microsoft.com/fwlink/?linkid=870924
Comment:
    Non-white but doesn't specify</t>
        </r>
      </text>
    </comment>
    <comment ref="Z6" authorId="0" shapeId="0" xr:uid="{00000000-0006-0000-0000-0000A0000000}">
      <text>
        <r>
          <rPr>
            <sz val="11"/>
            <color theme="1"/>
            <rFont val="Calibri"/>
            <scheme val="minor"/>
          </rPr>
          <t>======
ID#AAAAyv48TME
R B    (2023-06-08 12:33:25)
EIS</t>
        </r>
      </text>
    </comment>
    <comment ref="DG6" authorId="0" shapeId="0" xr:uid="{00000000-0006-0000-0000-0000A4000000}">
      <text>
        <r>
          <rPr>
            <sz val="11"/>
            <color theme="1"/>
            <rFont val="Calibri"/>
            <scheme val="minor"/>
          </rPr>
          <t>======
ID#AAAAyv48TL0
R B    (2023-06-08 12:33:25)
Not specified but implied;"toxicological screening for cocaine and tetrahydrocannabinol metabolites"; doesn't specify urine or blood</t>
        </r>
      </text>
    </comment>
    <comment ref="DJ6" authorId="0" shapeId="0" xr:uid="{00000000-0006-0000-0000-0000B4000000}">
      <text>
        <r>
          <rPr>
            <sz val="11"/>
            <color theme="1"/>
            <rFont val="Calibri"/>
            <scheme val="minor"/>
          </rPr>
          <t>======
ID#AAAAyv48TKs
tc={F9473965-C2A7-4D8F-BEA4-5CF75F2B4080}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K6" authorId="0" shapeId="0" xr:uid="{00000000-0006-0000-0000-0000B1000000}">
      <text>
        <r>
          <rPr>
            <sz val="11"/>
            <color theme="1"/>
            <rFont val="Calibri"/>
            <scheme val="minor"/>
          </rPr>
          <t>======
ID#AAAAyv48TK8
R B    (2023-06-08 12:33:25)
SCID</t>
        </r>
      </text>
    </comment>
    <comment ref="DL6" authorId="0" shapeId="0" xr:uid="{00000000-0006-0000-0000-00004D000000}">
      <text>
        <r>
          <rPr>
            <sz val="11"/>
            <color theme="1"/>
            <rFont val="Calibri"/>
            <scheme val="minor"/>
          </rPr>
          <t>======
ID#AAAAyv48TRU
tc={E1D79FF7-588B-4445-8908-6AB946E325A9}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N6" authorId="0" shapeId="0" xr:uid="{00000000-0006-0000-0000-000080000000}">
      <text>
        <r>
          <rPr>
            <sz val="11"/>
            <color theme="1"/>
            <rFont val="Calibri"/>
            <scheme val="minor"/>
          </rPr>
          <t>======
ID#AAAAyv48TOE
tc={0288E71B-CE93-42BE-95DB-4E34AEE64E6A}    (2023-06-08 12:33:25)
[Threaded comment]
Your version of Excel allows you to read this threaded comment; however, any edits to it will get removed if the file is opened in a newer version of Excel. Learn more: https://go.microsoft.com/fwlink/?linkid=870924
Comment:
    Physical and neurological - whole cohort</t>
        </r>
      </text>
    </comment>
    <comment ref="DT6" authorId="0" shapeId="0" xr:uid="{00000000-0006-0000-0000-0000A8000000}">
      <text>
        <r>
          <rPr>
            <sz val="11"/>
            <color theme="1"/>
            <rFont val="Calibri"/>
            <scheme val="minor"/>
          </rPr>
          <t>======
ID#AAAAyv48TLg
tc={9DFE7840-EA29-40A4-9E0E-D93F5648D73F}    (2023-06-08 12:33:25)
[Threaded comment]
Your version of Excel allows you to read this threaded comment; however, any edits to it will get removed if the file is opened in a newer version of Excel. Learn more: https://go.microsoft.com/fwlink/?linkid=870924
Comment:
    Brief Psychiatric Rating Scale (BPRS) and the Global Assessment of Functioning Scale (GAF)</t>
        </r>
      </text>
    </comment>
    <comment ref="M7" authorId="0" shapeId="0" xr:uid="{00000000-0006-0000-0000-000070000000}">
      <text>
        <r>
          <rPr>
            <sz val="11"/>
            <color theme="1"/>
            <rFont val="Calibri"/>
            <scheme val="minor"/>
          </rPr>
          <t>======
ID#AAAAyv48TPI
R B    (2023-06-08 12:33:25)
95 Primary/57 Secondary</t>
        </r>
      </text>
    </comment>
    <comment ref="N7" authorId="0" shapeId="0" xr:uid="{00000000-0006-0000-0000-000076000000}">
      <text>
        <r>
          <rPr>
            <sz val="11"/>
            <color theme="1"/>
            <rFont val="Calibri"/>
            <scheme val="minor"/>
          </rPr>
          <t>======
ID#AAAAyv48TOs
tc={BDDB1F3A-1138-44F4-AEA7-55A531A9687B}    (2023-06-08 12:33:25)
[Threaded comment]
Your version of Excel allows you to read this threaded comment; however, any edits to it will get removed if the file is opened in a newer version of Excel. Learn more: https://go.microsoft.com/fwlink/?linkid=870924
Comment:
    95 primary, 57 secondary</t>
        </r>
      </text>
    </comment>
    <comment ref="O7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ID#AAAAyv48TTU
R B    (2023-06-08 12:33:25)
Primary 38/ Secondary 14
White/other</t>
        </r>
      </text>
    </comment>
    <comment ref="P7" authorId="0" shapeId="0" xr:uid="{00000000-0006-0000-0000-000061000000}">
      <text>
        <r>
          <rPr>
            <sz val="11"/>
            <color theme="1"/>
            <rFont val="Calibri"/>
            <scheme val="minor"/>
          </rPr>
          <t>======
ID#AAAAyv48TQA
tc={D89CB4A1-CE63-4E4B-B542-E3F4E19D3526}    (2023-06-08 12:33:25)
[Threaded comment]
Your version of Excel allows you to read this threaded comment; however, any edits to it will get removed if the file is opened in a newer version of Excel. Learn more: https://go.microsoft.com/fwlink/?linkid=870924
Comment:
    38 primary / 14 secondary - white / other</t>
        </r>
      </text>
    </comment>
    <comment ref="S7" authorId="0" shapeId="0" xr:uid="{00000000-0006-0000-0000-00009F000000}">
      <text>
        <r>
          <rPr>
            <sz val="11"/>
            <color theme="1"/>
            <rFont val="Calibri"/>
            <scheme val="minor"/>
          </rPr>
          <t>======
ID#AAAAyv48TMI
R B    (2023-06-08 12:33:25)
Primary 84/ Secondary 63
Hispanic</t>
        </r>
      </text>
    </comment>
    <comment ref="T7" authorId="0" shapeId="0" xr:uid="{00000000-0006-0000-0000-00009D000000}">
      <text>
        <r>
          <rPr>
            <sz val="11"/>
            <color theme="1"/>
            <rFont val="Calibri"/>
            <scheme val="minor"/>
          </rPr>
          <t>======
ID#AAAAyv48TMM
tc={9DB29E94-F02A-4C12-B348-DD129F0F4F22}    (2023-06-08 12:33:25)
[Threaded comment]
Your version of Excel allows you to read this threaded comment; however, any edits to it will get removed if the file is opened in a newer version of Excel. Learn more: https://go.microsoft.com/fwlink/?linkid=870924
Comment:
    84 primary / 63 secondary - Hispanic</t>
        </r>
      </text>
    </comment>
    <comment ref="V7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ID#AAAAyv48TTY
tc={947478D2-A62B-476C-8C09-854B7B8664E7}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Psychiatric emergency department</t>
        </r>
      </text>
    </comment>
    <comment ref="DJ7" authorId="0" shapeId="0" xr:uid="{00000000-0006-0000-0000-000069000000}">
      <text>
        <r>
          <rPr>
            <sz val="11"/>
            <color theme="1"/>
            <rFont val="Calibri"/>
            <scheme val="minor"/>
          </rPr>
          <t>======
ID#AAAAyv48TPg
tc={DB6B1D1E-E92D-46FA-9159-B1F08D79CBE6}    (2023-06-08 12:33:25)
[Threaded comment]
Your version of Excel allows you to read this threaded comment; however, any edits to it will get removed if the file is opened in a newer version of Excel. Learn more: https://go.microsoft.com/fwlink/?linkid=870924
Comment:
    And PRISM questionnaire</t>
        </r>
      </text>
    </comment>
    <comment ref="DK7" authorId="0" shapeId="0" xr:uid="{00000000-0006-0000-0000-00003C000000}">
      <text>
        <r>
          <rPr>
            <sz val="11"/>
            <color theme="1"/>
            <rFont val="Calibri"/>
            <scheme val="minor"/>
          </rPr>
          <t>======
ID#AAAAyv48TSY
R B    (2023-06-08 12:33:25)
PRISM</t>
        </r>
      </text>
    </comment>
    <comment ref="DL7" authorId="0" shapeId="0" xr:uid="{00000000-0006-0000-0000-0000A6000000}">
      <text>
        <r>
          <rPr>
            <sz val="11"/>
            <color theme="1"/>
            <rFont val="Calibri"/>
            <scheme val="minor"/>
          </rPr>
          <t>======
ID#AAAAyv48TLs
tc={1EAEAD7C-47D7-45C1-8303-412A59EB6009}    (2023-06-08 12:33:25)
[Threaded comment]
Your version of Excel allows you to read this threaded comment; however, any edits to it will get removed if the file is opened in a newer version of Excel. Learn more: https://go.microsoft.com/fwlink/?linkid=870924
Comment:
    PRISM</t>
        </r>
      </text>
    </comment>
    <comment ref="CU8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ID#AAAAyv48TNY
R B    (2023-06-08 12:33:25)
Offered to all, 74/76 completed
1.5 Tesla</t>
        </r>
      </text>
    </comment>
    <comment ref="DC8" authorId="0" shapeId="0" xr:uid="{00000000-0006-0000-0000-0000AA000000}">
      <text>
        <r>
          <rPr>
            <sz val="11"/>
            <color theme="1"/>
            <rFont val="Calibri"/>
            <scheme val="minor"/>
          </rPr>
          <t>======
ID#AAAAyv48TLY
R B    (2023-06-08 12:33:25)
Offered to all, 48/76 completed</t>
        </r>
      </text>
    </comment>
    <comment ref="DD8" authorId="0" shapeId="0" xr:uid="{00000000-0006-0000-0000-000063000000}">
      <text>
        <r>
          <rPr>
            <sz val="11"/>
            <color theme="1"/>
            <rFont val="Calibri"/>
            <scheme val="minor"/>
          </rPr>
          <t>======
ID#AAAAyv48TP4
tc={7321A849-E6EC-4029-B314-D1AD83172D78}    (2023-06-08 12:33:25)
[Threaded comment]
Your version of Excel allows you to read this threaded comment; however, any edits to it will get removed if the file is opened in a newer version of Excel. Learn more: https://go.microsoft.com/fwlink/?linkid=870924
Comment:
    LP</t>
        </r>
      </text>
    </comment>
    <comment ref="DE8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ID#AAAAyv48TTA
R B    (2023-06-08 12:33:25)
Not all parameters examined in each patient</t>
        </r>
      </text>
    </comment>
    <comment ref="DM8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ID#AAAAyv48TQ8
R B    (2023-06-08 12:33:25)
"Test battery for attentional performance"</t>
        </r>
      </text>
    </comment>
    <comment ref="I9" authorId="0" shapeId="0" xr:uid="{00000000-0006-0000-0000-0000AF000000}">
      <text>
        <r>
          <rPr>
            <sz val="11"/>
            <color theme="1"/>
            <rFont val="Calibri"/>
            <scheme val="minor"/>
          </rPr>
          <t>======
ID#AAAAyv48TLI
R B    (2023-06-08 12:33:25)
Substance-induced 25.6/ Secondary 40.1</t>
        </r>
      </text>
    </comment>
    <comment ref="K9" authorId="0" shapeId="0" xr:uid="{00000000-0006-0000-0000-000060000000}">
      <text>
        <r>
          <rPr>
            <sz val="11"/>
            <color theme="1"/>
            <rFont val="Calibri"/>
            <scheme val="minor"/>
          </rPr>
          <t>======
ID#AAAAyv48TQE
R B    (2023-06-08 12:33:25)
25.6/28.7/40.1 substance-induced/primary/secondary</t>
        </r>
      </text>
    </comment>
    <comment ref="M9" authorId="0" shapeId="0" xr:uid="{00000000-0006-0000-0000-000043000000}">
      <text>
        <r>
          <rPr>
            <sz val="11"/>
            <color theme="1"/>
            <rFont val="Calibri"/>
            <scheme val="minor"/>
          </rPr>
          <t>======
ID#AAAAyv48TR8
R B    (2023-06-08 12:33:25)
African</t>
        </r>
      </text>
    </comment>
    <comment ref="N9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ID#AAAAyv48TQk
tc={C129607E-6332-4734-844A-1BCEB04618E8}    (2023-06-08 12:33:25)
[Threaded comment]
Your version of Excel allows you to read this threaded comment; however, any edits to it will get removed if the file is opened in a newer version of Excel. Learn more: https://go.microsoft.com/fwlink/?linkid=870924
Comment:
    african</t>
        </r>
      </text>
    </comment>
    <comment ref="S9" authorId="0" shapeId="0" xr:uid="{00000000-0006-0000-0000-000095000000}">
      <text>
        <r>
          <rPr>
            <sz val="11"/>
            <color theme="1"/>
            <rFont val="Calibri"/>
            <scheme val="minor"/>
          </rPr>
          <t>======
ID#AAAAyv48TM0
R B    (2023-06-08 12:33:25)
Mixed race</t>
        </r>
      </text>
    </comment>
    <comment ref="AS9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ID#AAAA0EiR2rc
Rr Bb    (2023-07-11 00:08:45)
"Duration of psychotic symptoms before ED presentation", Days, SD 26.3</t>
        </r>
      </text>
    </comment>
    <comment ref="AU9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ID#AAAA0EiR2rk
Rr Bb    (2023-07-11 00:09:35)
"Duration of psychotic symptoms before ED presentation", days, SD 34.1</t>
        </r>
      </text>
    </comment>
    <comment ref="AW9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ID#AAAA0EiR2rs
Rr Bb    (2023-07-11 00:10:17)
"Duration of psychotic symptoms before ED presentation", Split into substance-induced (12.3 days [21.0]) and other secondary (7.9 days [22.9])</t>
        </r>
      </text>
    </comment>
    <comment ref="DJ9" authorId="0" shapeId="0" xr:uid="{00000000-0006-0000-0000-000084000000}">
      <text>
        <r>
          <rPr>
            <sz val="11"/>
            <color theme="1"/>
            <rFont val="Calibri"/>
            <scheme val="minor"/>
          </rPr>
          <t>======
ID#AAAAyv48TNw
tc={BA8A8003-C63D-41AA-A672-E0DB6D4845EB}    (2023-06-08 12:33:25)
[Threaded comment]
Your version of Excel allows you to read this threaded comment; however, any edits to it will get removed if the file is opened in a newer version of Excel. Learn more: https://go.microsoft.com/fwlink/?linkid=870924
Comment:
    DSM-5 diagnosis and PRISM interview</t>
        </r>
      </text>
    </comment>
    <comment ref="DS9" authorId="0" shapeId="0" xr:uid="{00000000-0006-0000-0000-000003000000}">
      <text>
        <r>
          <rPr>
            <sz val="11"/>
            <color theme="1"/>
            <rFont val="Calibri"/>
            <scheme val="minor"/>
          </rPr>
          <t>x-ray
======</t>
        </r>
      </text>
    </comment>
    <comment ref="DT9" authorId="0" shapeId="0" xr:uid="{00000000-0006-0000-0000-000004000000}">
      <text>
        <r>
          <rPr>
            <sz val="11"/>
            <color theme="1"/>
            <rFont val="Calibri"/>
            <scheme val="minor"/>
          </rPr>
          <t>X-ray
======</t>
        </r>
      </text>
    </comment>
    <comment ref="DW9" authorId="0" shapeId="0" xr:uid="{00000000-0006-0000-0000-00005E000000}">
      <text>
        <r>
          <rPr>
            <sz val="11"/>
            <color theme="1"/>
            <rFont val="Calibri"/>
            <scheme val="minor"/>
          </rPr>
          <t>======
ID#AAAAyv48TQM
R B    (2023-06-08 12:33:25)
Author defined first-presentation/FEP as 1 or more psychotic symptoms</t>
        </r>
      </text>
    </comment>
    <comment ref="AS10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ID#AAAA0EiR2rg
Rr Bb    (2023-07-11 00:08:58)
Does not explicitly specify units</t>
        </r>
      </text>
    </comment>
    <comment ref="AU10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ID#AAAA0EiR2ro
Rr Bb    (2023-07-11 00:09:49)
Does not explicitly specify units</t>
        </r>
      </text>
    </comment>
    <comment ref="AW10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ID#AAAA0EiR2rw
Rr Bb    (2023-07-11 00:10:32)
Does not explicitly specify units</t>
        </r>
      </text>
    </comment>
    <comment ref="DJ11" authorId="0" shapeId="0" xr:uid="{00000000-0006-0000-0000-00003B000000}">
      <text>
        <r>
          <rPr>
            <sz val="11"/>
            <color theme="1"/>
            <rFont val="Calibri"/>
            <scheme val="minor"/>
          </rPr>
          <t>======
ID#AAAAyv48TSc
tc={14C46FEC-A569-404F-969F-E440400919C6}    (2023-06-08 12:33:25)
[Threaded comment]
Your version of Excel allows you to read this threaded comment; however, any edits to it will get removed if the file is opened in a newer version of Excel. Learn more: https://go.microsoft.com/fwlink/?linkid=870924
Comment:
     Psychiatric Assessment</t>
        </r>
      </text>
    </comment>
    <comment ref="DN11" authorId="0" shapeId="0" xr:uid="{00000000-0006-0000-0000-000037000000}">
      <text>
        <r>
          <rPr>
            <sz val="11"/>
            <color theme="1"/>
            <rFont val="Calibri"/>
            <scheme val="minor"/>
          </rPr>
          <t>======
ID#AAAAyv48TSs
tc={6EF1EDCF-F9E9-49DC-AD65-D846F4D3A44E}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exam and vital signs taken</t>
        </r>
      </text>
    </comment>
    <comment ref="DQ11" authorId="0" shapeId="0" xr:uid="{00000000-0006-0000-0000-000083000000}">
      <text>
        <r>
          <rPr>
            <sz val="11"/>
            <color theme="1"/>
            <rFont val="Calibri"/>
            <scheme val="minor"/>
          </rPr>
          <t>======
ID#AAAAyv48TN4
R B    (2023-06-08 12:33:25)
Working memory test</t>
        </r>
      </text>
    </comment>
    <comment ref="DW11" authorId="0" shapeId="0" xr:uid="{00000000-0006-0000-0000-00007C000000}">
      <text>
        <r>
          <rPr>
            <sz val="11"/>
            <color theme="1"/>
            <rFont val="Calibri"/>
            <scheme val="minor"/>
          </rPr>
          <t>======
ID#AAAAyv48TOY
R B    (2023-06-08 12:33:25)
Fusar-Poli et al (2016) definition of FEP</t>
        </r>
      </text>
    </comment>
    <comment ref="AK12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ID#AAAAyv48TNA
R B    (2023-06-08 12:33:25)
Not specified but likely as focusing on children/adolescents</t>
        </r>
      </text>
    </comment>
    <comment ref="DS12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ID#AAAAyv48TNQ
R B    (2023-06-08 12:33:25)
"Comprehensive medical workup"</t>
        </r>
      </text>
    </comment>
    <comment ref="K13" authorId="0" shapeId="0" xr:uid="{00000000-0006-0000-0000-00005C000000}">
      <text>
        <r>
          <rPr>
            <sz val="11"/>
            <color theme="1"/>
            <rFont val="Calibri"/>
            <scheme val="minor"/>
          </rPr>
          <t>======
ID#AAAAyv48TQU
R B    (2023-06-08 12:33:25)
Median 30 (14-75)</t>
        </r>
      </text>
    </comment>
    <comment ref="AS13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ID#AAAA0EiR2r0
Rr Bb    (2023-07-11 00:10:57)
Days; median duration of positive psychotic symptoms; IQR 136</t>
        </r>
      </text>
    </comment>
    <comment ref="DB13" authorId="0" shapeId="0" xr:uid="{00000000-0006-0000-0000-0000A5000000}">
      <text>
        <r>
          <rPr>
            <sz val="11"/>
            <color theme="1"/>
            <rFont val="Calibri"/>
            <scheme val="minor"/>
          </rPr>
          <t>======
ID#AAAAyv48TLw
Neha G    (2023-06-08 12:33:25)
Neha G:</t>
        </r>
      </text>
    </comment>
    <comment ref="DN13" authorId="0" shapeId="0" xr:uid="{00000000-0006-0000-0000-000066000000}">
      <text>
        <r>
          <rPr>
            <sz val="11"/>
            <color theme="1"/>
            <rFont val="Calibri"/>
            <scheme val="minor"/>
          </rPr>
          <t>======
ID#AAAAyv48TPs
tc={BC73E13C-D9B0-40CA-8C7B-9BB81D41438E}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evaluation, blood cell count, electrolytes, liver and renal function tests, toxicology screening</t>
        </r>
      </text>
    </comment>
    <comment ref="CV14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ID#AAAAyv48TTE
tc={D7B49B2D-5C30-4E07-A3E2-CF35CE6EBF16}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with two patients with potential organic cause</t>
        </r>
      </text>
    </comment>
    <comment ref="CX14" authorId="0" shapeId="0" xr:uid="{00000000-0006-0000-0000-00004F000000}">
      <text>
        <r>
          <rPr>
            <sz val="11"/>
            <color theme="1"/>
            <rFont val="Calibri"/>
            <scheme val="minor"/>
          </rPr>
          <t>======
ID#AAAAyv48TRI
tc={80A3D461-C3BA-4049-AC01-CC8101FE4F51}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in whole sample</t>
        </r>
      </text>
    </comment>
    <comment ref="CZ14" authorId="0" shapeId="0" xr:uid="{00000000-0006-0000-0000-000074000000}">
      <text>
        <r>
          <rPr>
            <sz val="11"/>
            <color theme="1"/>
            <rFont val="Calibri"/>
            <scheme val="minor"/>
          </rPr>
          <t>======
ID#AAAAyv48TO0
tc={4C11C3AD-73A8-41BD-9709-22F26EB78267}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DB14" authorId="0" shapeId="0" xr:uid="{00000000-0006-0000-0000-000079000000}">
      <text>
        <r>
          <rPr>
            <sz val="11"/>
            <color theme="1"/>
            <rFont val="Calibri"/>
            <scheme val="minor"/>
          </rPr>
          <t>======
ID#AAAAyv48TOg
tc={6D7EC14B-7D5D-4980-A160-4B6095021ACB}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DD14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ID#AAAAyv48TN8
tc={2A002552-4283-4BDD-8FFB-F3CFA0500B92}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 - LP</t>
        </r>
      </text>
    </comment>
    <comment ref="DF14" authorId="0" shapeId="0" xr:uid="{00000000-0006-0000-0000-000086000000}">
      <text>
        <r>
          <rPr>
            <sz val="11"/>
            <color theme="1"/>
            <rFont val="Calibri"/>
            <scheme val="minor"/>
          </rPr>
          <t>======
ID#AAAAyv48TNs
tc={CE4C6F1B-86AD-4087-8CD9-80051D5699F2}    (2023-06-08 12:33:25)
[Threaded comment]
Your version of Excel allows you to read this threaded comment; however, any edits to it will get removed if the file is opened in a newer version of Excel. Learn more: https://go.microsoft.com/fwlink/?linkid=870924
Comment:
    Used for one patient</t>
        </r>
      </text>
    </comment>
    <comment ref="CM15" authorId="0" shapeId="0" xr:uid="{00000000-0006-0000-0000-0000B3000000}">
      <text>
        <r>
          <rPr>
            <sz val="11"/>
            <color theme="1"/>
            <rFont val="Calibri"/>
            <scheme val="minor"/>
          </rPr>
          <t>======
ID#AAAAyv48TK0
R B    (2023-06-08 12:33:25)
Removed 1 from Other &gt; Head Injury ("head injury and hemiparesis"</t>
        </r>
      </text>
    </comment>
    <comment ref="CQ15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ID#AAAAyv48TNE
R B    (2023-06-08 12:33:25)
Removed 1 from Other &gt; Head Injury ("head injury and hemiparesis"
------
ID#AAAA0KodDsc
Jack Fanshawe    (2023-06-30 13:22:21)
Thank you!</t>
        </r>
      </text>
    </comment>
    <comment ref="DJ15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ID#AAAAyv48TS8
tc={ABF9F9A1-9DD8-44B7-87EA-D43F8E095AFD}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 and neurological assessment and physical eg poor visual activity</t>
        </r>
      </text>
    </comment>
    <comment ref="DN15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ID#AAAAyv48TNU
tc={6E268AE8-1FBE-4344-9953-09864ED8ABCA}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examination - as and when  needed</t>
        </r>
      </text>
    </comment>
    <comment ref="DS15" authorId="0" shapeId="0" xr:uid="{00000000-0006-0000-0000-000005000000}">
      <text>
        <r>
          <rPr>
            <sz val="11"/>
            <color theme="1"/>
            <rFont val="Calibri"/>
            <scheme val="minor"/>
          </rPr>
          <t>x-ray
======</t>
        </r>
      </text>
    </comment>
    <comment ref="DT15" authorId="0" shapeId="0" xr:uid="{00000000-0006-0000-0000-000006000000}">
      <text>
        <r>
          <rPr>
            <sz val="11"/>
            <color theme="1"/>
            <rFont val="Calibri"/>
            <scheme val="minor"/>
          </rPr>
          <t>x-ray
======</t>
        </r>
      </text>
    </comment>
    <comment ref="H16" authorId="0" shapeId="0" xr:uid="{00000000-0006-0000-0000-000077000000}">
      <text>
        <r>
          <rPr>
            <sz val="11"/>
            <color theme="1"/>
            <rFont val="Calibri"/>
            <scheme val="minor"/>
          </rPr>
          <t>======
ID#AAAAyv48TOo
tc={1E40CE5F-1458-4A4E-9579-22488867D93E}    (2023-06-08 12:33:25)
[Threaded comment]
Your version of Excel allows you to read this threaded comment; however, any edits to it will get removed if the file is opened in a newer version of Excel. Learn more: https://go.microsoft.com/fwlink/?linkid=870924
Comment:
    33 FEP, 45 TRS Cohort</t>
        </r>
      </text>
    </comment>
    <comment ref="J16" authorId="0" shapeId="0" xr:uid="{00000000-0006-0000-0000-000071000000}">
      <text>
        <r>
          <rPr>
            <sz val="11"/>
            <color theme="1"/>
            <rFont val="Calibri"/>
            <scheme val="minor"/>
          </rPr>
          <t>======
ID#AAAAyv48TPA
tc={3763CB58-8A8C-43F0-87BE-1A45FC7439FA}    (2023-06-08 12:33:25)
[Threaded comment]
Your version of Excel allows you to read this threaded comment; however, any edits to it will get removed if the file is opened in a newer version of Excel. Learn more: https://go.microsoft.com/fwlink/?linkid=870924
Comment:
    33 FEP, 45 TRS Cohort</t>
        </r>
      </text>
    </comment>
    <comment ref="K16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ID#AAAAyv48TN0
R B    (2023-06-08 12:33:25)
33/45 FEP/chronic cohorts</t>
        </r>
      </text>
    </comment>
    <comment ref="N16" authorId="0" shapeId="0" xr:uid="{00000000-0006-0000-0000-000064000000}">
      <text>
        <r>
          <rPr>
            <sz val="11"/>
            <color theme="1"/>
            <rFont val="Calibri"/>
            <scheme val="minor"/>
          </rPr>
          <t>======
ID#AAAAyv48TPw
tc={FAC69B5B-3830-445D-9AA7-6710FE7710DA}    (2023-06-08 12:33:25)
[Threaded comment]
Your version of Excel allows you to read this threaded comment; however, any edits to it will get removed if the file is opened in a newer version of Excel. Learn more: https://go.microsoft.com/fwlink/?linkid=870924
Comment:
    4 FEP, 1 TRS</t>
        </r>
      </text>
    </comment>
    <comment ref="P16" authorId="0" shapeId="0" xr:uid="{00000000-0006-0000-0000-00008E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ID#AAAAyv48TNM
</t>
        </r>
        <r>
          <rPr>
            <sz val="11"/>
            <color rgb="FF000000"/>
            <rFont val="Calibri"/>
            <family val="2"/>
          </rPr>
          <t xml:space="preserve">tc={7CDA4CD5-79CA-460F-BB3C-1D7433DC68C5}    (2023-06-08 12:33:25)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106 FEP, 97 TRS</t>
        </r>
      </text>
    </comment>
    <comment ref="R16" authorId="0" shapeId="0" xr:uid="{00000000-0006-0000-0000-000098000000}">
      <text>
        <r>
          <rPr>
            <sz val="11"/>
            <color theme="1"/>
            <rFont val="Calibri"/>
            <scheme val="minor"/>
          </rPr>
          <t>======
ID#AAAAyv48TMk
tc={4FAF8E7D-ADF0-4164-81D6-6DFE55EACA26}    (2023-06-08 12:33:25)
[Threaded comment]
Your version of Excel allows you to read this threaded comment; however, any edits to it will get removed if the file is opened in a newer version of Excel. Learn more: https://go.microsoft.com/fwlink/?linkid=870924
Comment:
    2 FEP, 2 TRS</t>
        </r>
      </text>
    </comment>
    <comment ref="AW16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ID#AAAA0EiR2r4
Rr Bb    (2023-07-11 00:11:15)
Weeks, one case</t>
        </r>
      </text>
    </comment>
    <comment ref="AZ16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ID#AAAAyv48TS0
tc={F0A30DBE-2A8A-4845-89A4-810B1D1EADB8}    (2023-06-08 12:33:25)
[Threaded comment]
Your version of Excel allows you to read this threaded comment; however, any edits to it will get removed if the file is opened in a newer version of Excel. Learn more: https://go.microsoft.com/fwlink/?linkid=870924
Comment:
     (112 FEP), 100 (TRS)</t>
        </r>
      </text>
    </comment>
    <comment ref="CR16" authorId="0" shapeId="0" xr:uid="{00000000-0006-0000-0000-00006D000000}">
      <text>
        <r>
          <rPr>
            <sz val="11"/>
            <color theme="1"/>
            <rFont val="Calibri"/>
            <scheme val="minor"/>
          </rPr>
          <t>======
ID#AAAAyv48TPQ
R B    (2023-06-08 12:33:25)
Non-causative findings</t>
        </r>
      </text>
    </comment>
    <comment ref="CV16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ID#AAAAyv48TTI
tc={419FD96D-EBBE-4945-A3FA-A36A5E1A77E1}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DB16" authorId="0" shapeId="0" xr:uid="{00000000-0006-0000-0000-00005B000000}">
      <text>
        <r>
          <rPr>
            <sz val="11"/>
            <color theme="1"/>
            <rFont val="Calibri"/>
            <scheme val="minor"/>
          </rPr>
          <t>======
ID#AAAAyv48TQY
tc={3471B900-F99B-4C43-A726-DD387B395B47}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DD16" authorId="0" shapeId="0" xr:uid="{00000000-0006-0000-0000-00004A000000}">
      <text>
        <r>
          <rPr>
            <sz val="11"/>
            <color theme="1"/>
            <rFont val="Calibri"/>
            <scheme val="minor"/>
          </rPr>
          <t>======
ID#AAAAyv48TRg
tc={40BC7B89-9B14-444B-8522-2E794AE41B08}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</t>
        </r>
      </text>
    </comment>
    <comment ref="DF16" authorId="0" shapeId="0" xr:uid="{00000000-0006-0000-0000-00003E000000}">
      <text>
        <r>
          <rPr>
            <sz val="11"/>
            <color theme="1"/>
            <rFont val="Calibri"/>
            <scheme val="minor"/>
          </rPr>
          <t>======
ID#AAAAyv48TSQ
tc={8AA93B12-C530-40DE-A660-576D712DA55D}    (2023-06-08 12:33:25)
[Threaded comment]
Your version of Excel allows you to read this threaded comment; however, any edits to it will get removed if the file is opened in a newer version of Excel. Learn more: https://go.microsoft.com/fwlink/?linkid=870924
Comment:
    all
Reply:
    Requested from all patients in one of the two institutions only</t>
        </r>
      </text>
    </comment>
    <comment ref="DJ16" authorId="0" shapeId="0" xr:uid="{00000000-0006-0000-0000-0000BA000000}">
      <text>
        <r>
          <rPr>
            <sz val="11"/>
            <color theme="1"/>
            <rFont val="Calibri"/>
            <scheme val="minor"/>
          </rPr>
          <t>======
ID#AAAAyv48TKY
tc={0E282D0B-F200-43F3-8ABB-76B6696F02AF}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K16" authorId="0" shapeId="0" xr:uid="{00000000-0006-0000-0000-000065000000}">
      <text>
        <r>
          <rPr>
            <sz val="11"/>
            <color theme="1"/>
            <rFont val="Calibri"/>
            <scheme val="minor"/>
          </rPr>
          <t>======
ID#AAAAyv48TP0
R B    (2023-06-08 12:33:25)
SCID</t>
        </r>
      </text>
    </comment>
    <comment ref="DL16" authorId="0" shapeId="0" xr:uid="{00000000-0006-0000-0000-000040000000}">
      <text>
        <r>
          <rPr>
            <sz val="11"/>
            <color theme="1"/>
            <rFont val="Calibri"/>
            <scheme val="minor"/>
          </rPr>
          <t>======
ID#AAAAyv48TSI
tc={F1560EA8-135E-4B27-982F-7FF686E28722}    (2023-06-08 12:33:25)
[Threaded comment]
Your version of Excel allows you to read this threaded comment; however, any edits to it will get removed if the file is opened in a newer version of Excel. Learn more: https://go.microsoft.com/fwlink/?linkid=870924
Comment:
    SCID</t>
        </r>
      </text>
    </comment>
    <comment ref="DN16" authorId="0" shapeId="0" xr:uid="{00000000-0006-0000-0000-000096000000}">
      <text>
        <r>
          <rPr>
            <sz val="11"/>
            <color theme="1"/>
            <rFont val="Calibri"/>
            <scheme val="minor"/>
          </rPr>
          <t>======
ID#AAAAyv48TMs
tc={48719A2E-50B2-4DBC-95FD-62EC8D63484F}    (2023-06-08 12:33:25)
[Threaded comment]
Your version of Excel allows you to read this threaded comment; however, any edits to it will get removed if the file is opened in a newer version of Excel. Learn more: https://go.microsoft.com/fwlink/?linkid=870924
Comment:
    Seropositive cases were reviewed and clinically examined by a consultant neurologist</t>
        </r>
      </text>
    </comment>
    <comment ref="DS16" authorId="0" shapeId="0" xr:uid="{00000000-0006-0000-0000-0000A9000000}">
      <text>
        <r>
          <rPr>
            <sz val="11"/>
            <color theme="1"/>
            <rFont val="Calibri"/>
            <scheme val="minor"/>
          </rPr>
          <t>======
ID#AAAAyv48TLc
R B    (2023-06-08 12:33:25)
Ultrasound, X-ray</t>
        </r>
      </text>
    </comment>
    <comment ref="DT16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ID#AAAAyv48TS4
tc={75C0B5AF-003D-4DAB-9309-BFF1690B879D}    (2023-06-08 12:33:25)
[Threaded comment]
Your version of Excel allows you to read this threaded comment; however, any edits to it will get removed if the file is opened in a newer version of Excel. Learn more: https://go.microsoft.com/fwlink/?linkid=870924
Comment:
    malignancy screen (pelvic or testicular
ultrasound &amp; chest x-ray) for those who were seropositive</t>
        </r>
      </text>
    </comment>
    <comment ref="K17" authorId="0" shapeId="0" xr:uid="{00000000-0006-0000-0000-000007000000}">
      <text>
        <r>
          <rPr>
            <sz val="11"/>
            <color theme="1"/>
            <rFont val="Calibri"/>
            <scheme val="minor"/>
          </rPr>
          <t>SD ± 9.6
======</t>
        </r>
      </text>
    </comment>
    <comment ref="L17" authorId="0" shapeId="0" xr:uid="{00000000-0006-0000-0000-000008000000}">
      <text>
        <r>
          <rPr>
            <sz val="11"/>
            <color theme="1"/>
            <rFont val="Calibri"/>
            <scheme val="minor"/>
          </rPr>
          <t>SD ± 9.6
======</t>
        </r>
      </text>
    </comment>
    <comment ref="AL17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ID#AAAA6fc2shs
Anonymous    (2023-10-06 19:43:55)
suspected</t>
        </r>
      </text>
    </comment>
    <comment ref="DK17" authorId="0" shapeId="0" xr:uid="{00000000-0006-0000-0000-000009000000}">
      <text>
        <r>
          <rPr>
            <sz val="11"/>
            <color theme="1"/>
            <rFont val="Calibri"/>
            <scheme val="minor"/>
          </rPr>
          <t>PANSS
======</t>
        </r>
      </text>
    </comment>
    <comment ref="DL17" authorId="0" shapeId="0" xr:uid="{00000000-0006-0000-0000-00000A000000}">
      <text>
        <r>
          <rPr>
            <sz val="11"/>
            <color theme="1"/>
            <rFont val="Calibri"/>
            <scheme val="minor"/>
          </rPr>
          <t>PANSS
======</t>
        </r>
      </text>
    </comment>
    <comment ref="DS18" authorId="0" shapeId="0" xr:uid="{00000000-0006-0000-0000-00000B000000}">
      <text>
        <r>
          <rPr>
            <sz val="11"/>
            <color theme="1"/>
            <rFont val="Calibri"/>
            <scheme val="minor"/>
          </rPr>
          <t>ACR criteria for SLE test
======</t>
        </r>
      </text>
    </comment>
    <comment ref="DT18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ID#AAAA3ji5ZJc
Anonymous    (2023-08-21 18:32:33)
Those who presented positive ANA were assessed by rheumatology team and had clinical and laboratorial investigation</t>
        </r>
      </text>
    </comment>
    <comment ref="O19" authorId="0" shapeId="0" xr:uid="{00000000-0006-0000-0000-00007E000000}">
      <text>
        <r>
          <rPr>
            <sz val="11"/>
            <color theme="1"/>
            <rFont val="Calibri"/>
            <scheme val="minor"/>
          </rPr>
          <t>======
ID#AAAAyv48TOQ
R B    (2023-06-08 12:33:25)
European Portuguese</t>
        </r>
      </text>
    </comment>
    <comment ref="P19" authorId="0" shapeId="0" xr:uid="{00000000-0006-0000-0000-00008F000000}">
      <text>
        <r>
          <rPr>
            <sz val="11"/>
            <color theme="1"/>
            <rFont val="Calibri"/>
            <scheme val="minor"/>
          </rPr>
          <t>======
ID#AAAAyv48TNI
tc={1B3BD05A-33E4-42EF-A975-3A4A48D0C891}    (2023-06-08 12:33:25)
[Threaded comment]
Your version of Excel allows you to read this threaded comment; however, any edits to it will get removed if the file is opened in a newer version of Excel. Learn more: https://go.microsoft.com/fwlink/?linkid=870924
Comment:
    European Portuguese</t>
        </r>
      </text>
    </comment>
    <comment ref="AW19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ID#AAAA0EiR2r8
Rr Bb    (2023-07-11 00:11:28)
Study describes "years delay in diagnosis", split between epilepsy (14y), dementia (12y), brain mass (9y), stroke sequelae (7y) and encephalitis (6y)</t>
        </r>
      </text>
    </comment>
    <comment ref="CR19" authorId="0" shapeId="0" xr:uid="{00000000-0006-0000-0000-000057000000}">
      <text>
        <r>
          <rPr>
            <sz val="11"/>
            <color theme="1"/>
            <rFont val="Calibri"/>
            <scheme val="minor"/>
          </rPr>
          <t>======
ID#AAAAyv48TQs
R B    (2023-06-08 12:33:25)
7 brain mass, 4 stroke, 1 encephalitis related</t>
        </r>
      </text>
    </comment>
    <comment ref="DO19" authorId="0" shapeId="0" xr:uid="{00000000-0006-0000-0000-000068000000}">
      <text>
        <r>
          <rPr>
            <sz val="11"/>
            <color theme="1"/>
            <rFont val="Calibri"/>
            <scheme val="minor"/>
          </rPr>
          <t>======
ID#AAAAyv48TPk
R B    (2023-06-08 12:33:25)
Neuropsychological assessment</t>
        </r>
      </text>
    </comment>
    <comment ref="EB20" authorId="0" shapeId="0" xr:uid="{00000000-0006-0000-0000-000048000000}">
      <text>
        <r>
          <rPr>
            <sz val="11"/>
            <color theme="1"/>
            <rFont val="Calibri"/>
            <scheme val="minor"/>
          </rPr>
          <t>======
ID#AAAAyv48TRo
tc={0E174F8A-1AF5-4963-9360-2DA66CD41EB5}    (2023-06-08 12:33:25)
[Threaded comment]
Your version of Excel allows you to read this threaded comment; however, any edits to it will get removed if the file is opened in a newer version of Excel. Learn more: https://go.microsoft.com/fwlink/?linkid=870924
Comment:
    DSM-IV TR Criteria</t>
        </r>
      </text>
    </comment>
    <comment ref="G21" authorId="0" shapeId="0" xr:uid="{00000000-0006-0000-0000-00000C000000}">
      <text>
        <r>
          <rPr>
            <sz val="11"/>
            <color theme="1"/>
            <rFont val="Calibri"/>
            <scheme val="minor"/>
          </rPr>
          <t>SD 17.1
======</t>
        </r>
      </text>
    </comment>
    <comment ref="I21" authorId="0" shapeId="0" xr:uid="{00000000-0006-0000-0000-00000D000000}">
      <text>
        <r>
          <rPr>
            <sz val="11"/>
            <color theme="1"/>
            <rFont val="Calibri"/>
            <scheme val="minor"/>
          </rPr>
          <t>SD 23
======</t>
        </r>
      </text>
    </comment>
    <comment ref="CN21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ID#AAAA_Tp82Q4
Anonymous    (2023-11-01 10:49:47)
cerebral trauma / TBI</t>
        </r>
      </text>
    </comment>
    <comment ref="C22" authorId="0" shapeId="0" xr:uid="{00000000-0006-0000-0000-00009C000000}">
      <text>
        <r>
          <rPr>
            <sz val="11"/>
            <color theme="1"/>
            <rFont val="Calibri"/>
            <scheme val="minor"/>
          </rPr>
          <t>======
ID#AAAAyv48TMY
R B    (2023-06-08 12:33:25)
1 "Other"</t>
        </r>
      </text>
    </comment>
    <comment ref="E22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ID#AAAAyv48TSo
R B    (2023-06-08 12:33:25)
1 "Other"</t>
        </r>
      </text>
    </comment>
    <comment ref="K22" authorId="0" shapeId="0" xr:uid="{00000000-0006-0000-0000-00006C000000}">
      <text>
        <r>
          <rPr>
            <sz val="11"/>
            <color theme="1"/>
            <rFont val="Calibri"/>
            <scheme val="minor"/>
          </rPr>
          <t>======
ID#AAAAyv48TPU
R B    (2023-06-08 12:33:25)
Median age</t>
        </r>
      </text>
    </comment>
    <comment ref="S22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ID#AAAAyv48TTQ
R B    (2023-06-08 12:33:25)
"Other/mixed"</t>
        </r>
      </text>
    </comment>
    <comment ref="AK22" authorId="0" shapeId="0" xr:uid="{00000000-0006-0000-0000-000081000000}">
      <text>
        <r>
          <rPr>
            <sz val="11"/>
            <color theme="1"/>
            <rFont val="Calibri"/>
            <scheme val="minor"/>
          </rPr>
          <t>======
ID#AAAAyv48TOA
R B    (2023-06-08 12:33:25)
Does not specify FEP only, but implied as patients were excluded if psychosis was due to exacerbation of known psychiatric/medical condition</t>
        </r>
      </text>
    </comment>
    <comment ref="BQ22" authorId="0" shapeId="0" xr:uid="{00000000-0006-0000-0000-0000B9000000}">
      <text>
        <r>
          <rPr>
            <sz val="11"/>
            <color theme="1"/>
            <rFont val="Calibri"/>
            <scheme val="minor"/>
          </rPr>
          <t>======
ID#AAAAyv48TKc
R B    (2023-06-08 12:33:25)
1/13 of the toxic/substance induced patients was diagnosed with leviracetam-induced psychosis - could be classed as iatrogenic?
Substance-induced psychosis diagnosed based on positive UDS</t>
        </r>
      </text>
    </comment>
    <comment ref="BS22" authorId="0" shapeId="0" xr:uid="{00000000-0006-0000-0000-000047000000}">
      <text>
        <r>
          <rPr>
            <sz val="11"/>
            <color theme="1"/>
            <rFont val="Calibri"/>
            <scheme val="minor"/>
          </rPr>
          <t>======
ID#AAAAyv48TRs
R B    (2023-06-08 12:33:25)
1/13 of the toxic/substance induced patients was diagnosed with leviracetam-induced psychosis - could be iatrogenic?</t>
        </r>
      </text>
    </comment>
    <comment ref="DJ23" authorId="0" shapeId="0" xr:uid="{00000000-0006-0000-0000-00005A000000}">
      <text>
        <r>
          <rPr>
            <sz val="11"/>
            <color theme="1"/>
            <rFont val="Calibri"/>
            <scheme val="minor"/>
          </rPr>
          <t>======
ID#AAAAyv48TQc
tc={00514E1C-6884-44B2-BDA0-6AB414265CFD}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K23" authorId="0" shapeId="0" xr:uid="{00000000-0006-0000-0000-000045000000}">
      <text>
        <r>
          <rPr>
            <sz val="11"/>
            <color theme="1"/>
            <rFont val="Calibri"/>
            <scheme val="minor"/>
          </rPr>
          <t>======
ID#AAAAyv48TR4
R B    (2023-06-08 12:33:25)
SCID</t>
        </r>
      </text>
    </comment>
    <comment ref="DP23" authorId="0" shapeId="0" xr:uid="{00000000-0006-0000-0000-0000B6000000}">
      <text>
        <r>
          <rPr>
            <sz val="11"/>
            <color theme="1"/>
            <rFont val="Calibri"/>
            <scheme val="minor"/>
          </rPr>
          <t>======
ID#AAAAyv48TKo
tc={209DE5AA-1072-4575-9F38-91C029D1FB97}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 AND MMSE (used for neurological evaluation) - whole sample</t>
        </r>
      </text>
    </comment>
    <comment ref="DQ23" authorId="0" shapeId="0" xr:uid="{00000000-0006-0000-0000-0000A2000000}">
      <text>
        <r>
          <rPr>
            <sz val="11"/>
            <color theme="1"/>
            <rFont val="Calibri"/>
            <scheme val="minor"/>
          </rPr>
          <t>======
ID#AAAAyv48TL4
R B    (2023-06-08 12:33:25)
MMSE/EXIT</t>
        </r>
      </text>
    </comment>
    <comment ref="C24" authorId="0" shapeId="0" xr:uid="{00000000-0006-0000-0000-000073000000}">
      <text>
        <r>
          <rPr>
            <sz val="11"/>
            <color theme="1"/>
            <rFont val="Calibri"/>
            <scheme val="minor"/>
          </rPr>
          <t>======
ID#AAAAyv48TO8
R B    (2023-06-08 12:33:25)
3 "missing"</t>
        </r>
      </text>
    </comment>
    <comment ref="E24" authorId="0" shapeId="0" xr:uid="{00000000-0006-0000-0000-0000B0000000}">
      <text>
        <r>
          <rPr>
            <sz val="11"/>
            <color theme="1"/>
            <rFont val="Calibri"/>
            <scheme val="minor"/>
          </rPr>
          <t>======
ID#AAAAyv48TLA
R B    (2023-06-08 12:33:25)
3 "missing"</t>
        </r>
      </text>
    </comment>
    <comment ref="M24" authorId="0" shapeId="0" xr:uid="{00000000-0006-0000-0000-00007D000000}">
      <text>
        <r>
          <rPr>
            <sz val="11"/>
            <color theme="1"/>
            <rFont val="Calibri"/>
            <scheme val="minor"/>
          </rPr>
          <t>======
ID#AAAAyv48TOM
R B    (2023-06-08 12:33:25)
Yoruba</t>
        </r>
      </text>
    </comment>
    <comment ref="N24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ID#AAAAyv48TRE
tc={63BA24B3-95DD-4E45-8C28-53AD4B290EC8}    (2023-06-08 12:33:25)
[Threaded comment]
Your version of Excel allows you to read this threaded comment; however, any edits to it will get removed if the file is opened in a newer version of Excel. Learn more: https://go.microsoft.com/fwlink/?linkid=870924
Comment:
    Yoruba</t>
        </r>
      </text>
    </comment>
    <comment ref="S24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ID#AAAAyv48TNk
R B    (2023-06-08 12:33:25)
Other</t>
        </r>
      </text>
    </comment>
    <comment ref="AK24" authorId="0" shapeId="0" xr:uid="{00000000-0006-0000-0000-000075000000}">
      <text>
        <r>
          <rPr>
            <sz val="11"/>
            <color theme="1"/>
            <rFont val="Calibri"/>
            <scheme val="minor"/>
          </rPr>
          <t>======
ID#AAAAyv48TOw
R B    (2023-06-08 12:33:25)
Doesn't explicitly say, but childhood-onset</t>
        </r>
      </text>
    </comment>
    <comment ref="DY24" authorId="0" shapeId="0" xr:uid="{00000000-0006-0000-0000-000072000000}">
      <text>
        <r>
          <rPr>
            <sz val="11"/>
            <color theme="1"/>
            <rFont val="Calibri"/>
            <scheme val="minor"/>
          </rPr>
          <t>======
ID#AAAAyv48TO4
R B    (2023-06-08 12:33:25)
Using ICD/DSM</t>
        </r>
      </text>
    </comment>
    <comment ref="DJ25" authorId="0" shapeId="0" xr:uid="{00000000-0006-0000-0000-0000A1000000}">
      <text>
        <r>
          <rPr>
            <sz val="11"/>
            <color theme="1"/>
            <rFont val="Calibri"/>
            <scheme val="minor"/>
          </rPr>
          <t>======
ID#AAAAyv48TMA
tc={AAA48320-5AEF-4EDA-93C0-4BB3A0ECC2D5}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</t>
        </r>
      </text>
    </comment>
    <comment ref="DK25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ID#AAAAyv48TRM
R B    (2023-06-08 12:33:25)
SCID</t>
        </r>
      </text>
    </comment>
    <comment ref="DN25" authorId="0" shapeId="0" xr:uid="{00000000-0006-0000-0000-000097000000}">
      <text>
        <r>
          <rPr>
            <sz val="11"/>
            <color theme="1"/>
            <rFont val="Calibri"/>
            <scheme val="minor"/>
          </rPr>
          <t>======
ID#AAAAyv48TMo
tc={3F4486AF-FD4A-46FC-A15B-FB9F99353620}    (2023-06-08 12:33:25)
[Threaded comment]
Your version of Excel allows you to read this threaded comment; however, any edits to it will get removed if the file is opened in a newer version of Excel. Learn more: https://go.microsoft.com/fwlink/?linkid=870924
Comment:
    Neurological assessment</t>
        </r>
      </text>
    </comment>
    <comment ref="K26" authorId="0" shapeId="0" xr:uid="{00000000-0006-0000-0000-0000AE000000}">
      <text>
        <r>
          <rPr>
            <sz val="11"/>
            <color theme="1"/>
            <rFont val="Calibri"/>
            <scheme val="minor"/>
          </rPr>
          <t>======
ID#AAAAyv48TLE
R B    (2023-06-08 12:33:25)
Given as those with probable autoimmune/F2, F1/F3-F6, "No reliable classification"; unable to combine</t>
        </r>
      </text>
    </comment>
    <comment ref="CR26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ID#AAAAyv48TQo
R B    (2023-06-08 12:33:25)
Non-causative findings</t>
        </r>
      </text>
    </comment>
    <comment ref="CV26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ID#AAAAyv48TMw
tc={9BEC0413-2FBA-40AD-8182-2EBFE96A7CD0}    (2023-06-08 12:33:25)
[Threaded comment]
Your version of Excel allows you to read this threaded comment; however, any edits to it will get removed if the file is opened in a newer version of Excel. Learn more: https://go.microsoft.com/fwlink/?linkid=870924
Comment:
    Only probable autoimmune psychosis group</t>
        </r>
      </text>
    </comment>
    <comment ref="CX26" authorId="0" shapeId="0" xr:uid="{00000000-0006-0000-0000-000078000000}">
      <text>
        <r>
          <rPr>
            <sz val="11"/>
            <color theme="1"/>
            <rFont val="Calibri"/>
            <scheme val="minor"/>
          </rPr>
          <t>======
ID#AAAAyv48TOk
tc={1C9865D3-3972-4BFA-B3B9-544B6A3E48CA}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D26" authorId="0" shapeId="0" xr:uid="{00000000-0006-0000-0000-00009A000000}">
      <text>
        <r>
          <rPr>
            <sz val="11"/>
            <color theme="1"/>
            <rFont val="Calibri"/>
            <scheme val="minor"/>
          </rPr>
          <t>======
ID#AAAAyv48TMc
tc={0E84A5EE-B49E-4975-9B23-5430E8FE65AE}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F26" authorId="0" shapeId="0" xr:uid="{00000000-0006-0000-0000-000041000000}">
      <text>
        <r>
          <rPr>
            <sz val="11"/>
            <color theme="1"/>
            <rFont val="Calibri"/>
            <scheme val="minor"/>
          </rPr>
          <t>======
ID#AAAAyv48TSE
tc={72995BE7-9513-4B46-B5F7-359A0B48805F}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J26" authorId="0" shapeId="0" xr:uid="{00000000-0006-0000-0000-00006B000000}">
      <text>
        <r>
          <rPr>
            <sz val="11"/>
            <color theme="1"/>
            <rFont val="Calibri"/>
            <scheme val="minor"/>
          </rPr>
          <t>======
ID#AAAAyv48TPY
tc={19A58C5A-66DC-4788-843E-9DD38AC95F15}    (2023-06-08 12:33:25)
[Threaded comment]
Your version of Excel allows you to read this threaded comment; however, any edits to it will get removed if the file is opened in a newer version of Excel. Learn more: https://go.microsoft.com/fwlink/?linkid=870924
Comment:
    Psych assessment and neurological examination - whole sample</t>
        </r>
      </text>
    </comment>
    <comment ref="DW26" authorId="0" shapeId="0" xr:uid="{00000000-0006-0000-0000-000042000000}">
      <text>
        <r>
          <rPr>
            <sz val="11"/>
            <color theme="1"/>
            <rFont val="Calibri"/>
            <scheme val="minor"/>
          </rPr>
          <t>======
ID#AAAAyv48TSA
R B    (2023-06-08 12:33:25)
Diagnosis also given when appropriate</t>
        </r>
      </text>
    </comment>
    <comment ref="DY26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ID#AAAAyv48TTM
R B    (2023-06-08 12:33:25)
Using ICD</t>
        </r>
      </text>
    </comment>
    <comment ref="O27" authorId="0" shapeId="0" xr:uid="{00000000-0006-0000-0000-0000BB000000}">
      <text>
        <r>
          <rPr>
            <sz val="11"/>
            <color theme="1"/>
            <rFont val="Calibri"/>
            <scheme val="minor"/>
          </rPr>
          <t>======
ID#AAAAyv48TKU
R B    (2023-06-08 12:33:25)
99% Caucasian</t>
        </r>
      </text>
    </comment>
    <comment ref="DY27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ID#AAAAyv48TTc
R B    (2023-06-08 12:33:25)
Using ICD</t>
        </r>
      </text>
    </comment>
    <comment ref="K28" authorId="0" shapeId="0" xr:uid="{00000000-0006-0000-0000-00000E000000}">
      <text>
        <r>
          <rPr>
            <sz val="11"/>
            <color theme="1"/>
            <rFont val="Calibri"/>
            <scheme val="minor"/>
          </rPr>
          <t>S.D. 9.2
======</t>
        </r>
      </text>
    </comment>
    <comment ref="AS28" authorId="0" shapeId="0" xr:uid="{00000000-0006-0000-0000-00000F000000}">
      <text>
        <r>
          <rPr>
            <sz val="11"/>
            <color theme="1"/>
            <rFont val="Calibri"/>
            <scheme val="minor"/>
          </rPr>
          <t>Median DUP in days, range 1-2340, 50.4% (n=57) had median DUP &gt;30 days
======</t>
        </r>
      </text>
    </comment>
    <comment ref="DS28" authorId="0" shapeId="0" xr:uid="{00000000-0006-0000-0000-000010000000}">
      <text>
        <r>
          <rPr>
            <sz val="11"/>
            <color theme="1"/>
            <rFont val="Calibri"/>
            <scheme val="minor"/>
          </rPr>
          <t>Radioimmunoassay
======</t>
        </r>
      </text>
    </comment>
    <comment ref="DT28" authorId="0" shapeId="0" xr:uid="{00000000-0006-0000-0000-000011000000}">
      <text>
        <r>
          <rPr>
            <sz val="11"/>
            <color theme="1"/>
            <rFont val="Calibri"/>
            <scheme val="minor"/>
          </rPr>
          <t>Radioimmunoassay
======</t>
        </r>
      </text>
    </comment>
    <comment ref="N29" authorId="0" shapeId="0" xr:uid="{00000000-0006-0000-0000-0000B2000000}">
      <text>
        <r>
          <rPr>
            <sz val="11"/>
            <color theme="1"/>
            <rFont val="Calibri"/>
            <scheme val="minor"/>
          </rPr>
          <t>======
ID#AAAAyv48TK4
tc={276B014E-4AA8-4BF3-93D6-183ADFFEE16E}    (2023-06-08 12:33:25)
[Threaded comment]
Your version of Excel allows you to read this threaded comment; however, any edits to it will get removed if the file is opened in a newer version of Excel. Learn more: https://go.microsoft.com/fwlink/?linkid=870924
Comment:
    Indigineous South African Males</t>
        </r>
      </text>
    </comment>
    <comment ref="DB29" authorId="0" shapeId="0" xr:uid="{00000000-0006-0000-0000-000099000000}">
      <text>
        <r>
          <rPr>
            <sz val="11"/>
            <color theme="1"/>
            <rFont val="Calibri"/>
            <scheme val="minor"/>
          </rPr>
          <t>======
ID#AAAAyv48TMg
tc={3E901DCB-133A-44D6-BB18-43F9E152B29F}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DH29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ID#AAAAyv48TNo
tc={A7F4580A-C43B-4864-A332-5CBB4B2553CF}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J29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ID#AAAAyv48TSw
tc={BAB2E030-8D73-487F-BC50-BA6E305CED90}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K30" authorId="0" shapeId="0" xr:uid="{00000000-0006-0000-0000-000046000000}">
      <text>
        <r>
          <rPr>
            <sz val="11"/>
            <color theme="1"/>
            <rFont val="Calibri"/>
            <scheme val="minor"/>
          </rPr>
          <t>======
ID#AAAAyv48TRw
R B    (2023-06-08 12:33:25)
Mixed into ANA positive/negative but not necessarily dx and mixed by site</t>
        </r>
      </text>
    </comment>
    <comment ref="CR30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ID#AAAAyv48TSg
R B    (2023-06-08 12:33:25)
Non-causative findings</t>
        </r>
      </text>
    </comment>
    <comment ref="CV30" authorId="0" shapeId="0" xr:uid="{00000000-0006-0000-0000-0000B7000000}">
      <text>
        <r>
          <rPr>
            <sz val="11"/>
            <color theme="1"/>
            <rFont val="Calibri"/>
            <scheme val="minor"/>
          </rPr>
          <t>======
ID#AAAAyv48TKk
tc={83015A8D-455B-43B7-8CCD-D276CA024D81}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CX30" authorId="0" shapeId="0" xr:uid="{00000000-0006-0000-0000-00004C000000}">
      <text>
        <r>
          <rPr>
            <sz val="11"/>
            <color theme="1"/>
            <rFont val="Calibri"/>
            <scheme val="minor"/>
          </rPr>
          <t>======
ID#AAAAyv48TRY
tc={D9CCFBE1-4435-4E74-9290-20821BDBB893}    (2023-06-08 12:33:25)
[Threaded comment]
Your version of Excel allows you to read this threaded comment; however, any edits to it will get removed if the file is opened in a newer version of Excel. Learn more: https://go.microsoft.com/fwlink/?linkid=870924
Comment:
    Not whole sample</t>
        </r>
      </text>
    </comment>
    <comment ref="DF30" authorId="0" shapeId="0" xr:uid="{00000000-0006-0000-0000-0000A7000000}">
      <text>
        <r>
          <rPr>
            <sz val="11"/>
            <color theme="1"/>
            <rFont val="Calibri"/>
            <scheme val="minor"/>
          </rPr>
          <t>======
ID#AAAAyv48TLo
tc={869ED69F-07A6-419D-AB55-A10355626F71}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J30" authorId="0" shapeId="0" xr:uid="{00000000-0006-0000-0000-000067000000}">
      <text>
        <r>
          <rPr>
            <sz val="11"/>
            <color theme="1"/>
            <rFont val="Calibri"/>
            <scheme val="minor"/>
          </rPr>
          <t>======
ID#AAAAyv48TPo
tc={1D2682C5-A9CE-430E-831A-9A2F01781E90}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K31" authorId="0" shapeId="0" xr:uid="{00000000-0006-0000-0000-000012000000}">
      <text>
        <r>
          <rPr>
            <sz val="11"/>
            <color theme="1"/>
            <rFont val="Calibri"/>
            <scheme val="minor"/>
          </rPr>
          <t>SD 11
======</t>
        </r>
      </text>
    </comment>
    <comment ref="DC31" authorId="0" shapeId="0" xr:uid="{00000000-0006-0000-0000-000013000000}">
      <text>
        <r>
          <rPr>
            <sz val="11"/>
            <color theme="1"/>
            <rFont val="Calibri"/>
            <scheme val="minor"/>
          </rPr>
          <t>LP for those who had plasma antibodies confirmed
======</t>
        </r>
      </text>
    </comment>
    <comment ref="CS32" authorId="0" shapeId="0" xr:uid="{00000000-0006-0000-0000-000014000000}">
      <text>
        <r>
          <rPr>
            <sz val="11"/>
            <color theme="1"/>
            <rFont val="Calibri"/>
            <scheme val="minor"/>
          </rPr>
          <t>"Attributed to sleep or fever"
======</t>
        </r>
      </text>
    </comment>
    <comment ref="J33" authorId="0" shapeId="0" xr:uid="{00000000-0006-0000-0000-0000AB000000}">
      <text>
        <r>
          <rPr>
            <sz val="11"/>
            <color theme="1"/>
            <rFont val="Calibri"/>
            <scheme val="minor"/>
          </rPr>
          <t>======
ID#AAAAyv48TLQ
tc={0D112388-C62C-4AD2-B017-340623FC894C}    (2023-06-08 12:33:25)
[Threaded comment]
Your version of Excel allows you to read this threaded comment; however, any edits to it will get removed if the file is opened in a newer version of Excel. Learn more: https://go.microsoft.com/fwlink/?linkid=870924
Comment:
    Combined</t>
        </r>
      </text>
    </comment>
    <comment ref="S33" authorId="0" shapeId="0" xr:uid="{00000000-0006-0000-0000-0000A3000000}">
      <text>
        <r>
          <rPr>
            <sz val="11"/>
            <color theme="1"/>
            <rFont val="Calibri"/>
            <scheme val="minor"/>
          </rPr>
          <t>======
ID#AAAAyv48TL8
R B    (2023-06-08 12:33:25)
Mixed 39/7 Other</t>
        </r>
      </text>
    </comment>
    <comment ref="T33" authorId="0" shapeId="0" xr:uid="{00000000-0006-0000-0000-00005F000000}">
      <text>
        <r>
          <rPr>
            <sz val="11"/>
            <color theme="1"/>
            <rFont val="Calibri"/>
            <scheme val="minor"/>
          </rPr>
          <t>======
ID#AAAAyv48TQI
tc={CB980C96-6C7F-45CD-B7C5-C142CEF46089}    (2023-06-08 12:33:25)
[Threaded comment]
Your version of Excel allows you to read this threaded comment; however, any edits to it will get removed if the file is opened in a newer version of Excel. Learn more: https://go.microsoft.com/fwlink/?linkid=870924
Comment:
    39 Mixed, 7 Other</t>
        </r>
      </text>
    </comment>
    <comment ref="AS33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ID#AAAA0EiR2sA
Rr Bb    (2023-07-11 00:11:59)
SD 651.2, no units given</t>
        </r>
      </text>
    </comment>
    <comment ref="AU33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ID#AAAA0EiR2sE
Rr Bb    (2023-07-11 00:12:13)
SD 670.5, no units given</t>
        </r>
      </text>
    </comment>
    <comment ref="DJ33" authorId="0" shapeId="0" xr:uid="{00000000-0006-0000-0000-00005D000000}">
      <text>
        <r>
          <rPr>
            <sz val="11"/>
            <color theme="1"/>
            <rFont val="Calibri"/>
            <scheme val="minor"/>
          </rPr>
          <t>======
ID#AAAAyv48TQQ
tc={DE4A9093-B297-4E5A-8519-2310AEA9B234}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K33" authorId="0" shapeId="0" xr:uid="{00000000-0006-0000-0000-000062000000}">
      <text>
        <r>
          <rPr>
            <sz val="11"/>
            <color theme="1"/>
            <rFont val="Calibri"/>
            <scheme val="minor"/>
          </rPr>
          <t>======
ID#AAAAyv48TP8
R B    (2023-06-08 12:33:25)
PANSS</t>
        </r>
      </text>
    </comment>
    <comment ref="DL33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ID#AAAAyv48TNc
tc={AFA9B2AD-ECA6-4AC4-9D9C-A5943324F482}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</t>
        </r>
      </text>
    </comment>
    <comment ref="DY33" authorId="0" shapeId="0" xr:uid="{00000000-0006-0000-0000-0000B8000000}">
      <text>
        <r>
          <rPr>
            <sz val="11"/>
            <color theme="1"/>
            <rFont val="Calibri"/>
            <scheme val="minor"/>
          </rPr>
          <t>======
ID#AAAAyv48TKg
R B    (2023-06-08 12:33:25)
Using ICD</t>
        </r>
      </text>
    </comment>
    <comment ref="O34" authorId="0" shapeId="0" xr:uid="{00000000-0006-0000-0000-0000AC000000}">
      <text>
        <r>
          <rPr>
            <sz val="11"/>
            <color theme="1"/>
            <rFont val="Calibri"/>
            <scheme val="minor"/>
          </rPr>
          <t>======
ID#AAAAyv48TLU
R B    (2023-06-08 12:33:25)
116 New Zealand European/16 European</t>
        </r>
      </text>
    </comment>
    <comment ref="P34" authorId="0" shapeId="0" xr:uid="{00000000-0006-0000-0000-0000AD000000}">
      <text>
        <r>
          <rPr>
            <sz val="11"/>
            <color theme="1"/>
            <rFont val="Calibri"/>
            <scheme val="minor"/>
          </rPr>
          <t>======
ID#AAAAyv48TLM
tc={2B871F34-F9CA-49EE-AA3F-467B42461DC8}    (2023-06-08 12:33:25)
[Threaded comment]
Your version of Excel allows you to read this threaded comment; however, any edits to it will get removed if the file is opened in a newer version of Excel. Learn more: https://go.microsoft.com/fwlink/?linkid=870924
Comment:
    116 New Zealand European, 16 European</t>
        </r>
      </text>
    </comment>
    <comment ref="S34" authorId="0" shapeId="0" xr:uid="{00000000-0006-0000-0000-0000B5000000}">
      <text>
        <r>
          <rPr>
            <sz val="11"/>
            <color theme="1"/>
            <rFont val="Calibri"/>
            <scheme val="minor"/>
          </rPr>
          <t>======
ID#AAAAyv48TKw
R B    (2023-06-08 12:33:25)
29 Maori, 9 Pacific Islander, 2 Other</t>
        </r>
      </text>
    </comment>
    <comment ref="T34" authorId="0" shapeId="0" xr:uid="{00000000-0006-0000-0000-000052000000}">
      <text>
        <r>
          <rPr>
            <sz val="11"/>
            <color theme="1"/>
            <rFont val="Calibri"/>
            <scheme val="minor"/>
          </rPr>
          <t>======
ID#AAAAyv48TRA
tc={802A083F-B28D-4FC6-9393-98FDEC2B2CD2}    (2023-06-08 12:33:25)
[Threaded comment]
Your version of Excel allows you to read this threaded comment; however, any edits to it will get removed if the file is opened in a newer version of Excel. Learn more: https://go.microsoft.com/fwlink/?linkid=870924
Comment:
    29 Maori, 9 Pacific Islander, 2 other</t>
        </r>
      </text>
    </comment>
    <comment ref="AA34" authorId="0" shapeId="0" xr:uid="{00000000-0006-0000-0000-00006F000000}">
      <text>
        <r>
          <rPr>
            <sz val="11"/>
            <color theme="1"/>
            <rFont val="Calibri"/>
            <scheme val="minor"/>
          </rPr>
          <t>======
ID#AAAAyv48TPE
R B    (2023-06-08 12:33:25)
18 missing</t>
        </r>
      </text>
    </comment>
    <comment ref="AS34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ID#AAAA0EiR2sM
Rr Bb    (2023-07-11 00:12:49)
Mean days, SD 486; also reports duration of untreated illness (464 [875])</t>
        </r>
      </text>
    </comment>
    <comment ref="AW3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ID#AAAA0EiR2sI
Rr Bb    (2023-07-11 00:12:30)
SD 243.5, no units given</t>
        </r>
      </text>
    </comment>
    <comment ref="DJ34" authorId="0" shapeId="0" xr:uid="{00000000-0006-0000-0000-00007B000000}">
      <text>
        <r>
          <rPr>
            <sz val="11"/>
            <color theme="1"/>
            <rFont val="Calibri"/>
            <scheme val="minor"/>
          </rPr>
          <t>======
ID#AAAAyv48TOU
tc={C9D68830-E604-4565-80B8-8BCA21803461}    (2023-06-08 12:33:25)
[Threaded comment]
Your version of Excel allows you to read this threaded comment; however, any edits to it will get removed if the file is opened in a newer version of Excel. Learn more: https://go.microsoft.com/fwlink/?linkid=870924
Comment:
    Whole sample</t>
        </r>
      </text>
    </comment>
    <comment ref="DK34" authorId="0" shapeId="0" xr:uid="{00000000-0006-0000-0000-00009B000000}">
      <text>
        <r>
          <rPr>
            <sz val="11"/>
            <color theme="1"/>
            <rFont val="Calibri"/>
            <scheme val="minor"/>
          </rPr>
          <t>======
ID#AAAAyv48TMU
R B    (2023-06-08 12:33:25)
PANSS</t>
        </r>
      </text>
    </comment>
    <comment ref="DL34" authorId="0" shapeId="0" xr:uid="{00000000-0006-0000-0000-00006A000000}">
      <text>
        <r>
          <rPr>
            <sz val="11"/>
            <color theme="1"/>
            <rFont val="Calibri"/>
            <scheme val="minor"/>
          </rPr>
          <t>======
ID#AAAAyv48TPc
tc={7A988206-C430-49E0-BA1D-397D4A19BB53}    (2023-06-08 12:33:25)
[Threaded comment]
Your version of Excel allows you to read this threaded comment; however, any edits to it will get removed if the file is opened in a newer version of Excel. Learn more: https://go.microsoft.com/fwlink/?linkid=870924
Comment:
    PANSS</t>
        </r>
      </text>
    </comment>
    <comment ref="DY34" authorId="0" shapeId="0" xr:uid="{00000000-0006-0000-0000-00009E000000}">
      <text>
        <r>
          <rPr>
            <sz val="11"/>
            <color theme="1"/>
            <rFont val="Calibri"/>
            <scheme val="minor"/>
          </rPr>
          <t>======
ID#AAAAyv48TMQ
R B    (2023-06-08 12:33:25)
Using DSM</t>
        </r>
      </text>
    </comment>
    <comment ref="O36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ID#AAAAyv48TM4
R B    (2023-06-08 12:33:25)
116 New Zealand European/16 European</t>
        </r>
      </text>
    </comment>
    <comment ref="P36" authorId="0" shapeId="0" xr:uid="{00000000-0006-0000-0000-00004E000000}">
      <text>
        <r>
          <rPr>
            <sz val="11"/>
            <color theme="1"/>
            <rFont val="Calibri"/>
            <scheme val="minor"/>
          </rPr>
          <t>======
ID#AAAAyv48TRQ
tc={13053A05-5B6C-4ED5-971D-63A12A777359}    (2023-06-08 12:33:25)
[Threaded comment]
Your version of Excel allows you to read this threaded comment; however, any edits to it will get removed if the file is opened in a newer version of Excel. Learn more: https://go.microsoft.com/fwlink/?linkid=870924
Comment:
    116 New Zealand European, 16 European</t>
        </r>
      </text>
    </comment>
    <comment ref="S36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ID#AAAAyv48TQw
R B    (2023-06-08 12:33:25)
29 Maori, 9 Pacific Islander, 2 Other</t>
        </r>
      </text>
    </comment>
    <comment ref="T36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ID#AAAAyv48TQ4
tc={FDA99B6E-2B87-4A37-84BB-36FD87ADE415}    (2023-06-08 12:33:25)
[Threaded comment]
Your version of Excel allows you to read this threaded comment; however, any edits to it will get removed if the file is opened in a newer version of Excel. Learn more: https://go.microsoft.com/fwlink/?linkid=870924
Comment:
    29 Maori, 9 Pacific Islander, 2 other</t>
        </r>
      </text>
    </comment>
    <comment ref="AA36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ID#AAAAyv48TM8
R B    (2023-06-08 12:33:25)
18 missing</t>
        </r>
      </text>
    </comment>
    <comment ref="K38" authorId="0" shapeId="0" xr:uid="{00000000-0006-0000-0000-000015000000}">
      <text>
        <r>
          <rPr>
            <sz val="11"/>
            <color theme="1"/>
            <rFont val="Calibri"/>
            <scheme val="minor"/>
          </rPr>
          <t>±8.27
======</t>
        </r>
      </text>
    </comment>
    <comment ref="O38" authorId="0" shapeId="0" xr:uid="{00000000-0006-0000-0000-000016000000}">
      <text>
        <r>
          <rPr>
            <sz val="11"/>
            <color theme="1"/>
            <rFont val="Calibri"/>
            <scheme val="minor"/>
          </rPr>
          <t>"27 caucasian or other"
======</t>
        </r>
      </text>
    </comment>
    <comment ref="S38" authorId="0" shapeId="0" xr:uid="{00000000-0006-0000-0000-000017000000}">
      <text>
        <r>
          <rPr>
            <sz val="11"/>
            <color theme="1"/>
            <rFont val="Calibri"/>
            <scheme val="minor"/>
          </rPr>
          <t>27 "caucasian or other", 127 Hispanic
======</t>
        </r>
      </text>
    </comment>
    <comment ref="T38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ID#AAAA3ji5ZJk
Anonymous    (2023-08-21 19:18:13)
27 Caucasian or other, 127 Hispanic</t>
        </r>
      </text>
    </comment>
    <comment ref="DZ38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ID#AAAA3ji5ZJo
Anonymous    (2023-08-21 19:23:22)
PANSS used too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rZL4gBDcHE7pr87b/8p7Iv2XRQ=="/>
    </ext>
  </extLst>
</comments>
</file>

<file path=xl/sharedStrings.xml><?xml version="1.0" encoding="utf-8"?>
<sst xmlns="http://schemas.openxmlformats.org/spreadsheetml/2006/main" count="3749" uniqueCount="341">
  <si>
    <t>First Author</t>
  </si>
  <si>
    <t>Date</t>
  </si>
  <si>
    <t>Gender (Male)</t>
  </si>
  <si>
    <t>Gender (Female)</t>
  </si>
  <si>
    <t>Mean Age (Primary)</t>
  </si>
  <si>
    <t>Mean Age (Secondary)</t>
  </si>
  <si>
    <t>Mean Age (Total)</t>
  </si>
  <si>
    <t>Ethnicity (Black)</t>
  </si>
  <si>
    <t>Ethnicity (White)</t>
  </si>
  <si>
    <t>Ethnicity (Asian)</t>
  </si>
  <si>
    <t>Ethnicity (Other)</t>
  </si>
  <si>
    <t>Accident and Emergency / Urgent Care</t>
  </si>
  <si>
    <t>Inpatient Psychiatric Service</t>
  </si>
  <si>
    <t>Outpatient Psychiatric Service</t>
  </si>
  <si>
    <t>GP /non-Urgent Physical Care</t>
  </si>
  <si>
    <t>setting</t>
  </si>
  <si>
    <t>Country</t>
  </si>
  <si>
    <t>Continant</t>
  </si>
  <si>
    <t>Retrospective</t>
  </si>
  <si>
    <t>Prospective</t>
  </si>
  <si>
    <t xml:space="preserve">FEP Only </t>
  </si>
  <si>
    <t>First Episode Cohort</t>
  </si>
  <si>
    <t>Chronic Psychosis Cohort</t>
  </si>
  <si>
    <t>Mixed Cohort</t>
  </si>
  <si>
    <t>DUP (all psychosis)</t>
  </si>
  <si>
    <t>DUP (primary)</t>
  </si>
  <si>
    <t>DUP (secondary)</t>
  </si>
  <si>
    <t>Total Sample Size</t>
  </si>
  <si>
    <t>Total Secondary Causes</t>
  </si>
  <si>
    <t>Probable or Definite Secondary cause</t>
  </si>
  <si>
    <t>Definite Secondary cause</t>
  </si>
  <si>
    <t>Probable Secondary cause</t>
  </si>
  <si>
    <t>Possible Secondary cause</t>
  </si>
  <si>
    <t>Was the study looking at multiple causes?</t>
  </si>
  <si>
    <t>Endogenous</t>
  </si>
  <si>
    <t>Exogenous</t>
  </si>
  <si>
    <t>Autoimmune Disorders</t>
  </si>
  <si>
    <t>Cytogenic / Congenital</t>
  </si>
  <si>
    <t>Toxic / Substance-Induced</t>
  </si>
  <si>
    <t>Iatrogenic</t>
  </si>
  <si>
    <t>Cerebrovascular</t>
  </si>
  <si>
    <t>Space-Occupying</t>
  </si>
  <si>
    <t>Metabolic</t>
  </si>
  <si>
    <t>Dietary</t>
  </si>
  <si>
    <t>Sepsis / Infectious</t>
  </si>
  <si>
    <t>Degenerative</t>
  </si>
  <si>
    <t>Demyelinating</t>
  </si>
  <si>
    <t>Seizure</t>
  </si>
  <si>
    <t>Sleep Disorders</t>
  </si>
  <si>
    <t>Head Injury</t>
  </si>
  <si>
    <t>Endocrine</t>
  </si>
  <si>
    <t>Other</t>
  </si>
  <si>
    <t>Unknown</t>
  </si>
  <si>
    <t>MRI (freq)</t>
  </si>
  <si>
    <t>CT (freq)</t>
  </si>
  <si>
    <t>SPECT/PET (freq)</t>
  </si>
  <si>
    <t>EEG (freq)</t>
  </si>
  <si>
    <t>CSF (freq)</t>
  </si>
  <si>
    <t>Blood (freq)</t>
  </si>
  <si>
    <t>Urine (freq)</t>
  </si>
  <si>
    <t>Psychiatric Assessment (freq)</t>
  </si>
  <si>
    <t>Psychiatric Assessment Standardised Tool (y/n)</t>
  </si>
  <si>
    <t>Physical Exam (including neurological, vital signs) (freq)</t>
  </si>
  <si>
    <t>Cognitive Assessment (freq)</t>
  </si>
  <si>
    <t>Cognitive Assessment-standardised tool</t>
  </si>
  <si>
    <t>Other (add detail)</t>
  </si>
  <si>
    <t>NS</t>
  </si>
  <si>
    <t>Diagnosis</t>
  </si>
  <si>
    <t>Diagnostic Tool</t>
  </si>
  <si>
    <t>Classification System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</si>
  <si>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</si>
  <si>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</si>
  <si>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</si>
  <si>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</si>
  <si>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</si>
  <si>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</si>
  <si>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</si>
  <si>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</si>
  <si>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</si>
  <si>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</si>
  <si>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Overall Score</t>
  </si>
  <si>
    <t>Geographic Location</t>
  </si>
  <si>
    <t>Sleep Disorder</t>
  </si>
  <si>
    <t>Comments - endogenous causesnot reported at most granual level</t>
  </si>
  <si>
    <t>Rater 1</t>
  </si>
  <si>
    <t>Rater 2</t>
  </si>
  <si>
    <t xml:space="preserve">Rater 2 </t>
  </si>
  <si>
    <t>Adams</t>
  </si>
  <si>
    <t>inpat_psych</t>
  </si>
  <si>
    <t>Canada</t>
  </si>
  <si>
    <t>n_am</t>
  </si>
  <si>
    <t>no</t>
  </si>
  <si>
    <t>yes</t>
  </si>
  <si>
    <t>multiple</t>
  </si>
  <si>
    <t>NA</t>
  </si>
  <si>
    <t>some</t>
  </si>
  <si>
    <t>all</t>
  </si>
  <si>
    <t>Psychotic Disorder</t>
  </si>
  <si>
    <t>Bechter</t>
  </si>
  <si>
    <t>Germany</t>
  </si>
  <si>
    <t>euro</t>
  </si>
  <si>
    <t>Psychitoic Disorder</t>
  </si>
  <si>
    <t>ICD-10</t>
  </si>
  <si>
    <t>Caton</t>
  </si>
  <si>
    <t>gen_hospital</t>
  </si>
  <si>
    <t>USA</t>
  </si>
  <si>
    <t>single</t>
  </si>
  <si>
    <t>PRISM</t>
  </si>
  <si>
    <t>DSM-IV</t>
  </si>
  <si>
    <t>Correa-Oliveira</t>
  </si>
  <si>
    <t>outpat_psych</t>
  </si>
  <si>
    <t>Brazil</t>
  </si>
  <si>
    <t>s_am</t>
  </si>
  <si>
    <t>SCID</t>
  </si>
  <si>
    <t>DSM-5</t>
  </si>
  <si>
    <t>Drake</t>
  </si>
  <si>
    <t>Endres</t>
  </si>
  <si>
    <t>Etlouba</t>
  </si>
  <si>
    <t>South Africa</t>
  </si>
  <si>
    <t>afri</t>
  </si>
  <si>
    <t>yes - NS</t>
  </si>
  <si>
    <t>Psychotic Symptoms</t>
  </si>
  <si>
    <t xml:space="preserve">Psychotic symptoms </t>
  </si>
  <si>
    <t>Fraser</t>
  </si>
  <si>
    <t xml:space="preserve">NS </t>
  </si>
  <si>
    <t>Australia</t>
  </si>
  <si>
    <t>aus</t>
  </si>
  <si>
    <t>Funayama</t>
  </si>
  <si>
    <t>Japan</t>
  </si>
  <si>
    <t>asia</t>
  </si>
  <si>
    <t>Giannitelli</t>
  </si>
  <si>
    <t>France</t>
  </si>
  <si>
    <t>Guasp</t>
  </si>
  <si>
    <t>Spain</t>
  </si>
  <si>
    <t>Psychotics disorder</t>
  </si>
  <si>
    <t>SCID and PANSS</t>
  </si>
  <si>
    <t>Harris</t>
  </si>
  <si>
    <t>Johnstone</t>
  </si>
  <si>
    <t>UK</t>
  </si>
  <si>
    <t>X-ray (Unspecified freq)</t>
  </si>
  <si>
    <t>Psychotic disorder</t>
  </si>
  <si>
    <t>Kelleher</t>
  </si>
  <si>
    <t>33 FEP, 45 TRS Cohort</t>
  </si>
  <si>
    <t>mixture</t>
  </si>
  <si>
    <t>Kranaster</t>
  </si>
  <si>
    <t>Psychotic Dsiorder</t>
  </si>
  <si>
    <t>Mantovani</t>
  </si>
  <si>
    <t>Clinical Assessment</t>
  </si>
  <si>
    <t>Marques</t>
  </si>
  <si>
    <t>Portugal</t>
  </si>
  <si>
    <t>ICD-9</t>
  </si>
  <si>
    <t>Mauri</t>
  </si>
  <si>
    <t>Italy</t>
  </si>
  <si>
    <t>BPRS</t>
  </si>
  <si>
    <t>Misselbrook</t>
  </si>
  <si>
    <t>2017 </t>
  </si>
  <si>
    <t>Muhrer</t>
  </si>
  <si>
    <t>Medical_hospital</t>
  </si>
  <si>
    <t>ns</t>
  </si>
  <si>
    <t>1CD-10</t>
  </si>
  <si>
    <t>Nkire</t>
  </si>
  <si>
    <t>Ireland</t>
  </si>
  <si>
    <t>Okewole</t>
  </si>
  <si>
    <t>Nigeria</t>
  </si>
  <si>
    <t>ICD-10 and DSM-IV</t>
  </si>
  <si>
    <t>Perala</t>
  </si>
  <si>
    <t>Finland</t>
  </si>
  <si>
    <t>Rattay</t>
  </si>
  <si>
    <t>Mixed</t>
  </si>
  <si>
    <t>Psychotic symptoms</t>
  </si>
  <si>
    <t>clinical Assessment</t>
  </si>
  <si>
    <t>Reay</t>
  </si>
  <si>
    <t>Scott</t>
  </si>
  <si>
    <t>All</t>
  </si>
  <si>
    <t>Solomons</t>
  </si>
  <si>
    <t>DSM-III</t>
  </si>
  <si>
    <t>Spies</t>
  </si>
  <si>
    <t>Steiner</t>
  </si>
  <si>
    <t>Sullivan</t>
  </si>
  <si>
    <t>Pychotic Disorder</t>
  </si>
  <si>
    <t>Thompson</t>
  </si>
  <si>
    <t>OPCRIT, Clinical Assessment</t>
  </si>
  <si>
    <t xml:space="preserve"> Clinical Assessmnet </t>
  </si>
  <si>
    <t>Turner</t>
  </si>
  <si>
    <t>New Zealand</t>
  </si>
  <si>
    <t>Williams</t>
  </si>
  <si>
    <t>Some</t>
  </si>
  <si>
    <t>Yaxley</t>
  </si>
  <si>
    <t xml:space="preserve">Kanbayashi </t>
  </si>
  <si>
    <t>Schanzer</t>
  </si>
  <si>
    <t>author</t>
  </si>
  <si>
    <t>year</t>
  </si>
  <si>
    <t>author_year</t>
  </si>
  <si>
    <t>gender_male_freq</t>
  </si>
  <si>
    <t>gender_female_freq</t>
  </si>
  <si>
    <t>mean_age_pri</t>
  </si>
  <si>
    <t>mean_age_sec</t>
  </si>
  <si>
    <t>mean_age</t>
  </si>
  <si>
    <t>ethnicity_freq</t>
  </si>
  <si>
    <t>GP</t>
  </si>
  <si>
    <t>continent</t>
  </si>
  <si>
    <t>design</t>
  </si>
  <si>
    <t>FEP</t>
  </si>
  <si>
    <t>tot_sample</t>
  </si>
  <si>
    <t>tot_sec_psych</t>
  </si>
  <si>
    <t>tot_def_sec_psych</t>
  </si>
  <si>
    <t>tot_prob_sec_psych</t>
  </si>
  <si>
    <t>tot_pos_sec_psych</t>
  </si>
  <si>
    <t>multiple_sec_psych_types</t>
  </si>
  <si>
    <t>endo</t>
  </si>
  <si>
    <t>exo</t>
  </si>
  <si>
    <t>auto_freq</t>
  </si>
  <si>
    <t>congen_freq</t>
  </si>
  <si>
    <t>toxic_freq</t>
  </si>
  <si>
    <t>iatrogenic_freq</t>
  </si>
  <si>
    <t>cerebrovas_freq</t>
  </si>
  <si>
    <t>space_oc_freq</t>
  </si>
  <si>
    <t>metabolic_freq</t>
  </si>
  <si>
    <t>dietary_freq</t>
  </si>
  <si>
    <t>infec_freq</t>
  </si>
  <si>
    <t>degen_freq</t>
  </si>
  <si>
    <t>demye_freq</t>
  </si>
  <si>
    <t>seizure_freq</t>
  </si>
  <si>
    <t>sleep_freq</t>
  </si>
  <si>
    <t>head_freq</t>
  </si>
  <si>
    <t>endocrine_freq</t>
  </si>
  <si>
    <t>other_sub_freq</t>
  </si>
  <si>
    <t>unknown_sub_freq</t>
  </si>
  <si>
    <t>mri_freq</t>
  </si>
  <si>
    <t>ct_freq</t>
  </si>
  <si>
    <t>nuclear_freq</t>
  </si>
  <si>
    <t>eeg_freq</t>
  </si>
  <si>
    <t>csf_freq</t>
  </si>
  <si>
    <t>blood_freq</t>
  </si>
  <si>
    <t>urine_freq</t>
  </si>
  <si>
    <t>psych_assess_freq</t>
  </si>
  <si>
    <t>psych_assess_stan_tool_freq</t>
  </si>
  <si>
    <t>physical_exam_freq</t>
  </si>
  <si>
    <t>cog_assess_freq</t>
  </si>
  <si>
    <t>cog_assess_stan_tool_freq</t>
  </si>
  <si>
    <t>other_assess_freq</t>
  </si>
  <si>
    <t>not_spec_assess_freq</t>
  </si>
  <si>
    <t>disorder</t>
  </si>
  <si>
    <t>diagnostic_tool</t>
  </si>
  <si>
    <t>class_system</t>
  </si>
  <si>
    <t>tot_rob_score</t>
  </si>
  <si>
    <t>variable name</t>
  </si>
  <si>
    <t>variable descrition</t>
  </si>
  <si>
    <t>coding</t>
  </si>
  <si>
    <t>first author and year</t>
  </si>
  <si>
    <t>character</t>
  </si>
  <si>
    <t>year of publication</t>
  </si>
  <si>
    <t>numeric</t>
  </si>
  <si>
    <t>number of males</t>
  </si>
  <si>
    <t>number of females</t>
  </si>
  <si>
    <t>mean age: primary psychosis subsample</t>
  </si>
  <si>
    <t>mean age:  secondary psychosis subsample</t>
  </si>
  <si>
    <t>mean age of entire sample (if reported)</t>
  </si>
  <si>
    <t>eth_black</t>
  </si>
  <si>
    <t>number of patients of black ethnicity</t>
  </si>
  <si>
    <t>eth_white</t>
  </si>
  <si>
    <t>number of patients of white ethnicity</t>
  </si>
  <si>
    <t>eth_asian</t>
  </si>
  <si>
    <t>number of patients of asian ethnicity</t>
  </si>
  <si>
    <t>eth_other</t>
  </si>
  <si>
    <t>number of patients of other ethnicity</t>
  </si>
  <si>
    <t>number of patients: Accident and Emergency / Urgent Care</t>
  </si>
  <si>
    <t>number of patients: Inpatient Psychiatric Service</t>
  </si>
  <si>
    <t>number of patients: outpatient patient Psychiatric Service</t>
  </si>
  <si>
    <t>number of patients: GP / Non-Urgent Physical Care</t>
  </si>
  <si>
    <t>country</t>
  </si>
  <si>
    <t>Geographic Location by country (eg USA)</t>
  </si>
  <si>
    <t>catergorical</t>
  </si>
  <si>
    <t>retropsective (retro) or prospective (pros)</t>
  </si>
  <si>
    <t>cohort</t>
  </si>
  <si>
    <t>First Episode Cohort (FEP), chronic (chr) or mixed (mixed)</t>
  </si>
  <si>
    <t>total included sample in analysis (primary and secondary)</t>
  </si>
  <si>
    <t>total subsample of patients with secondary psychosis</t>
  </si>
  <si>
    <t>were more than type of secondary psychosis included?</t>
  </si>
  <si>
    <t>binary</t>
  </si>
  <si>
    <t>Endo_freq</t>
  </si>
  <si>
    <t>number of patients with secondary psychosis:endogenous (ie medical)</t>
  </si>
  <si>
    <t>Exo_freq</t>
  </si>
  <si>
    <t>number of patients with secondary psychosis:exogenous (ie substance, medication, iatrogenic)</t>
  </si>
  <si>
    <t>number of patients with secondary psychosis: autoimmune disorder (e.g. autoimmune encephalitis)</t>
  </si>
  <si>
    <t>number of patients with secondary psychosis: Cytogenic / Congenital (e.g. genetic disorder)</t>
  </si>
  <si>
    <t>number of patients with secondary psychosis:Toxic / Substance-Induced (e.g. cannabis)</t>
  </si>
  <si>
    <t>iatrogenic__freq</t>
  </si>
  <si>
    <t>number of patients with secondary psychosis:Iatrogenic (e.g. medication induced)</t>
  </si>
  <si>
    <t>number of patients with secondary psychosis: Cerebrovascular (eg stroke)</t>
  </si>
  <si>
    <t>number of patients with secondary psychosis: Space-Occupying eg stroke</t>
  </si>
  <si>
    <t>number of patients with secondary psychosis:Metabolic (eg thyroid disease)</t>
  </si>
  <si>
    <t>number of patients with secondary psychosis:Dietary (eg thiamine deficiency)</t>
  </si>
  <si>
    <t>number of patients with secondary psychosis:  Infectious (eg sepsis)</t>
  </si>
  <si>
    <t>number of patients with secondary psychosis: Degenerative (eg Alzheimer's)</t>
  </si>
  <si>
    <t>number of patients with secondary psychosis: Demyelinating (e.g. multiple sclerosis)</t>
  </si>
  <si>
    <t>number of patients with secondary psychosis: Seizure (eg epilepsy)</t>
  </si>
  <si>
    <t>number of patients with secondary psychosis: Endocrine (eg thyoid disease)</t>
  </si>
  <si>
    <t>number of patients with secondary psychosis: other (does not fall into above specified categories)</t>
  </si>
  <si>
    <t>number of patients with secondary psychosis: not specified (unable to classify)</t>
  </si>
  <si>
    <t>mri</t>
  </si>
  <si>
    <t>Patients underwent MRI: all/some/none</t>
  </si>
  <si>
    <t>ct</t>
  </si>
  <si>
    <t>Patients underwent CT: all/some/none</t>
  </si>
  <si>
    <t>nuclear</t>
  </si>
  <si>
    <t>Patients underwentSPECT/PET: all/some/none</t>
  </si>
  <si>
    <t>eeg</t>
  </si>
  <si>
    <t>Patients underwent EEG: all/some/none</t>
  </si>
  <si>
    <t>csf</t>
  </si>
  <si>
    <t>Patients underwent LP (CSF analysi): all/some/none</t>
  </si>
  <si>
    <t>blood</t>
  </si>
  <si>
    <t>Patients underwent venepunction (blood analysis): all/some/none</t>
  </si>
  <si>
    <t>urine</t>
  </si>
  <si>
    <t>Patients underwent urine dip (unrine analysis): all/some/none</t>
  </si>
  <si>
    <t>psych_assess</t>
  </si>
  <si>
    <t>psych_assess_stan_tool</t>
  </si>
  <si>
    <t>physical_exam</t>
  </si>
  <si>
    <t>cog_assess</t>
  </si>
  <si>
    <t>cog_assess_stan_tool</t>
  </si>
  <si>
    <t>rob_1</t>
  </si>
  <si>
    <t>1=feature present (higher quality), 0=feature absent (lower quality)</t>
  </si>
  <si>
    <t>rob_2</t>
  </si>
  <si>
    <t>rob_3</t>
  </si>
  <si>
    <t>rob_4</t>
  </si>
  <si>
    <t>rob_5</t>
  </si>
  <si>
    <t>rob_6</t>
  </si>
  <si>
    <t>rob_7</t>
  </si>
  <si>
    <t>rob_8</t>
  </si>
  <si>
    <t>rob_9</t>
  </si>
  <si>
    <t>rob_10</t>
  </si>
  <si>
    <t>total score (higher score indicated higher quality study)</t>
  </si>
  <si>
    <t>Key</t>
  </si>
  <si>
    <t>Not Specified (data was not reported directly in the paper)</t>
  </si>
  <si>
    <t>Not Applicable</t>
  </si>
  <si>
    <t>All of the sample had the value of interest (e.g., all of the sample received a specific test)</t>
  </si>
  <si>
    <t>Some of the sample had the value of interest (e.g., a specific test was administered only to a portion of the sample)</t>
  </si>
  <si>
    <t>None</t>
  </si>
  <si>
    <t>None of the sample had the value of interest</t>
  </si>
  <si>
    <t>The value of interest was present, though the frequency was not specified (e.g., the paper reports that a test was administered but did not specify whether it was to all or only some)</t>
  </si>
  <si>
    <t>A single value was not reported in the paper in a way that could be divided into the relevant columns (e.g., the mean age of a sample was presented in ways other than secondary/primary psychosis, such as male/female)</t>
  </si>
  <si>
    <t>includes endogenous noS as "other"/"unknown"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</si>
</sst>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rgb="FFCC0000"/>
      <name val="Calibri"/>
      <family val="2"/>
    </font>
    <font>
      <sz val="11"/>
      <color theme="1"/>
      <name val="Calibri"/>
      <family val="2"/>
      <scheme val="minor"/>
    </font>
    <font>
      <sz val="11"/>
      <color rgb="FF980000"/>
      <name val="Calibri"/>
      <family val="2"/>
    </font>
    <font>
      <b/>
      <sz val="11"/>
      <color rgb="FF980000"/>
      <name val="Calibri"/>
      <family val="2"/>
    </font>
    <font>
      <sz val="11"/>
      <color rgb="FF85200C"/>
      <name val="Calibri"/>
      <family val="2"/>
    </font>
    <font>
      <b/>
      <sz val="11"/>
      <color rgb="FF85200C"/>
      <name val="Calibri"/>
      <family val="2"/>
    </font>
    <font>
      <sz val="9"/>
      <color rgb="FF000000"/>
      <name val="&quot;Google Sans Mono&quot;"/>
    </font>
  </fonts>
  <fills count="2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CC00CC"/>
        <bgColor rgb="FFCC00CC"/>
      </patternFill>
    </fill>
    <fill>
      <patternFill patternType="solid">
        <fgColor rgb="FFEAA4E0"/>
        <bgColor rgb="FFEAA4E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FF7575"/>
        <bgColor rgb="FFFF757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theme="4"/>
        <bgColor theme="4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 wrapText="1"/>
    </xf>
    <xf numFmtId="0" fontId="3" fillId="14" borderId="11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15" borderId="11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 wrapText="1"/>
    </xf>
    <xf numFmtId="0" fontId="1" fillId="9" borderId="18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wrapText="1"/>
    </xf>
    <xf numFmtId="0" fontId="1" fillId="13" borderId="11" xfId="0" applyFont="1" applyFill="1" applyBorder="1" applyAlignment="1">
      <alignment horizontal="center" wrapText="1"/>
    </xf>
    <xf numFmtId="0" fontId="1" fillId="13" borderId="11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15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 wrapText="1"/>
    </xf>
    <xf numFmtId="0" fontId="1" fillId="15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19" xfId="0" applyFont="1" applyBorder="1"/>
    <xf numFmtId="0" fontId="1" fillId="15" borderId="13" xfId="0" applyFont="1" applyFill="1" applyBorder="1" applyAlignment="1">
      <alignment horizontal="center" wrapText="1"/>
    </xf>
    <xf numFmtId="0" fontId="1" fillId="15" borderId="14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8" fillId="15" borderId="6" xfId="0" applyFont="1" applyFill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15" borderId="14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9" fillId="0" borderId="11" xfId="0" applyFont="1" applyBorder="1"/>
    <xf numFmtId="0" fontId="0" fillId="0" borderId="11" xfId="0" applyBorder="1"/>
    <xf numFmtId="0" fontId="5" fillId="0" borderId="14" xfId="0" applyFont="1" applyBorder="1" applyAlignment="1">
      <alignment horizontal="right"/>
    </xf>
    <xf numFmtId="0" fontId="9" fillId="0" borderId="11" xfId="0" applyFont="1" applyBorder="1" applyAlignment="1">
      <alignment wrapText="1"/>
    </xf>
    <xf numFmtId="0" fontId="5" fillId="0" borderId="14" xfId="0" applyFont="1" applyBorder="1"/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15" borderId="13" xfId="0" applyFont="1" applyFill="1" applyBorder="1" applyAlignment="1">
      <alignment horizontal="center" wrapText="1"/>
    </xf>
    <xf numFmtId="0" fontId="11" fillId="15" borderId="14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4" fillId="16" borderId="27" xfId="0" applyFont="1" applyFill="1" applyBorder="1" applyAlignment="1">
      <alignment horizontal="left" wrapText="1"/>
    </xf>
    <xf numFmtId="0" fontId="4" fillId="17" borderId="27" xfId="0" applyFont="1" applyFill="1" applyBorder="1" applyAlignment="1">
      <alignment horizontal="left" wrapText="1"/>
    </xf>
    <xf numFmtId="0" fontId="4" fillId="4" borderId="27" xfId="0" applyFont="1" applyFill="1" applyBorder="1" applyAlignment="1">
      <alignment horizontal="left" wrapText="1"/>
    </xf>
    <xf numFmtId="0" fontId="4" fillId="5" borderId="27" xfId="0" applyFont="1" applyFill="1" applyBorder="1" applyAlignment="1">
      <alignment horizontal="left" wrapText="1"/>
    </xf>
    <xf numFmtId="0" fontId="4" fillId="18" borderId="27" xfId="0" applyFont="1" applyFill="1" applyBorder="1" applyAlignment="1">
      <alignment horizontal="left" wrapText="1"/>
    </xf>
    <xf numFmtId="0" fontId="4" fillId="19" borderId="27" xfId="0" applyFont="1" applyFill="1" applyBorder="1" applyAlignment="1">
      <alignment horizontal="left" wrapText="1"/>
    </xf>
    <xf numFmtId="0" fontId="4" fillId="20" borderId="27" xfId="0" applyFont="1" applyFill="1" applyBorder="1" applyAlignment="1">
      <alignment horizontal="left" wrapText="1"/>
    </xf>
    <xf numFmtId="0" fontId="4" fillId="8" borderId="27" xfId="0" applyFont="1" applyFill="1" applyBorder="1" applyAlignment="1">
      <alignment horizontal="left" wrapText="1"/>
    </xf>
    <xf numFmtId="0" fontId="4" fillId="9" borderId="27" xfId="0" applyFont="1" applyFill="1" applyBorder="1" applyAlignment="1">
      <alignment horizontal="left" wrapText="1"/>
    </xf>
    <xf numFmtId="0" fontId="4" fillId="9" borderId="27" xfId="0" applyFont="1" applyFill="1" applyBorder="1" applyAlignment="1">
      <alignment horizontal="left"/>
    </xf>
    <xf numFmtId="0" fontId="4" fillId="16" borderId="27" xfId="0" applyFont="1" applyFill="1" applyBorder="1" applyAlignment="1">
      <alignment horizontal="left"/>
    </xf>
    <xf numFmtId="0" fontId="4" fillId="21" borderId="27" xfId="0" applyFont="1" applyFill="1" applyBorder="1" applyAlignment="1">
      <alignment horizontal="left"/>
    </xf>
    <xf numFmtId="0" fontId="4" fillId="22" borderId="27" xfId="0" applyFont="1" applyFill="1" applyBorder="1" applyAlignment="1">
      <alignment horizontal="left" wrapText="1"/>
    </xf>
    <xf numFmtId="0" fontId="1" fillId="12" borderId="10" xfId="0" applyFont="1" applyFill="1" applyBorder="1" applyAlignment="1">
      <alignment wrapText="1"/>
    </xf>
    <xf numFmtId="0" fontId="1" fillId="12" borderId="28" xfId="0" applyFont="1" applyFill="1" applyBorder="1" applyAlignment="1">
      <alignment wrapText="1"/>
    </xf>
    <xf numFmtId="0" fontId="4" fillId="13" borderId="27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14" fillId="15" borderId="0" xfId="0" applyFont="1" applyFill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/>
    <xf numFmtId="0" fontId="3" fillId="2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wrapText="1"/>
    </xf>
    <xf numFmtId="0" fontId="3" fillId="5" borderId="11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wrapText="1"/>
    </xf>
    <xf numFmtId="0" fontId="3" fillId="9" borderId="11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10" borderId="11" xfId="0" applyFont="1" applyFill="1" applyBorder="1" applyAlignment="1">
      <alignment horizontal="left" vertical="center"/>
    </xf>
    <xf numFmtId="0" fontId="3" fillId="11" borderId="11" xfId="0" applyFont="1" applyFill="1" applyBorder="1" applyAlignment="1">
      <alignment horizontal="left" vertical="center" wrapText="1"/>
    </xf>
    <xf numFmtId="0" fontId="3" fillId="13" borderId="11" xfId="0" applyFont="1" applyFill="1" applyBorder="1" applyAlignment="1">
      <alignment horizontal="left" vertical="center" wrapText="1"/>
    </xf>
    <xf numFmtId="0" fontId="1" fillId="10" borderId="3" xfId="0" applyFont="1" applyFill="1" applyBorder="1" applyAlignment="1">
      <alignment horizontal="center"/>
    </xf>
    <xf numFmtId="0" fontId="2" fillId="0" borderId="4" xfId="0" applyFont="1" applyBorder="1"/>
    <xf numFmtId="0" fontId="1" fillId="3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 wrapText="1"/>
    </xf>
    <xf numFmtId="0" fontId="1" fillId="13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 wrapText="1"/>
    </xf>
    <xf numFmtId="0" fontId="2" fillId="0" borderId="7" xfId="0" applyFont="1" applyBorder="1"/>
    <xf numFmtId="0" fontId="1" fillId="12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/>
    </xf>
    <xf numFmtId="0" fontId="2" fillId="0" borderId="6" xfId="0" applyFont="1" applyBorder="1"/>
    <xf numFmtId="0" fontId="1" fillId="6" borderId="3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05"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  <dxf>
      <fill>
        <patternFill patternType="solid">
          <fgColor rgb="FFFF7171"/>
          <bgColor rgb="FFFF717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1008"/>
  <sheetViews>
    <sheetView tabSelected="1" workbookViewId="0">
      <pane xSplit="1" ySplit="1" topLeftCell="AX16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baseColWidth="10" defaultColWidth="14.5" defaultRowHeight="15" customHeight="1"/>
  <cols>
    <col min="1" max="1" width="12.6640625" customWidth="1"/>
    <col min="2" max="4" width="8.6640625" customWidth="1"/>
    <col min="5" max="5" width="9" customWidth="1"/>
    <col min="6" max="11" width="8.6640625" customWidth="1"/>
    <col min="12" max="12" width="11.33203125" customWidth="1"/>
    <col min="13" max="23" width="8.6640625" customWidth="1"/>
    <col min="24" max="24" width="13.6640625" customWidth="1"/>
    <col min="25" max="27" width="8.6640625" customWidth="1"/>
    <col min="28" max="29" width="11.6640625" customWidth="1"/>
    <col min="30" max="52" width="8.6640625" customWidth="1"/>
    <col min="53" max="54" width="8.6640625" hidden="1" customWidth="1"/>
    <col min="55" max="55" width="14.5" customWidth="1"/>
    <col min="56" max="222" width="8.6640625" customWidth="1"/>
    <col min="223" max="223" width="14.6640625" customWidth="1"/>
    <col min="224" max="224" width="17.6640625" customWidth="1"/>
  </cols>
  <sheetData>
    <row r="1" spans="1:224" ht="99.75" customHeight="1">
      <c r="A1" s="1" t="s">
        <v>0</v>
      </c>
      <c r="B1" s="2" t="s">
        <v>1</v>
      </c>
      <c r="C1" s="143" t="s">
        <v>2</v>
      </c>
      <c r="D1" s="142"/>
      <c r="E1" s="143" t="s">
        <v>3</v>
      </c>
      <c r="F1" s="142"/>
      <c r="G1" s="143" t="s">
        <v>4</v>
      </c>
      <c r="H1" s="142"/>
      <c r="I1" s="143" t="s">
        <v>5</v>
      </c>
      <c r="J1" s="142"/>
      <c r="K1" s="143" t="s">
        <v>6</v>
      </c>
      <c r="L1" s="142"/>
      <c r="M1" s="143" t="s">
        <v>7</v>
      </c>
      <c r="N1" s="142"/>
      <c r="O1" s="143" t="s">
        <v>8</v>
      </c>
      <c r="P1" s="142"/>
      <c r="Q1" s="143" t="s">
        <v>9</v>
      </c>
      <c r="R1" s="142"/>
      <c r="S1" s="143" t="s">
        <v>10</v>
      </c>
      <c r="T1" s="142"/>
      <c r="U1" s="149" t="s">
        <v>11</v>
      </c>
      <c r="V1" s="142"/>
      <c r="W1" s="149" t="s">
        <v>12</v>
      </c>
      <c r="X1" s="142"/>
      <c r="Y1" s="149" t="s">
        <v>13</v>
      </c>
      <c r="Z1" s="142"/>
      <c r="AA1" s="149" t="s">
        <v>14</v>
      </c>
      <c r="AB1" s="142"/>
      <c r="AC1" s="3" t="s">
        <v>15</v>
      </c>
      <c r="AD1" s="150" t="s">
        <v>16</v>
      </c>
      <c r="AE1" s="142"/>
      <c r="AF1" s="4" t="s">
        <v>17</v>
      </c>
      <c r="AG1" s="150" t="s">
        <v>18</v>
      </c>
      <c r="AH1" s="142"/>
      <c r="AI1" s="150" t="s">
        <v>19</v>
      </c>
      <c r="AJ1" s="142"/>
      <c r="AK1" s="150" t="s">
        <v>20</v>
      </c>
      <c r="AL1" s="142"/>
      <c r="AM1" s="150" t="s">
        <v>21</v>
      </c>
      <c r="AN1" s="142"/>
      <c r="AO1" s="150" t="s">
        <v>22</v>
      </c>
      <c r="AP1" s="142"/>
      <c r="AQ1" s="150" t="s">
        <v>23</v>
      </c>
      <c r="AR1" s="142"/>
      <c r="AS1" s="151" t="s">
        <v>24</v>
      </c>
      <c r="AT1" s="152"/>
      <c r="AU1" s="151" t="s">
        <v>25</v>
      </c>
      <c r="AV1" s="152"/>
      <c r="AW1" s="151" t="s">
        <v>26</v>
      </c>
      <c r="AX1" s="152"/>
      <c r="AY1" s="153" t="s">
        <v>27</v>
      </c>
      <c r="AZ1" s="142"/>
      <c r="BA1" s="153" t="s">
        <v>28</v>
      </c>
      <c r="BB1" s="142"/>
      <c r="BC1" s="5" t="s">
        <v>29</v>
      </c>
      <c r="BD1" s="5" t="s">
        <v>30</v>
      </c>
      <c r="BE1" s="5" t="s">
        <v>31</v>
      </c>
      <c r="BF1" s="5" t="s">
        <v>32</v>
      </c>
      <c r="BG1" s="154" t="s">
        <v>33</v>
      </c>
      <c r="BH1" s="142"/>
      <c r="BI1" s="155" t="s">
        <v>34</v>
      </c>
      <c r="BJ1" s="142"/>
      <c r="BK1" s="155" t="s">
        <v>35</v>
      </c>
      <c r="BL1" s="142"/>
      <c r="BM1" s="156" t="s">
        <v>36</v>
      </c>
      <c r="BN1" s="142"/>
      <c r="BO1" s="156" t="s">
        <v>37</v>
      </c>
      <c r="BP1" s="142"/>
      <c r="BQ1" s="156" t="s">
        <v>38</v>
      </c>
      <c r="BR1" s="142"/>
      <c r="BS1" s="156" t="s">
        <v>39</v>
      </c>
      <c r="BT1" s="142"/>
      <c r="BU1" s="156" t="s">
        <v>40</v>
      </c>
      <c r="BV1" s="142"/>
      <c r="BW1" s="156" t="s">
        <v>41</v>
      </c>
      <c r="BX1" s="142"/>
      <c r="BY1" s="156" t="s">
        <v>42</v>
      </c>
      <c r="BZ1" s="142"/>
      <c r="CA1" s="156" t="s">
        <v>43</v>
      </c>
      <c r="CB1" s="142"/>
      <c r="CC1" s="156" t="s">
        <v>44</v>
      </c>
      <c r="CD1" s="142"/>
      <c r="CE1" s="156" t="s">
        <v>45</v>
      </c>
      <c r="CF1" s="142"/>
      <c r="CG1" s="156" t="s">
        <v>46</v>
      </c>
      <c r="CH1" s="142"/>
      <c r="CI1" s="156" t="s">
        <v>47</v>
      </c>
      <c r="CJ1" s="142"/>
      <c r="CK1" s="156" t="s">
        <v>48</v>
      </c>
      <c r="CL1" s="142"/>
      <c r="CM1" s="156" t="s">
        <v>49</v>
      </c>
      <c r="CN1" s="142"/>
      <c r="CO1" s="156" t="s">
        <v>50</v>
      </c>
      <c r="CP1" s="142"/>
      <c r="CQ1" s="157" t="s">
        <v>51</v>
      </c>
      <c r="CR1" s="142"/>
      <c r="CS1" s="157" t="s">
        <v>52</v>
      </c>
      <c r="CT1" s="142"/>
      <c r="CU1" s="158" t="s">
        <v>53</v>
      </c>
      <c r="CV1" s="142"/>
      <c r="CW1" s="158" t="s">
        <v>54</v>
      </c>
      <c r="CX1" s="142"/>
      <c r="CY1" s="158" t="s">
        <v>55</v>
      </c>
      <c r="CZ1" s="142"/>
      <c r="DA1" s="158" t="s">
        <v>56</v>
      </c>
      <c r="DB1" s="142"/>
      <c r="DC1" s="141" t="s">
        <v>57</v>
      </c>
      <c r="DD1" s="142"/>
      <c r="DE1" s="6" t="s">
        <v>58</v>
      </c>
      <c r="DF1" s="6"/>
      <c r="DG1" s="6" t="s">
        <v>59</v>
      </c>
      <c r="DH1" s="6"/>
      <c r="DI1" s="143" t="s">
        <v>60</v>
      </c>
      <c r="DJ1" s="142"/>
      <c r="DK1" s="143" t="s">
        <v>61</v>
      </c>
      <c r="DL1" s="142"/>
      <c r="DM1" s="143" t="s">
        <v>62</v>
      </c>
      <c r="DN1" s="142"/>
      <c r="DO1" s="143" t="s">
        <v>63</v>
      </c>
      <c r="DP1" s="142"/>
      <c r="DQ1" s="143" t="s">
        <v>64</v>
      </c>
      <c r="DR1" s="142"/>
      <c r="DS1" s="144" t="s">
        <v>65</v>
      </c>
      <c r="DT1" s="142"/>
      <c r="DU1" s="144" t="s">
        <v>66</v>
      </c>
      <c r="DV1" s="142"/>
      <c r="DW1" s="148" t="s">
        <v>67</v>
      </c>
      <c r="DX1" s="142"/>
      <c r="DY1" s="148" t="s">
        <v>68</v>
      </c>
      <c r="DZ1" s="142"/>
      <c r="EA1" s="148" t="s">
        <v>69</v>
      </c>
      <c r="EB1" s="142"/>
      <c r="EC1" s="146" t="s">
        <v>70</v>
      </c>
      <c r="ED1" s="142"/>
      <c r="EE1" s="145" t="s">
        <v>71</v>
      </c>
      <c r="EF1" s="142"/>
      <c r="EG1" s="145" t="s">
        <v>72</v>
      </c>
      <c r="EH1" s="142"/>
      <c r="EI1" s="145" t="s">
        <v>73</v>
      </c>
      <c r="EJ1" s="142"/>
      <c r="EK1" s="145" t="s">
        <v>74</v>
      </c>
      <c r="EL1" s="142"/>
      <c r="EM1" s="145" t="s">
        <v>75</v>
      </c>
      <c r="EN1" s="142"/>
      <c r="EO1" s="145" t="s">
        <v>76</v>
      </c>
      <c r="EP1" s="142"/>
      <c r="EQ1" s="145" t="s">
        <v>77</v>
      </c>
      <c r="ER1" s="142"/>
      <c r="ES1" s="145" t="s">
        <v>78</v>
      </c>
      <c r="ET1" s="142"/>
      <c r="EU1" s="145" t="s">
        <v>79</v>
      </c>
      <c r="EV1" s="142"/>
      <c r="EW1" s="146" t="s">
        <v>80</v>
      </c>
      <c r="EX1" s="147"/>
      <c r="EY1" s="7" t="s">
        <v>0</v>
      </c>
      <c r="EZ1" s="8" t="s">
        <v>1</v>
      </c>
      <c r="FA1" s="9" t="s">
        <v>2</v>
      </c>
      <c r="FB1" s="9" t="s">
        <v>3</v>
      </c>
      <c r="FC1" s="9" t="s">
        <v>4</v>
      </c>
      <c r="FD1" s="9" t="s">
        <v>5</v>
      </c>
      <c r="FE1" s="9" t="s">
        <v>6</v>
      </c>
      <c r="FF1" s="9" t="s">
        <v>7</v>
      </c>
      <c r="FG1" s="9" t="s">
        <v>8</v>
      </c>
      <c r="FH1" s="9" t="s">
        <v>9</v>
      </c>
      <c r="FI1" s="9" t="s">
        <v>10</v>
      </c>
      <c r="FJ1" s="3" t="s">
        <v>11</v>
      </c>
      <c r="FK1" s="3" t="s">
        <v>12</v>
      </c>
      <c r="FL1" s="3" t="s">
        <v>13</v>
      </c>
      <c r="FM1" s="3" t="s">
        <v>14</v>
      </c>
      <c r="FN1" s="4" t="s">
        <v>81</v>
      </c>
      <c r="FO1" s="4" t="s">
        <v>18</v>
      </c>
      <c r="FP1" s="4" t="s">
        <v>19</v>
      </c>
      <c r="FQ1" s="4" t="s">
        <v>21</v>
      </c>
      <c r="FR1" s="4" t="s">
        <v>22</v>
      </c>
      <c r="FS1" s="4" t="s">
        <v>23</v>
      </c>
      <c r="FT1" s="10" t="s">
        <v>27</v>
      </c>
      <c r="FU1" s="10" t="s">
        <v>28</v>
      </c>
      <c r="FV1" s="5" t="s">
        <v>33</v>
      </c>
      <c r="FW1" s="11" t="s">
        <v>34</v>
      </c>
      <c r="FX1" s="11" t="s">
        <v>35</v>
      </c>
      <c r="FY1" s="12" t="s">
        <v>36</v>
      </c>
      <c r="FZ1" s="12" t="s">
        <v>37</v>
      </c>
      <c r="GA1" s="12" t="s">
        <v>38</v>
      </c>
      <c r="GB1" s="12" t="s">
        <v>39</v>
      </c>
      <c r="GC1" s="12" t="s">
        <v>40</v>
      </c>
      <c r="GD1" s="12" t="s">
        <v>41</v>
      </c>
      <c r="GE1" s="12" t="s">
        <v>42</v>
      </c>
      <c r="GF1" s="12" t="s">
        <v>43</v>
      </c>
      <c r="GG1" s="12" t="s">
        <v>44</v>
      </c>
      <c r="GH1" s="12" t="s">
        <v>45</v>
      </c>
      <c r="GI1" s="12" t="s">
        <v>46</v>
      </c>
      <c r="GJ1" s="12" t="s">
        <v>47</v>
      </c>
      <c r="GK1" s="13" t="s">
        <v>82</v>
      </c>
      <c r="GL1" s="13" t="s">
        <v>49</v>
      </c>
      <c r="GM1" s="12" t="s">
        <v>50</v>
      </c>
      <c r="GN1" s="14" t="s">
        <v>51</v>
      </c>
      <c r="GO1" s="14" t="s">
        <v>52</v>
      </c>
      <c r="GP1" s="15" t="s">
        <v>53</v>
      </c>
      <c r="GQ1" s="15" t="s">
        <v>54</v>
      </c>
      <c r="GR1" s="15" t="s">
        <v>55</v>
      </c>
      <c r="GS1" s="15" t="s">
        <v>56</v>
      </c>
      <c r="GT1" s="6" t="s">
        <v>57</v>
      </c>
      <c r="GU1" s="6" t="s">
        <v>58</v>
      </c>
      <c r="GV1" s="6" t="s">
        <v>59</v>
      </c>
      <c r="GW1" s="9" t="s">
        <v>60</v>
      </c>
      <c r="GX1" s="9" t="s">
        <v>61</v>
      </c>
      <c r="GY1" s="9" t="s">
        <v>62</v>
      </c>
      <c r="GZ1" s="9" t="s">
        <v>63</v>
      </c>
      <c r="HA1" s="9" t="s">
        <v>64</v>
      </c>
      <c r="HB1" s="16" t="s">
        <v>65</v>
      </c>
      <c r="HC1" s="16" t="s">
        <v>66</v>
      </c>
      <c r="HD1" s="17" t="s">
        <v>70</v>
      </c>
      <c r="HE1" s="18" t="s">
        <v>71</v>
      </c>
      <c r="HF1" s="18" t="s">
        <v>72</v>
      </c>
      <c r="HG1" s="18" t="s">
        <v>73</v>
      </c>
      <c r="HH1" s="18" t="s">
        <v>74</v>
      </c>
      <c r="HI1" s="18" t="s">
        <v>75</v>
      </c>
      <c r="HJ1" s="18" t="s">
        <v>76</v>
      </c>
      <c r="HK1" s="18" t="s">
        <v>77</v>
      </c>
      <c r="HL1" s="18" t="s">
        <v>78</v>
      </c>
      <c r="HM1" s="18" t="s">
        <v>79</v>
      </c>
      <c r="HN1" s="19" t="s">
        <v>80</v>
      </c>
      <c r="HO1" s="20" t="s">
        <v>83</v>
      </c>
      <c r="HP1" s="21" t="s">
        <v>340</v>
      </c>
    </row>
    <row r="2" spans="1:224">
      <c r="A2" s="22"/>
      <c r="B2" s="23"/>
      <c r="C2" s="24" t="s">
        <v>84</v>
      </c>
      <c r="D2" s="24" t="s">
        <v>85</v>
      </c>
      <c r="E2" s="24" t="s">
        <v>84</v>
      </c>
      <c r="F2" s="24" t="s">
        <v>85</v>
      </c>
      <c r="G2" s="24" t="s">
        <v>84</v>
      </c>
      <c r="H2" s="24" t="s">
        <v>85</v>
      </c>
      <c r="I2" s="24" t="s">
        <v>84</v>
      </c>
      <c r="J2" s="24" t="s">
        <v>85</v>
      </c>
      <c r="K2" s="24" t="s">
        <v>84</v>
      </c>
      <c r="L2" s="24" t="s">
        <v>85</v>
      </c>
      <c r="M2" s="24" t="s">
        <v>84</v>
      </c>
      <c r="N2" s="24" t="s">
        <v>85</v>
      </c>
      <c r="O2" s="24" t="s">
        <v>84</v>
      </c>
      <c r="P2" s="24" t="s">
        <v>85</v>
      </c>
      <c r="Q2" s="24" t="s">
        <v>84</v>
      </c>
      <c r="R2" s="24" t="s">
        <v>85</v>
      </c>
      <c r="S2" s="24" t="s">
        <v>84</v>
      </c>
      <c r="T2" s="24" t="s">
        <v>85</v>
      </c>
      <c r="U2" s="24" t="s">
        <v>84</v>
      </c>
      <c r="V2" s="24" t="s">
        <v>85</v>
      </c>
      <c r="W2" s="24" t="s">
        <v>84</v>
      </c>
      <c r="X2" s="24" t="s">
        <v>85</v>
      </c>
      <c r="Y2" s="24" t="s">
        <v>84</v>
      </c>
      <c r="Z2" s="24" t="s">
        <v>85</v>
      </c>
      <c r="AA2" s="24" t="s">
        <v>84</v>
      </c>
      <c r="AB2" s="24" t="s">
        <v>85</v>
      </c>
      <c r="AC2" s="24"/>
      <c r="AD2" s="24" t="s">
        <v>84</v>
      </c>
      <c r="AE2" s="24" t="s">
        <v>85</v>
      </c>
      <c r="AF2" s="24"/>
      <c r="AG2" s="24" t="s">
        <v>84</v>
      </c>
      <c r="AH2" s="24" t="s">
        <v>85</v>
      </c>
      <c r="AI2" s="24" t="s">
        <v>84</v>
      </c>
      <c r="AJ2" s="24" t="s">
        <v>85</v>
      </c>
      <c r="AK2" s="24" t="s">
        <v>84</v>
      </c>
      <c r="AL2" s="24" t="s">
        <v>86</v>
      </c>
      <c r="AM2" s="24" t="s">
        <v>84</v>
      </c>
      <c r="AN2" s="24" t="s">
        <v>85</v>
      </c>
      <c r="AO2" s="24" t="s">
        <v>84</v>
      </c>
      <c r="AP2" s="24" t="s">
        <v>85</v>
      </c>
      <c r="AQ2" s="24" t="s">
        <v>84</v>
      </c>
      <c r="AR2" s="24" t="s">
        <v>85</v>
      </c>
      <c r="AS2" s="25" t="s">
        <v>84</v>
      </c>
      <c r="AT2" s="26" t="s">
        <v>85</v>
      </c>
      <c r="AU2" s="25" t="s">
        <v>84</v>
      </c>
      <c r="AV2" s="26" t="s">
        <v>85</v>
      </c>
      <c r="AW2" s="25" t="s">
        <v>84</v>
      </c>
      <c r="AX2" s="26" t="s">
        <v>85</v>
      </c>
      <c r="AY2" s="24" t="s">
        <v>84</v>
      </c>
      <c r="AZ2" s="24" t="s">
        <v>85</v>
      </c>
      <c r="BA2" s="24" t="s">
        <v>84</v>
      </c>
      <c r="BB2" s="24" t="s">
        <v>85</v>
      </c>
      <c r="BC2" s="24"/>
      <c r="BD2" s="27"/>
      <c r="BE2" s="27"/>
      <c r="BF2" s="27"/>
      <c r="BG2" s="24" t="s">
        <v>84</v>
      </c>
      <c r="BH2" s="24" t="s">
        <v>85</v>
      </c>
      <c r="BI2" s="24" t="s">
        <v>84</v>
      </c>
      <c r="BJ2" s="24" t="s">
        <v>85</v>
      </c>
      <c r="BK2" s="24" t="s">
        <v>84</v>
      </c>
      <c r="BL2" s="24" t="s">
        <v>85</v>
      </c>
      <c r="BM2" s="24" t="s">
        <v>84</v>
      </c>
      <c r="BN2" s="24" t="s">
        <v>85</v>
      </c>
      <c r="BO2" s="24" t="s">
        <v>84</v>
      </c>
      <c r="BP2" s="24" t="s">
        <v>85</v>
      </c>
      <c r="BQ2" s="24" t="s">
        <v>84</v>
      </c>
      <c r="BR2" s="24" t="s">
        <v>85</v>
      </c>
      <c r="BS2" s="24" t="s">
        <v>84</v>
      </c>
      <c r="BT2" s="24" t="s">
        <v>85</v>
      </c>
      <c r="BU2" s="24" t="s">
        <v>84</v>
      </c>
      <c r="BV2" s="24" t="s">
        <v>85</v>
      </c>
      <c r="BW2" s="24" t="s">
        <v>84</v>
      </c>
      <c r="BX2" s="24" t="s">
        <v>85</v>
      </c>
      <c r="BY2" s="24" t="s">
        <v>84</v>
      </c>
      <c r="BZ2" s="24" t="s">
        <v>85</v>
      </c>
      <c r="CA2" s="24" t="s">
        <v>84</v>
      </c>
      <c r="CB2" s="24" t="s">
        <v>85</v>
      </c>
      <c r="CC2" s="24" t="s">
        <v>84</v>
      </c>
      <c r="CD2" s="24" t="s">
        <v>85</v>
      </c>
      <c r="CE2" s="24" t="s">
        <v>84</v>
      </c>
      <c r="CF2" s="24" t="s">
        <v>85</v>
      </c>
      <c r="CG2" s="24" t="s">
        <v>84</v>
      </c>
      <c r="CH2" s="24" t="s">
        <v>85</v>
      </c>
      <c r="CI2" s="24" t="s">
        <v>84</v>
      </c>
      <c r="CJ2" s="24" t="s">
        <v>85</v>
      </c>
      <c r="CK2" s="24" t="s">
        <v>84</v>
      </c>
      <c r="CL2" s="24" t="s">
        <v>85</v>
      </c>
      <c r="CM2" s="24" t="s">
        <v>84</v>
      </c>
      <c r="CN2" s="24" t="s">
        <v>85</v>
      </c>
      <c r="CO2" s="24" t="s">
        <v>84</v>
      </c>
      <c r="CP2" s="24" t="s">
        <v>85</v>
      </c>
      <c r="CQ2" s="24" t="s">
        <v>84</v>
      </c>
      <c r="CR2" s="24" t="s">
        <v>85</v>
      </c>
      <c r="CS2" s="24" t="s">
        <v>84</v>
      </c>
      <c r="CT2" s="24" t="s">
        <v>85</v>
      </c>
      <c r="CU2" s="24" t="s">
        <v>84</v>
      </c>
      <c r="CV2" s="24" t="s">
        <v>85</v>
      </c>
      <c r="CW2" s="24" t="s">
        <v>84</v>
      </c>
      <c r="CX2" s="24" t="s">
        <v>85</v>
      </c>
      <c r="CY2" s="24" t="s">
        <v>84</v>
      </c>
      <c r="CZ2" s="24" t="s">
        <v>85</v>
      </c>
      <c r="DA2" s="24" t="s">
        <v>84</v>
      </c>
      <c r="DB2" s="24" t="s">
        <v>85</v>
      </c>
      <c r="DC2" s="24" t="s">
        <v>84</v>
      </c>
      <c r="DD2" s="24" t="s">
        <v>85</v>
      </c>
      <c r="DE2" s="24" t="s">
        <v>84</v>
      </c>
      <c r="DF2" s="24" t="s">
        <v>85</v>
      </c>
      <c r="DG2" s="24" t="s">
        <v>84</v>
      </c>
      <c r="DH2" s="24" t="s">
        <v>85</v>
      </c>
      <c r="DI2" s="24" t="s">
        <v>84</v>
      </c>
      <c r="DJ2" s="24" t="s">
        <v>85</v>
      </c>
      <c r="DK2" s="24" t="s">
        <v>84</v>
      </c>
      <c r="DL2" s="24" t="s">
        <v>85</v>
      </c>
      <c r="DM2" s="24" t="s">
        <v>84</v>
      </c>
      <c r="DN2" s="24" t="s">
        <v>85</v>
      </c>
      <c r="DO2" s="24" t="s">
        <v>84</v>
      </c>
      <c r="DP2" s="24" t="s">
        <v>85</v>
      </c>
      <c r="DQ2" s="24" t="s">
        <v>84</v>
      </c>
      <c r="DR2" s="24" t="s">
        <v>85</v>
      </c>
      <c r="DS2" s="24" t="s">
        <v>84</v>
      </c>
      <c r="DT2" s="24" t="s">
        <v>85</v>
      </c>
      <c r="DU2" s="24" t="s">
        <v>84</v>
      </c>
      <c r="DV2" s="24" t="s">
        <v>85</v>
      </c>
      <c r="DW2" s="24" t="s">
        <v>84</v>
      </c>
      <c r="DX2" s="24" t="s">
        <v>85</v>
      </c>
      <c r="DY2" s="24" t="s">
        <v>84</v>
      </c>
      <c r="DZ2" s="24" t="s">
        <v>85</v>
      </c>
      <c r="EA2" s="24" t="s">
        <v>84</v>
      </c>
      <c r="EB2" s="24" t="s">
        <v>85</v>
      </c>
      <c r="EC2" s="24" t="s">
        <v>84</v>
      </c>
      <c r="ED2" s="24" t="s">
        <v>85</v>
      </c>
      <c r="EE2" s="24" t="s">
        <v>84</v>
      </c>
      <c r="EF2" s="24" t="s">
        <v>85</v>
      </c>
      <c r="EG2" s="24" t="s">
        <v>84</v>
      </c>
      <c r="EH2" s="24" t="s">
        <v>85</v>
      </c>
      <c r="EI2" s="24" t="s">
        <v>84</v>
      </c>
      <c r="EJ2" s="24" t="s">
        <v>85</v>
      </c>
      <c r="EK2" s="24" t="s">
        <v>84</v>
      </c>
      <c r="EL2" s="24" t="s">
        <v>85</v>
      </c>
      <c r="EM2" s="24" t="s">
        <v>84</v>
      </c>
      <c r="EN2" s="24" t="s">
        <v>85</v>
      </c>
      <c r="EO2" s="24" t="s">
        <v>84</v>
      </c>
      <c r="EP2" s="24" t="s">
        <v>85</v>
      </c>
      <c r="EQ2" s="24" t="s">
        <v>84</v>
      </c>
      <c r="ER2" s="24" t="s">
        <v>85</v>
      </c>
      <c r="ES2" s="24" t="s">
        <v>84</v>
      </c>
      <c r="ET2" s="24" t="s">
        <v>85</v>
      </c>
      <c r="EU2" s="24" t="s">
        <v>84</v>
      </c>
      <c r="EV2" s="24" t="s">
        <v>85</v>
      </c>
      <c r="EW2" s="24" t="s">
        <v>84</v>
      </c>
      <c r="EX2" s="28" t="s">
        <v>85</v>
      </c>
      <c r="EY2" s="29"/>
      <c r="EZ2" s="30"/>
      <c r="FA2" s="31"/>
      <c r="FB2" s="31"/>
      <c r="FC2" s="31"/>
      <c r="FD2" s="31"/>
      <c r="FE2" s="31"/>
      <c r="FF2" s="31"/>
      <c r="FG2" s="31"/>
      <c r="FH2" s="31"/>
      <c r="FI2" s="31"/>
      <c r="FJ2" s="32"/>
      <c r="FK2" s="32"/>
      <c r="FL2" s="32"/>
      <c r="FM2" s="32"/>
      <c r="FN2" s="33"/>
      <c r="FO2" s="33"/>
      <c r="FP2" s="33"/>
      <c r="FQ2" s="33"/>
      <c r="FR2" s="33"/>
      <c r="FS2" s="33"/>
      <c r="FT2" s="34"/>
      <c r="FU2" s="34"/>
      <c r="FV2" s="35"/>
      <c r="FW2" s="36"/>
      <c r="FX2" s="36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8"/>
      <c r="GL2" s="38"/>
      <c r="GM2" s="37"/>
      <c r="GN2" s="39"/>
      <c r="GO2" s="39"/>
      <c r="GP2" s="40"/>
      <c r="GQ2" s="40"/>
      <c r="GR2" s="40"/>
      <c r="GS2" s="40"/>
      <c r="GT2" s="41"/>
      <c r="GU2" s="41"/>
      <c r="GV2" s="41"/>
      <c r="GW2" s="31"/>
      <c r="GX2" s="31"/>
      <c r="GY2" s="31"/>
      <c r="GZ2" s="31"/>
      <c r="HA2" s="31"/>
      <c r="HB2" s="42"/>
      <c r="HC2" s="42"/>
      <c r="HD2" s="43"/>
      <c r="HE2" s="44"/>
      <c r="HF2" s="44"/>
      <c r="HG2" s="44"/>
      <c r="HH2" s="44"/>
      <c r="HI2" s="44"/>
      <c r="HJ2" s="44"/>
      <c r="HK2" s="44"/>
      <c r="HL2" s="44"/>
      <c r="HM2" s="44"/>
      <c r="HN2" s="45"/>
      <c r="HO2" s="20"/>
      <c r="HP2" s="21"/>
    </row>
    <row r="3" spans="1:224" ht="30" customHeight="1">
      <c r="A3" s="46" t="s">
        <v>87</v>
      </c>
      <c r="B3" s="47">
        <v>1996</v>
      </c>
      <c r="C3" s="47">
        <v>68</v>
      </c>
      <c r="D3" s="47">
        <v>68</v>
      </c>
      <c r="E3" s="23">
        <v>43</v>
      </c>
      <c r="F3" s="47">
        <v>43</v>
      </c>
      <c r="G3" s="47" t="s">
        <v>66</v>
      </c>
      <c r="H3" s="47" t="s">
        <v>66</v>
      </c>
      <c r="I3" s="47" t="s">
        <v>66</v>
      </c>
      <c r="J3" s="47" t="s">
        <v>66</v>
      </c>
      <c r="K3" s="47" t="s">
        <v>66</v>
      </c>
      <c r="L3" s="23" t="s">
        <v>66</v>
      </c>
      <c r="M3" s="23" t="s">
        <v>66</v>
      </c>
      <c r="N3" s="23" t="s">
        <v>66</v>
      </c>
      <c r="O3" s="23" t="s">
        <v>66</v>
      </c>
      <c r="P3" s="23" t="s">
        <v>66</v>
      </c>
      <c r="Q3" s="23" t="s">
        <v>66</v>
      </c>
      <c r="R3" s="23" t="s">
        <v>66</v>
      </c>
      <c r="S3" s="23" t="s">
        <v>66</v>
      </c>
      <c r="T3" s="23" t="s">
        <v>66</v>
      </c>
      <c r="U3" s="47">
        <v>0</v>
      </c>
      <c r="V3" s="47">
        <v>0</v>
      </c>
      <c r="W3" s="47">
        <v>111</v>
      </c>
      <c r="X3" s="47">
        <v>111</v>
      </c>
      <c r="Y3" s="47">
        <v>0</v>
      </c>
      <c r="Z3" s="47">
        <v>0</v>
      </c>
      <c r="AA3" s="47">
        <v>0</v>
      </c>
      <c r="AB3" s="47">
        <v>0</v>
      </c>
      <c r="AC3" s="23" t="s">
        <v>88</v>
      </c>
      <c r="AD3" s="23" t="s">
        <v>89</v>
      </c>
      <c r="AE3" s="47" t="s">
        <v>89</v>
      </c>
      <c r="AF3" s="47" t="s">
        <v>90</v>
      </c>
      <c r="AG3" s="47" t="s">
        <v>91</v>
      </c>
      <c r="AH3" s="47" t="s">
        <v>91</v>
      </c>
      <c r="AI3" s="47" t="s">
        <v>92</v>
      </c>
      <c r="AJ3" s="47" t="s">
        <v>92</v>
      </c>
      <c r="AK3" s="47" t="s">
        <v>92</v>
      </c>
      <c r="AL3" s="47" t="s">
        <v>92</v>
      </c>
      <c r="AM3" s="47">
        <v>111</v>
      </c>
      <c r="AN3" s="47">
        <v>111</v>
      </c>
      <c r="AO3" s="47">
        <v>0</v>
      </c>
      <c r="AP3" s="47">
        <v>0</v>
      </c>
      <c r="AQ3" s="47">
        <v>0</v>
      </c>
      <c r="AR3" s="47">
        <v>0</v>
      </c>
      <c r="AS3" s="48" t="s">
        <v>66</v>
      </c>
      <c r="AT3" s="49" t="s">
        <v>66</v>
      </c>
      <c r="AU3" s="48" t="s">
        <v>66</v>
      </c>
      <c r="AV3" s="49" t="s">
        <v>66</v>
      </c>
      <c r="AW3" s="48" t="s">
        <v>66</v>
      </c>
      <c r="AX3" s="49" t="s">
        <v>66</v>
      </c>
      <c r="AY3" s="47">
        <v>111</v>
      </c>
      <c r="AZ3" s="47">
        <v>111</v>
      </c>
      <c r="BA3" s="47">
        <v>0</v>
      </c>
      <c r="BB3" s="47">
        <v>0</v>
      </c>
      <c r="BC3" s="47">
        <f t="shared" ref="BC3:BC7" si="0">BD3+BE3</f>
        <v>0</v>
      </c>
      <c r="BD3" s="50">
        <v>0</v>
      </c>
      <c r="BE3" s="50">
        <v>0</v>
      </c>
      <c r="BF3" s="50">
        <v>0</v>
      </c>
      <c r="BG3" s="47" t="s">
        <v>93</v>
      </c>
      <c r="BH3" s="47" t="s">
        <v>93</v>
      </c>
      <c r="BI3" s="47">
        <v>0</v>
      </c>
      <c r="BJ3" s="47">
        <v>0</v>
      </c>
      <c r="BK3" s="47">
        <v>0</v>
      </c>
      <c r="BL3" s="47">
        <v>0</v>
      </c>
      <c r="BM3" s="51" t="s">
        <v>94</v>
      </c>
      <c r="BN3" s="47" t="s">
        <v>94</v>
      </c>
      <c r="BO3" s="51" t="s">
        <v>94</v>
      </c>
      <c r="BP3" s="47" t="s">
        <v>94</v>
      </c>
      <c r="BQ3" s="51" t="s">
        <v>94</v>
      </c>
      <c r="BR3" s="47" t="s">
        <v>94</v>
      </c>
      <c r="BS3" s="51" t="s">
        <v>94</v>
      </c>
      <c r="BT3" s="51" t="s">
        <v>94</v>
      </c>
      <c r="BU3" s="51">
        <v>0</v>
      </c>
      <c r="BV3" s="47">
        <v>0</v>
      </c>
      <c r="BW3" s="51">
        <v>0</v>
      </c>
      <c r="BX3" s="47">
        <v>0</v>
      </c>
      <c r="BY3" s="51">
        <v>0</v>
      </c>
      <c r="BZ3" s="47">
        <v>0</v>
      </c>
      <c r="CA3" s="51">
        <v>0</v>
      </c>
      <c r="CB3" s="47">
        <v>0</v>
      </c>
      <c r="CC3" s="51" t="s">
        <v>94</v>
      </c>
      <c r="CD3" s="51" t="s">
        <v>94</v>
      </c>
      <c r="CE3" s="51">
        <v>0</v>
      </c>
      <c r="CF3" s="47">
        <v>0</v>
      </c>
      <c r="CG3" s="51">
        <v>0</v>
      </c>
      <c r="CH3" s="47">
        <v>0</v>
      </c>
      <c r="CI3" s="51" t="s">
        <v>94</v>
      </c>
      <c r="CJ3" s="51" t="s">
        <v>94</v>
      </c>
      <c r="CK3" s="51" t="s">
        <v>94</v>
      </c>
      <c r="CL3" s="51" t="s">
        <v>94</v>
      </c>
      <c r="CM3" s="51">
        <v>0</v>
      </c>
      <c r="CN3" s="47">
        <v>0</v>
      </c>
      <c r="CO3" s="51">
        <v>0</v>
      </c>
      <c r="CP3" s="47">
        <v>0</v>
      </c>
      <c r="CQ3" s="52" t="s">
        <v>94</v>
      </c>
      <c r="CR3" s="52" t="s">
        <v>94</v>
      </c>
      <c r="CS3" s="52" t="s">
        <v>94</v>
      </c>
      <c r="CT3" s="52" t="s">
        <v>94</v>
      </c>
      <c r="CU3" s="47" t="s">
        <v>66</v>
      </c>
      <c r="CV3" s="47" t="s">
        <v>66</v>
      </c>
      <c r="CW3" s="47" t="s">
        <v>95</v>
      </c>
      <c r="CX3" s="47" t="s">
        <v>95</v>
      </c>
      <c r="CY3" s="47" t="s">
        <v>95</v>
      </c>
      <c r="CZ3" s="47" t="s">
        <v>95</v>
      </c>
      <c r="DA3" s="47" t="s">
        <v>95</v>
      </c>
      <c r="DB3" s="47" t="s">
        <v>95</v>
      </c>
      <c r="DC3" s="47" t="s">
        <v>66</v>
      </c>
      <c r="DD3" s="47" t="s">
        <v>66</v>
      </c>
      <c r="DE3" s="47" t="s">
        <v>96</v>
      </c>
      <c r="DF3" s="47" t="s">
        <v>96</v>
      </c>
      <c r="DG3" s="47" t="s">
        <v>66</v>
      </c>
      <c r="DH3" s="47" t="s">
        <v>66</v>
      </c>
      <c r="DI3" s="47" t="s">
        <v>96</v>
      </c>
      <c r="DJ3" s="47" t="s">
        <v>96</v>
      </c>
      <c r="DK3" s="47" t="s">
        <v>66</v>
      </c>
      <c r="DL3" s="47" t="s">
        <v>66</v>
      </c>
      <c r="DM3" s="47" t="s">
        <v>66</v>
      </c>
      <c r="DN3" s="47" t="s">
        <v>66</v>
      </c>
      <c r="DO3" s="47" t="s">
        <v>66</v>
      </c>
      <c r="DP3" s="47" t="s">
        <v>66</v>
      </c>
      <c r="DQ3" s="47" t="s">
        <v>66</v>
      </c>
      <c r="DR3" s="23" t="s">
        <v>66</v>
      </c>
      <c r="DS3" s="47" t="s">
        <v>66</v>
      </c>
      <c r="DT3" s="47" t="s">
        <v>66</v>
      </c>
      <c r="DU3" s="47" t="s">
        <v>66</v>
      </c>
      <c r="DV3" s="47" t="s">
        <v>66</v>
      </c>
      <c r="DW3" s="47" t="s">
        <v>97</v>
      </c>
      <c r="DX3" s="47" t="s">
        <v>97</v>
      </c>
      <c r="DY3" s="47" t="s">
        <v>66</v>
      </c>
      <c r="DZ3" s="47" t="s">
        <v>66</v>
      </c>
      <c r="EA3" s="47" t="s">
        <v>66</v>
      </c>
      <c r="EB3" s="47" t="s">
        <v>66</v>
      </c>
      <c r="EC3" s="47">
        <v>1</v>
      </c>
      <c r="ED3" s="47">
        <v>1</v>
      </c>
      <c r="EE3" s="47">
        <v>1</v>
      </c>
      <c r="EF3" s="47">
        <v>1</v>
      </c>
      <c r="EG3" s="47">
        <v>1</v>
      </c>
      <c r="EH3" s="47">
        <v>1</v>
      </c>
      <c r="EI3" s="47">
        <v>1</v>
      </c>
      <c r="EJ3" s="47">
        <v>1</v>
      </c>
      <c r="EK3" s="47">
        <v>1</v>
      </c>
      <c r="EL3" s="47">
        <v>1</v>
      </c>
      <c r="EM3" s="47">
        <v>1</v>
      </c>
      <c r="EN3" s="47">
        <v>1</v>
      </c>
      <c r="EO3" s="47">
        <v>1</v>
      </c>
      <c r="EP3" s="47">
        <v>1</v>
      </c>
      <c r="EQ3" s="47">
        <v>1</v>
      </c>
      <c r="ER3" s="47">
        <v>1</v>
      </c>
      <c r="ES3" s="47">
        <v>1</v>
      </c>
      <c r="ET3" s="47">
        <v>1</v>
      </c>
      <c r="EU3" s="47">
        <v>1</v>
      </c>
      <c r="EV3" s="47">
        <v>1</v>
      </c>
      <c r="EW3" s="47">
        <f t="shared" ref="EW3:EX3" si="1">SUM(EC3,EE3,EG3,EI3,EK3,EM3,EO3,EQ3,ES3,EU3)</f>
        <v>10</v>
      </c>
      <c r="EX3" s="47">
        <f t="shared" si="1"/>
        <v>10</v>
      </c>
      <c r="EY3" s="53" t="str">
        <f t="shared" ref="EY3:EZ3" si="2">A3</f>
        <v>Adams</v>
      </c>
      <c r="EZ3" s="54">
        <f t="shared" si="2"/>
        <v>1996</v>
      </c>
      <c r="FA3" s="23" t="str">
        <f t="shared" ref="FA3:FA38" si="3">IF(C3=D3,"Y","N")</f>
        <v>Y</v>
      </c>
      <c r="FB3" s="23" t="str">
        <f t="shared" ref="FB3:FB38" si="4">IF(E3=F3,"Y","N")</f>
        <v>Y</v>
      </c>
      <c r="FC3" s="23" t="str">
        <f t="shared" ref="FC3:FC38" si="5">IF(G3=H3,"Y","N")</f>
        <v>Y</v>
      </c>
      <c r="FD3" s="23" t="str">
        <f t="shared" ref="FD3:FD38" si="6">IF(I3=J3,"Y","N")</f>
        <v>Y</v>
      </c>
      <c r="FE3" s="23" t="str">
        <f t="shared" ref="FE3:FE38" si="7">IF(K3=L3,"Y","N")</f>
        <v>Y</v>
      </c>
      <c r="FF3" s="23" t="str">
        <f t="shared" ref="FF3:FF9" si="8">IF(M3=N3,"Y","N")</f>
        <v>Y</v>
      </c>
      <c r="FG3" s="23" t="str">
        <f t="shared" ref="FG3:FG38" si="9">IF(O3=P3,"Y","N")</f>
        <v>Y</v>
      </c>
      <c r="FH3" s="23" t="str">
        <f t="shared" ref="FH3:FH38" si="10">IF(Q3=R3,"Y","N")</f>
        <v>Y</v>
      </c>
      <c r="FI3" s="23" t="str">
        <f t="shared" ref="FI3:FI38" si="11">IF(S3=T3,"Y","N")</f>
        <v>Y</v>
      </c>
      <c r="FJ3" s="23" t="str">
        <f t="shared" ref="FJ3:FJ38" si="12">IF(U3=V3,"Y","N")</f>
        <v>Y</v>
      </c>
      <c r="FK3" s="23" t="str">
        <f t="shared" ref="FK3:FK38" si="13">IF(W3=X3,"Y","N")</f>
        <v>Y</v>
      </c>
      <c r="FL3" s="23" t="str">
        <f t="shared" ref="FL3:FL38" si="14">IF(Y3=Z3,"Y","N")</f>
        <v>Y</v>
      </c>
      <c r="FM3" s="23" t="str">
        <f t="shared" ref="FM3:FM38" si="15">IF(AA3=AB3,"Y","N")</f>
        <v>Y</v>
      </c>
      <c r="FN3" s="23" t="str">
        <f t="shared" ref="FN3:FN38" si="16">IF(AD3=AE3,"Y","N")</f>
        <v>Y</v>
      </c>
      <c r="FO3" s="23" t="str">
        <f t="shared" ref="FO3:FO38" si="17">IF(AG3=AH3,"Y","N")</f>
        <v>Y</v>
      </c>
      <c r="FP3" s="23" t="str">
        <f t="shared" ref="FP3:FP38" si="18">IF(AI3=AJ3,"Y","N")</f>
        <v>Y</v>
      </c>
      <c r="FQ3" s="23" t="str">
        <f t="shared" ref="FQ3:FQ38" si="19">IF(AM3=AN3,"Y","N")</f>
        <v>Y</v>
      </c>
      <c r="FR3" s="23" t="str">
        <f t="shared" ref="FR3:FR38" si="20">IF(AO3=AP3,"Y","N")</f>
        <v>Y</v>
      </c>
      <c r="FS3" s="23" t="str">
        <f t="shared" ref="FS3:FS38" si="21">IF(AQ3=AR3,"Y","N")</f>
        <v>Y</v>
      </c>
      <c r="FT3" s="23" t="str">
        <f t="shared" ref="FT3:FT38" si="22">IF(AY3=AZ3,"Y","N")</f>
        <v>Y</v>
      </c>
      <c r="FU3" s="23" t="str">
        <f t="shared" ref="FU3:FU38" si="23">IF(BA3=BB3,"Y","N")</f>
        <v>Y</v>
      </c>
      <c r="FV3" s="23" t="str">
        <f t="shared" ref="FV3:FV38" si="24">IF(BG3=BH3,"Y","N")</f>
        <v>Y</v>
      </c>
      <c r="FW3" s="23" t="str">
        <f t="shared" ref="FW3:FW38" si="25">IF(BI3=BJ3,"Y","N")</f>
        <v>Y</v>
      </c>
      <c r="FX3" s="23" t="str">
        <f t="shared" ref="FX3:FX38" si="26">IF(BK3=BL3,"Y","N")</f>
        <v>Y</v>
      </c>
      <c r="FY3" s="23" t="str">
        <f t="shared" ref="FY3:FY38" si="27">IF(BM3=BN3,"Y","N")</f>
        <v>Y</v>
      </c>
      <c r="FZ3" s="23" t="str">
        <f t="shared" ref="FZ3:FZ38" si="28">IF(BO3=BP3,"Y","N")</f>
        <v>Y</v>
      </c>
      <c r="GA3" s="23" t="str">
        <f t="shared" ref="GA3:GA38" si="29">IF(BQ3=BR3,"Y","N")</f>
        <v>Y</v>
      </c>
      <c r="GB3" s="23" t="str">
        <f t="shared" ref="GB3:GB38" si="30">IF(BS3=BT3,"Y","N")</f>
        <v>Y</v>
      </c>
      <c r="GC3" s="23" t="str">
        <f t="shared" ref="GC3:GC38" si="31">IF(BU3=BV3,"Y","N")</f>
        <v>Y</v>
      </c>
      <c r="GD3" s="23" t="str">
        <f t="shared" ref="GD3:GD38" si="32">IF(BW3=BX3,"Y","N")</f>
        <v>Y</v>
      </c>
      <c r="GE3" s="23" t="str">
        <f t="shared" ref="GE3:GE38" si="33">IF(BY3=BZ3,"Y","N")</f>
        <v>Y</v>
      </c>
      <c r="GF3" s="23" t="str">
        <f t="shared" ref="GF3:GF38" si="34">IF(CA3=CB3,"Y","N")</f>
        <v>Y</v>
      </c>
      <c r="GG3" s="23" t="str">
        <f t="shared" ref="GG3:GG38" si="35">IF(CC3=CD3,"Y","N")</f>
        <v>Y</v>
      </c>
      <c r="GH3" s="23" t="str">
        <f t="shared" ref="GH3:GH38" si="36">IF(CE3=CF3,"Y","N")</f>
        <v>Y</v>
      </c>
      <c r="GI3" s="23" t="str">
        <f t="shared" ref="GI3:GI38" si="37">IF(CG3=CH3,"Y","N")</f>
        <v>Y</v>
      </c>
      <c r="GJ3" s="23" t="str">
        <f t="shared" ref="GJ3:GJ38" si="38">IF(CI3=CJ3,"Y","N")</f>
        <v>Y</v>
      </c>
      <c r="GK3" s="23" t="str">
        <f t="shared" ref="GK3:GK38" si="39">IF(CK3=CL3, "Y", "N")</f>
        <v>Y</v>
      </c>
      <c r="GL3" s="23" t="str">
        <f t="shared" ref="GL3:GL38" si="40">IF(CM3=CN3, "Y", "N")</f>
        <v>Y</v>
      </c>
      <c r="GM3" s="23" t="str">
        <f t="shared" ref="GM3:GM38" si="41">IF(CO3=CP3,"Y","N")</f>
        <v>Y</v>
      </c>
      <c r="GN3" s="23" t="str">
        <f t="shared" ref="GN3:GN38" si="42">IF(CQ3=CR3,"Y","N")</f>
        <v>Y</v>
      </c>
      <c r="GO3" s="23" t="str">
        <f t="shared" ref="GO3:GO38" si="43">IF(CS3=CT3,"Y","N")</f>
        <v>Y</v>
      </c>
      <c r="GP3" s="23" t="str">
        <f t="shared" ref="GP3:GP38" si="44">IF(CU3=CV3,"Y","N")</f>
        <v>Y</v>
      </c>
      <c r="GQ3" s="23" t="str">
        <f t="shared" ref="GQ3:GQ38" si="45">IF(CW3=CX3,"Y","N")</f>
        <v>Y</v>
      </c>
      <c r="GR3" s="23" t="str">
        <f t="shared" ref="GR3:GR38" si="46">IF(CY3=CZ3,"Y","N")</f>
        <v>Y</v>
      </c>
      <c r="GS3" s="23" t="str">
        <f t="shared" ref="GS3:GS38" si="47">IF(DA3=DB3,"Y","N")</f>
        <v>Y</v>
      </c>
      <c r="GT3" s="23" t="str">
        <f t="shared" ref="GT3:GT38" si="48">IF(DC3=DD3,"Y","N")</f>
        <v>Y</v>
      </c>
      <c r="GU3" s="23" t="str">
        <f t="shared" ref="GU3:GU38" si="49">IF(DE3=DF3,"Y","N")</f>
        <v>Y</v>
      </c>
      <c r="GV3" s="23" t="str">
        <f t="shared" ref="GV3:GV38" si="50">IF(DG3=DH3,"Y","N")</f>
        <v>Y</v>
      </c>
      <c r="GW3" s="23" t="str">
        <f t="shared" ref="GW3:GW38" si="51">IF(DI3=DJ3,"Y","N")</f>
        <v>Y</v>
      </c>
      <c r="GX3" s="23" t="str">
        <f t="shared" ref="GX3:GX38" si="52">IF(DK3=DL3,"Y","N")</f>
        <v>Y</v>
      </c>
      <c r="GY3" s="23" t="str">
        <f t="shared" ref="GY3:GY38" si="53">IF(DM3=DN3,"Y","N")</f>
        <v>Y</v>
      </c>
      <c r="GZ3" s="23" t="str">
        <f t="shared" ref="GZ3:GZ38" si="54">IF(DO3=DP3,"Y","N")</f>
        <v>Y</v>
      </c>
      <c r="HA3" s="23" t="str">
        <f t="shared" ref="HA3:HA38" si="55">IF(DQ3=DR3,"Y","N")</f>
        <v>Y</v>
      </c>
      <c r="HB3" s="23" t="str">
        <f t="shared" ref="HB3:HB38" si="56">IF(DS3=DT3,"Y","N")</f>
        <v>Y</v>
      </c>
      <c r="HC3" s="23" t="str">
        <f t="shared" ref="HC3:HC38" si="57">IF(DU3=DV3,"Y","N")</f>
        <v>Y</v>
      </c>
      <c r="HD3" s="23" t="str">
        <f t="shared" ref="HD3:HD38" si="58">IF(EC3=ED3,"Y","N")</f>
        <v>Y</v>
      </c>
      <c r="HE3" s="23" t="str">
        <f t="shared" ref="HE3:HE38" si="59">IF(EE3=EF3,"Y","N")</f>
        <v>Y</v>
      </c>
      <c r="HF3" s="23" t="str">
        <f t="shared" ref="HF3:HF38" si="60">IF(EG3=EH3,"Y","N")</f>
        <v>Y</v>
      </c>
      <c r="HG3" s="23" t="str">
        <f t="shared" ref="HG3:HG38" si="61">IF(EI3=EJ3,"Y","N")</f>
        <v>Y</v>
      </c>
      <c r="HH3" s="23" t="str">
        <f t="shared" ref="HH3:HH38" si="62">IF(EK3=EL3,"Y","N")</f>
        <v>Y</v>
      </c>
      <c r="HI3" s="23" t="str">
        <f t="shared" ref="HI3:HI38" si="63">IF(EM3=EN3,"Y","N")</f>
        <v>Y</v>
      </c>
      <c r="HJ3" s="23" t="str">
        <f t="shared" ref="HJ3:HJ38" si="64">IF(EO3=EP3,"Y","N")</f>
        <v>Y</v>
      </c>
      <c r="HK3" s="23" t="str">
        <f t="shared" ref="HK3:HK38" si="65">IF(EQ3=ER3,"Y","N")</f>
        <v>Y</v>
      </c>
      <c r="HL3" s="23" t="str">
        <f t="shared" ref="HL3:HL38" si="66">IF(ES3=ET3,"Y","N")</f>
        <v>Y</v>
      </c>
      <c r="HM3" s="23" t="str">
        <f t="shared" ref="HM3:HM38" si="67">IF(EU3=EV3,"Y","N")</f>
        <v>Y</v>
      </c>
      <c r="HN3" s="55" t="str">
        <f t="shared" ref="HN3:HN38" si="68">IF(EW3=EX3,"Y","N")</f>
        <v>Y</v>
      </c>
      <c r="HO3" s="23"/>
      <c r="HP3" s="55"/>
    </row>
    <row r="4" spans="1:224" ht="30" customHeight="1">
      <c r="A4" s="46" t="s">
        <v>98</v>
      </c>
      <c r="B4" s="52">
        <v>2010</v>
      </c>
      <c r="C4" s="52">
        <v>21</v>
      </c>
      <c r="D4" s="52">
        <v>21</v>
      </c>
      <c r="E4" s="56">
        <v>18</v>
      </c>
      <c r="F4" s="52">
        <v>18</v>
      </c>
      <c r="G4" s="52" t="s">
        <v>66</v>
      </c>
      <c r="H4" s="52" t="s">
        <v>66</v>
      </c>
      <c r="I4" s="52" t="s">
        <v>66</v>
      </c>
      <c r="J4" s="52" t="s">
        <v>66</v>
      </c>
      <c r="K4" s="57">
        <v>33.200000000000003</v>
      </c>
      <c r="L4" s="56">
        <v>33.200000000000003</v>
      </c>
      <c r="M4" s="56" t="s">
        <v>66</v>
      </c>
      <c r="N4" s="56" t="s">
        <v>66</v>
      </c>
      <c r="O4" s="56" t="s">
        <v>66</v>
      </c>
      <c r="P4" s="56" t="s">
        <v>66</v>
      </c>
      <c r="Q4" s="56" t="s">
        <v>66</v>
      </c>
      <c r="R4" s="56" t="s">
        <v>66</v>
      </c>
      <c r="S4" s="56" t="s">
        <v>66</v>
      </c>
      <c r="T4" s="56" t="s">
        <v>66</v>
      </c>
      <c r="U4" s="52">
        <v>0</v>
      </c>
      <c r="V4" s="52">
        <v>0</v>
      </c>
      <c r="W4" s="52">
        <v>39</v>
      </c>
      <c r="X4" s="52">
        <v>39</v>
      </c>
      <c r="Y4" s="52">
        <v>0</v>
      </c>
      <c r="Z4" s="52">
        <v>0</v>
      </c>
      <c r="AA4" s="52">
        <v>0</v>
      </c>
      <c r="AB4" s="52">
        <v>0</v>
      </c>
      <c r="AC4" s="56" t="s">
        <v>88</v>
      </c>
      <c r="AD4" s="56" t="s">
        <v>99</v>
      </c>
      <c r="AE4" s="52" t="s">
        <v>99</v>
      </c>
      <c r="AF4" s="52" t="s">
        <v>100</v>
      </c>
      <c r="AG4" s="52" t="s">
        <v>91</v>
      </c>
      <c r="AH4" s="52" t="s">
        <v>91</v>
      </c>
      <c r="AI4" s="52" t="s">
        <v>92</v>
      </c>
      <c r="AJ4" s="52" t="s">
        <v>92</v>
      </c>
      <c r="AK4" s="52" t="s">
        <v>91</v>
      </c>
      <c r="AL4" s="52" t="s">
        <v>91</v>
      </c>
      <c r="AM4" s="52" t="s">
        <v>66</v>
      </c>
      <c r="AN4" s="52" t="s">
        <v>66</v>
      </c>
      <c r="AO4" s="52">
        <v>39</v>
      </c>
      <c r="AP4" s="52">
        <v>39</v>
      </c>
      <c r="AQ4" s="52" t="s">
        <v>66</v>
      </c>
      <c r="AR4" s="52" t="s">
        <v>66</v>
      </c>
      <c r="AS4" s="56" t="s">
        <v>66</v>
      </c>
      <c r="AT4" s="56" t="s">
        <v>66</v>
      </c>
      <c r="AU4" s="56" t="s">
        <v>66</v>
      </c>
      <c r="AV4" s="56" t="s">
        <v>66</v>
      </c>
      <c r="AW4" s="56" t="s">
        <v>66</v>
      </c>
      <c r="AX4" s="56" t="s">
        <v>66</v>
      </c>
      <c r="AY4" s="52">
        <v>39</v>
      </c>
      <c r="AZ4" s="52">
        <v>39</v>
      </c>
      <c r="BA4" s="52">
        <v>2</v>
      </c>
      <c r="BB4" s="52">
        <v>2</v>
      </c>
      <c r="BC4" s="47">
        <f t="shared" si="0"/>
        <v>1</v>
      </c>
      <c r="BD4" s="58">
        <v>1</v>
      </c>
      <c r="BE4" s="58">
        <v>0</v>
      </c>
      <c r="BF4" s="58">
        <v>1</v>
      </c>
      <c r="BG4" s="52" t="s">
        <v>93</v>
      </c>
      <c r="BH4" s="52" t="s">
        <v>93</v>
      </c>
      <c r="BI4" s="52">
        <v>1</v>
      </c>
      <c r="BJ4" s="52">
        <v>1</v>
      </c>
      <c r="BK4" s="52" t="s">
        <v>94</v>
      </c>
      <c r="BL4" s="52" t="s">
        <v>94</v>
      </c>
      <c r="BM4" s="52">
        <v>1</v>
      </c>
      <c r="BN4" s="52">
        <v>1</v>
      </c>
      <c r="BO4" s="52" t="s">
        <v>94</v>
      </c>
      <c r="BP4" s="52" t="s">
        <v>94</v>
      </c>
      <c r="BQ4" s="52" t="s">
        <v>94</v>
      </c>
      <c r="BR4" s="52" t="s">
        <v>94</v>
      </c>
      <c r="BS4" s="52" t="s">
        <v>94</v>
      </c>
      <c r="BT4" s="52" t="s">
        <v>94</v>
      </c>
      <c r="BU4" s="52">
        <v>0</v>
      </c>
      <c r="BV4" s="52">
        <v>0</v>
      </c>
      <c r="BW4" s="52">
        <v>0</v>
      </c>
      <c r="BX4" s="52">
        <v>0</v>
      </c>
      <c r="BY4" s="52" t="s">
        <v>94</v>
      </c>
      <c r="BZ4" s="52" t="s">
        <v>94</v>
      </c>
      <c r="CA4" s="52" t="s">
        <v>94</v>
      </c>
      <c r="CB4" s="52" t="s">
        <v>94</v>
      </c>
      <c r="CC4" s="52" t="s">
        <v>94</v>
      </c>
      <c r="CD4" s="52" t="s">
        <v>94</v>
      </c>
      <c r="CE4" s="52">
        <v>0</v>
      </c>
      <c r="CF4" s="52">
        <v>0</v>
      </c>
      <c r="CG4" s="52">
        <v>0</v>
      </c>
      <c r="CH4" s="52">
        <v>0</v>
      </c>
      <c r="CI4" s="52" t="s">
        <v>94</v>
      </c>
      <c r="CJ4" s="52" t="s">
        <v>94</v>
      </c>
      <c r="CK4" s="52" t="s">
        <v>94</v>
      </c>
      <c r="CL4" s="52" t="s">
        <v>94</v>
      </c>
      <c r="CM4" s="52">
        <v>0</v>
      </c>
      <c r="CN4" s="52">
        <v>0</v>
      </c>
      <c r="CO4" s="52" t="s">
        <v>94</v>
      </c>
      <c r="CP4" s="52" t="s">
        <v>94</v>
      </c>
      <c r="CQ4" s="52" t="s">
        <v>94</v>
      </c>
      <c r="CR4" s="52" t="s">
        <v>94</v>
      </c>
      <c r="CS4" s="52" t="s">
        <v>94</v>
      </c>
      <c r="CT4" s="52" t="s">
        <v>94</v>
      </c>
      <c r="CU4" s="52" t="s">
        <v>95</v>
      </c>
      <c r="CV4" s="52" t="s">
        <v>95</v>
      </c>
      <c r="CW4" s="52" t="s">
        <v>95</v>
      </c>
      <c r="CX4" s="52" t="s">
        <v>95</v>
      </c>
      <c r="CY4" s="52" t="s">
        <v>66</v>
      </c>
      <c r="CZ4" s="52" t="s">
        <v>66</v>
      </c>
      <c r="DA4" s="52" t="s">
        <v>95</v>
      </c>
      <c r="DB4" s="52" t="s">
        <v>95</v>
      </c>
      <c r="DC4" s="52" t="s">
        <v>96</v>
      </c>
      <c r="DD4" s="52" t="s">
        <v>96</v>
      </c>
      <c r="DE4" s="52" t="s">
        <v>96</v>
      </c>
      <c r="DF4" s="52" t="s">
        <v>96</v>
      </c>
      <c r="DG4" s="52" t="s">
        <v>66</v>
      </c>
      <c r="DH4" s="52" t="s">
        <v>66</v>
      </c>
      <c r="DI4" s="52" t="s">
        <v>96</v>
      </c>
      <c r="DJ4" s="52" t="s">
        <v>96</v>
      </c>
      <c r="DK4" s="52" t="s">
        <v>92</v>
      </c>
      <c r="DL4" s="52" t="s">
        <v>92</v>
      </c>
      <c r="DM4" s="52" t="s">
        <v>95</v>
      </c>
      <c r="DN4" s="52" t="s">
        <v>95</v>
      </c>
      <c r="DO4" s="52" t="s">
        <v>66</v>
      </c>
      <c r="DP4" s="52" t="s">
        <v>66</v>
      </c>
      <c r="DQ4" s="52" t="s">
        <v>66</v>
      </c>
      <c r="DR4" s="56" t="s">
        <v>66</v>
      </c>
      <c r="DS4" s="52" t="s">
        <v>66</v>
      </c>
      <c r="DT4" s="52" t="s">
        <v>66</v>
      </c>
      <c r="DU4" s="52" t="s">
        <v>66</v>
      </c>
      <c r="DV4" s="52" t="s">
        <v>66</v>
      </c>
      <c r="DW4" s="52" t="s">
        <v>97</v>
      </c>
      <c r="DX4" s="52" t="s">
        <v>101</v>
      </c>
      <c r="DY4" s="52" t="s">
        <v>66</v>
      </c>
      <c r="DZ4" s="52" t="s">
        <v>66</v>
      </c>
      <c r="EA4" s="52" t="s">
        <v>102</v>
      </c>
      <c r="EB4" s="52" t="s">
        <v>102</v>
      </c>
      <c r="EC4" s="52">
        <v>0</v>
      </c>
      <c r="ED4" s="52">
        <v>0</v>
      </c>
      <c r="EE4" s="52">
        <v>1</v>
      </c>
      <c r="EF4" s="52">
        <v>1</v>
      </c>
      <c r="EG4" s="52">
        <v>1</v>
      </c>
      <c r="EH4" s="52">
        <v>1</v>
      </c>
      <c r="EI4" s="52">
        <v>1</v>
      </c>
      <c r="EJ4" s="52">
        <v>1</v>
      </c>
      <c r="EK4" s="52">
        <v>1</v>
      </c>
      <c r="EL4" s="52">
        <v>1</v>
      </c>
      <c r="EM4" s="52">
        <v>1</v>
      </c>
      <c r="EN4" s="52">
        <v>1</v>
      </c>
      <c r="EO4" s="52">
        <v>1</v>
      </c>
      <c r="EP4" s="52">
        <v>1</v>
      </c>
      <c r="EQ4" s="52">
        <v>1</v>
      </c>
      <c r="ER4" s="52">
        <v>1</v>
      </c>
      <c r="ES4" s="52">
        <v>1</v>
      </c>
      <c r="ET4" s="52">
        <v>1</v>
      </c>
      <c r="EU4" s="52">
        <v>1</v>
      </c>
      <c r="EV4" s="52">
        <v>1</v>
      </c>
      <c r="EW4" s="47">
        <f t="shared" ref="EW4:EX4" si="69">SUM(EC4,EE4,EG4,EI4,EK4,EM4,EO4,EQ4,ES4,EU4)</f>
        <v>9</v>
      </c>
      <c r="EX4" s="47">
        <f t="shared" si="69"/>
        <v>9</v>
      </c>
      <c r="EY4" s="59" t="str">
        <f t="shared" ref="EY4:EZ4" si="70">A4</f>
        <v>Bechter</v>
      </c>
      <c r="EZ4" s="59">
        <f t="shared" si="70"/>
        <v>2010</v>
      </c>
      <c r="FA4" s="60" t="str">
        <f t="shared" si="3"/>
        <v>Y</v>
      </c>
      <c r="FB4" s="60" t="str">
        <f t="shared" si="4"/>
        <v>Y</v>
      </c>
      <c r="FC4" s="60" t="str">
        <f t="shared" si="5"/>
        <v>Y</v>
      </c>
      <c r="FD4" s="60" t="str">
        <f t="shared" si="6"/>
        <v>Y</v>
      </c>
      <c r="FE4" s="60" t="str">
        <f t="shared" si="7"/>
        <v>Y</v>
      </c>
      <c r="FF4" s="60" t="str">
        <f t="shared" si="8"/>
        <v>Y</v>
      </c>
      <c r="FG4" s="60" t="str">
        <f t="shared" si="9"/>
        <v>Y</v>
      </c>
      <c r="FH4" s="60" t="str">
        <f t="shared" si="10"/>
        <v>Y</v>
      </c>
      <c r="FI4" s="60" t="str">
        <f t="shared" si="11"/>
        <v>Y</v>
      </c>
      <c r="FJ4" s="60" t="str">
        <f t="shared" si="12"/>
        <v>Y</v>
      </c>
      <c r="FK4" s="60" t="str">
        <f t="shared" si="13"/>
        <v>Y</v>
      </c>
      <c r="FL4" s="60" t="str">
        <f t="shared" si="14"/>
        <v>Y</v>
      </c>
      <c r="FM4" s="60" t="str">
        <f t="shared" si="15"/>
        <v>Y</v>
      </c>
      <c r="FN4" s="60" t="str">
        <f t="shared" si="16"/>
        <v>Y</v>
      </c>
      <c r="FO4" s="60" t="str">
        <f t="shared" si="17"/>
        <v>Y</v>
      </c>
      <c r="FP4" s="60" t="str">
        <f t="shared" si="18"/>
        <v>Y</v>
      </c>
      <c r="FQ4" s="60" t="str">
        <f t="shared" si="19"/>
        <v>Y</v>
      </c>
      <c r="FR4" s="60" t="str">
        <f t="shared" si="20"/>
        <v>Y</v>
      </c>
      <c r="FS4" s="60" t="str">
        <f t="shared" si="21"/>
        <v>Y</v>
      </c>
      <c r="FT4" s="60" t="str">
        <f t="shared" si="22"/>
        <v>Y</v>
      </c>
      <c r="FU4" s="60" t="str">
        <f t="shared" si="23"/>
        <v>Y</v>
      </c>
      <c r="FV4" s="61" t="str">
        <f t="shared" si="24"/>
        <v>Y</v>
      </c>
      <c r="FW4" s="61" t="str">
        <f t="shared" si="25"/>
        <v>Y</v>
      </c>
      <c r="FX4" s="60" t="str">
        <f t="shared" si="26"/>
        <v>Y</v>
      </c>
      <c r="FY4" s="61" t="str">
        <f t="shared" si="27"/>
        <v>Y</v>
      </c>
      <c r="FZ4" s="60" t="str">
        <f t="shared" si="28"/>
        <v>Y</v>
      </c>
      <c r="GA4" s="60" t="str">
        <f t="shared" si="29"/>
        <v>Y</v>
      </c>
      <c r="GB4" s="60" t="str">
        <f t="shared" si="30"/>
        <v>Y</v>
      </c>
      <c r="GC4" s="60" t="str">
        <f t="shared" si="31"/>
        <v>Y</v>
      </c>
      <c r="GD4" s="60" t="str">
        <f t="shared" si="32"/>
        <v>Y</v>
      </c>
      <c r="GE4" s="60" t="str">
        <f t="shared" si="33"/>
        <v>Y</v>
      </c>
      <c r="GF4" s="60" t="str">
        <f t="shared" si="34"/>
        <v>Y</v>
      </c>
      <c r="GG4" s="60" t="str">
        <f t="shared" si="35"/>
        <v>Y</v>
      </c>
      <c r="GH4" s="60" t="str">
        <f t="shared" si="36"/>
        <v>Y</v>
      </c>
      <c r="GI4" s="60" t="str">
        <f t="shared" si="37"/>
        <v>Y</v>
      </c>
      <c r="GJ4" s="60" t="str">
        <f t="shared" si="38"/>
        <v>Y</v>
      </c>
      <c r="GK4" s="60" t="str">
        <f t="shared" si="39"/>
        <v>Y</v>
      </c>
      <c r="GL4" s="60" t="str">
        <f t="shared" si="40"/>
        <v>Y</v>
      </c>
      <c r="GM4" s="60" t="str">
        <f t="shared" si="41"/>
        <v>Y</v>
      </c>
      <c r="GN4" s="61" t="str">
        <f t="shared" si="42"/>
        <v>Y</v>
      </c>
      <c r="GO4" s="60" t="str">
        <f t="shared" si="43"/>
        <v>Y</v>
      </c>
      <c r="GP4" s="60" t="str">
        <f t="shared" si="44"/>
        <v>Y</v>
      </c>
      <c r="GQ4" s="60" t="str">
        <f t="shared" si="45"/>
        <v>Y</v>
      </c>
      <c r="GR4" s="60" t="str">
        <f t="shared" si="46"/>
        <v>Y</v>
      </c>
      <c r="GS4" s="60" t="str">
        <f t="shared" si="47"/>
        <v>Y</v>
      </c>
      <c r="GT4" s="60" t="str">
        <f t="shared" si="48"/>
        <v>Y</v>
      </c>
      <c r="GU4" s="60" t="str">
        <f t="shared" si="49"/>
        <v>Y</v>
      </c>
      <c r="GV4" s="60" t="str">
        <f t="shared" si="50"/>
        <v>Y</v>
      </c>
      <c r="GW4" s="60" t="str">
        <f t="shared" si="51"/>
        <v>Y</v>
      </c>
      <c r="GX4" s="60" t="str">
        <f t="shared" si="52"/>
        <v>Y</v>
      </c>
      <c r="GY4" s="60" t="str">
        <f t="shared" si="53"/>
        <v>Y</v>
      </c>
      <c r="GZ4" s="60" t="str">
        <f t="shared" si="54"/>
        <v>Y</v>
      </c>
      <c r="HA4" s="60" t="str">
        <f t="shared" si="55"/>
        <v>Y</v>
      </c>
      <c r="HB4" s="60" t="str">
        <f t="shared" si="56"/>
        <v>Y</v>
      </c>
      <c r="HC4" s="60" t="str">
        <f t="shared" si="57"/>
        <v>Y</v>
      </c>
      <c r="HD4" s="60" t="str">
        <f t="shared" si="58"/>
        <v>Y</v>
      </c>
      <c r="HE4" s="60" t="str">
        <f t="shared" si="59"/>
        <v>Y</v>
      </c>
      <c r="HF4" s="60" t="str">
        <f t="shared" si="60"/>
        <v>Y</v>
      </c>
      <c r="HG4" s="60" t="str">
        <f t="shared" si="61"/>
        <v>Y</v>
      </c>
      <c r="HH4" s="60" t="str">
        <f t="shared" si="62"/>
        <v>Y</v>
      </c>
      <c r="HI4" s="60" t="str">
        <f t="shared" si="63"/>
        <v>Y</v>
      </c>
      <c r="HJ4" s="60" t="str">
        <f t="shared" si="64"/>
        <v>Y</v>
      </c>
      <c r="HK4" s="60" t="str">
        <f t="shared" si="65"/>
        <v>Y</v>
      </c>
      <c r="HL4" s="60" t="str">
        <f t="shared" si="66"/>
        <v>Y</v>
      </c>
      <c r="HM4" s="60" t="str">
        <f t="shared" si="67"/>
        <v>Y</v>
      </c>
      <c r="HN4" s="60" t="str">
        <f t="shared" si="68"/>
        <v>Y</v>
      </c>
      <c r="HO4" s="62"/>
      <c r="HP4" s="63"/>
    </row>
    <row r="5" spans="1:224" ht="30" customHeight="1">
      <c r="A5" s="46" t="s">
        <v>103</v>
      </c>
      <c r="B5" s="47">
        <v>2005</v>
      </c>
      <c r="C5" s="47">
        <v>278</v>
      </c>
      <c r="D5" s="47">
        <v>278</v>
      </c>
      <c r="E5" s="23">
        <v>108</v>
      </c>
      <c r="F5" s="47">
        <v>108</v>
      </c>
      <c r="G5" s="47">
        <v>27.1</v>
      </c>
      <c r="H5" s="47">
        <v>27.1</v>
      </c>
      <c r="I5" s="47">
        <v>30.1</v>
      </c>
      <c r="J5" s="47">
        <v>30.1</v>
      </c>
      <c r="K5" s="47">
        <v>28.5</v>
      </c>
      <c r="L5" s="23">
        <v>28.5</v>
      </c>
      <c r="M5" s="23">
        <v>168</v>
      </c>
      <c r="N5" s="23">
        <v>168</v>
      </c>
      <c r="O5" s="23">
        <v>56</v>
      </c>
      <c r="P5" s="23">
        <v>56</v>
      </c>
      <c r="Q5" s="23">
        <v>0</v>
      </c>
      <c r="R5" s="23">
        <v>0</v>
      </c>
      <c r="S5" s="23">
        <v>0</v>
      </c>
      <c r="T5" s="23">
        <v>0</v>
      </c>
      <c r="U5" s="47">
        <v>386</v>
      </c>
      <c r="V5" s="47">
        <v>386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23" t="s">
        <v>104</v>
      </c>
      <c r="AD5" s="23" t="s">
        <v>105</v>
      </c>
      <c r="AE5" s="47" t="s">
        <v>105</v>
      </c>
      <c r="AF5" s="47" t="s">
        <v>90</v>
      </c>
      <c r="AG5" s="47" t="s">
        <v>91</v>
      </c>
      <c r="AH5" s="47" t="s">
        <v>91</v>
      </c>
      <c r="AI5" s="47" t="s">
        <v>92</v>
      </c>
      <c r="AJ5" s="47" t="s">
        <v>92</v>
      </c>
      <c r="AK5" s="47" t="s">
        <v>92</v>
      </c>
      <c r="AL5" s="47" t="s">
        <v>92</v>
      </c>
      <c r="AM5" s="47" t="s">
        <v>66</v>
      </c>
      <c r="AN5" s="47" t="s">
        <v>66</v>
      </c>
      <c r="AO5" s="47" t="s">
        <v>66</v>
      </c>
      <c r="AP5" s="47" t="s">
        <v>66</v>
      </c>
      <c r="AQ5" s="47" t="s">
        <v>66</v>
      </c>
      <c r="AR5" s="47" t="s">
        <v>66</v>
      </c>
      <c r="AS5" s="48" t="s">
        <v>66</v>
      </c>
      <c r="AT5" s="49" t="s">
        <v>66</v>
      </c>
      <c r="AU5" s="48" t="s">
        <v>66</v>
      </c>
      <c r="AV5" s="49" t="s">
        <v>66</v>
      </c>
      <c r="AW5" s="48" t="s">
        <v>66</v>
      </c>
      <c r="AX5" s="49" t="s">
        <v>66</v>
      </c>
      <c r="AY5" s="47">
        <v>386</v>
      </c>
      <c r="AZ5" s="47">
        <v>386</v>
      </c>
      <c r="BA5" s="47">
        <v>169</v>
      </c>
      <c r="BB5" s="47">
        <v>169</v>
      </c>
      <c r="BC5" s="47">
        <f t="shared" si="0"/>
        <v>169</v>
      </c>
      <c r="BD5" s="50">
        <v>169</v>
      </c>
      <c r="BE5" s="50">
        <v>0</v>
      </c>
      <c r="BF5" s="50">
        <v>0</v>
      </c>
      <c r="BG5" s="47" t="s">
        <v>106</v>
      </c>
      <c r="BH5" s="47" t="s">
        <v>106</v>
      </c>
      <c r="BI5" s="47" t="s">
        <v>94</v>
      </c>
      <c r="BJ5" s="47" t="s">
        <v>94</v>
      </c>
      <c r="BK5" s="47">
        <v>169</v>
      </c>
      <c r="BL5" s="47">
        <f t="shared" ref="BL5:BL7" si="71">SUM(BR5,BT5)</f>
        <v>169</v>
      </c>
      <c r="BM5" s="48" t="s">
        <v>94</v>
      </c>
      <c r="BN5" s="47" t="s">
        <v>94</v>
      </c>
      <c r="BO5" s="48" t="s">
        <v>94</v>
      </c>
      <c r="BP5" s="47" t="s">
        <v>94</v>
      </c>
      <c r="BQ5" s="48">
        <v>169</v>
      </c>
      <c r="BR5" s="47">
        <v>169</v>
      </c>
      <c r="BS5" s="48" t="s">
        <v>94</v>
      </c>
      <c r="BT5" s="47" t="s">
        <v>94</v>
      </c>
      <c r="BU5" s="48" t="s">
        <v>94</v>
      </c>
      <c r="BV5" s="47" t="s">
        <v>94</v>
      </c>
      <c r="BW5" s="48" t="s">
        <v>94</v>
      </c>
      <c r="BX5" s="47" t="s">
        <v>94</v>
      </c>
      <c r="BY5" s="48" t="s">
        <v>94</v>
      </c>
      <c r="BZ5" s="47" t="s">
        <v>94</v>
      </c>
      <c r="CA5" s="48" t="s">
        <v>94</v>
      </c>
      <c r="CB5" s="47" t="s">
        <v>94</v>
      </c>
      <c r="CC5" s="48" t="s">
        <v>94</v>
      </c>
      <c r="CD5" s="47" t="s">
        <v>94</v>
      </c>
      <c r="CE5" s="48" t="s">
        <v>94</v>
      </c>
      <c r="CF5" s="47" t="s">
        <v>94</v>
      </c>
      <c r="CG5" s="48" t="s">
        <v>94</v>
      </c>
      <c r="CH5" s="47" t="s">
        <v>94</v>
      </c>
      <c r="CI5" s="48" t="s">
        <v>94</v>
      </c>
      <c r="CJ5" s="47" t="s">
        <v>94</v>
      </c>
      <c r="CK5" s="48" t="s">
        <v>94</v>
      </c>
      <c r="CL5" s="47" t="s">
        <v>94</v>
      </c>
      <c r="CM5" s="48" t="s">
        <v>94</v>
      </c>
      <c r="CN5" s="47" t="s">
        <v>94</v>
      </c>
      <c r="CO5" s="48" t="s">
        <v>94</v>
      </c>
      <c r="CP5" s="47" t="s">
        <v>94</v>
      </c>
      <c r="CQ5" s="48" t="s">
        <v>94</v>
      </c>
      <c r="CR5" s="47" t="s">
        <v>94</v>
      </c>
      <c r="CS5" s="48" t="s">
        <v>94</v>
      </c>
      <c r="CT5" s="47" t="s">
        <v>94</v>
      </c>
      <c r="CU5" s="47" t="s">
        <v>66</v>
      </c>
      <c r="CV5" s="47" t="s">
        <v>66</v>
      </c>
      <c r="CW5" s="47" t="s">
        <v>66</v>
      </c>
      <c r="CX5" s="47" t="s">
        <v>66</v>
      </c>
      <c r="CY5" s="47" t="s">
        <v>66</v>
      </c>
      <c r="CZ5" s="47" t="s">
        <v>66</v>
      </c>
      <c r="DA5" s="47" t="s">
        <v>66</v>
      </c>
      <c r="DB5" s="47" t="s">
        <v>66</v>
      </c>
      <c r="DC5" s="47" t="s">
        <v>66</v>
      </c>
      <c r="DD5" s="47" t="s">
        <v>66</v>
      </c>
      <c r="DE5" s="47" t="s">
        <v>66</v>
      </c>
      <c r="DF5" s="47" t="s">
        <v>66</v>
      </c>
      <c r="DG5" s="47" t="s">
        <v>96</v>
      </c>
      <c r="DH5" s="47" t="s">
        <v>96</v>
      </c>
      <c r="DI5" s="47" t="s">
        <v>96</v>
      </c>
      <c r="DJ5" s="47" t="s">
        <v>96</v>
      </c>
      <c r="DK5" s="47" t="s">
        <v>92</v>
      </c>
      <c r="DL5" s="47" t="s">
        <v>92</v>
      </c>
      <c r="DM5" s="47" t="s">
        <v>66</v>
      </c>
      <c r="DN5" s="47" t="s">
        <v>66</v>
      </c>
      <c r="DO5" s="47" t="s">
        <v>66</v>
      </c>
      <c r="DP5" s="47" t="s">
        <v>66</v>
      </c>
      <c r="DQ5" s="47" t="s">
        <v>66</v>
      </c>
      <c r="DR5" s="23" t="s">
        <v>66</v>
      </c>
      <c r="DS5" s="47" t="s">
        <v>66</v>
      </c>
      <c r="DT5" s="47" t="s">
        <v>66</v>
      </c>
      <c r="DU5" s="47" t="s">
        <v>66</v>
      </c>
      <c r="DV5" s="47" t="s">
        <v>66</v>
      </c>
      <c r="DW5" s="47" t="s">
        <v>97</v>
      </c>
      <c r="DX5" s="47" t="s">
        <v>97</v>
      </c>
      <c r="DY5" s="47" t="s">
        <v>107</v>
      </c>
      <c r="DZ5" s="47" t="s">
        <v>107</v>
      </c>
      <c r="EA5" s="47" t="s">
        <v>108</v>
      </c>
      <c r="EB5" s="47" t="s">
        <v>108</v>
      </c>
      <c r="EC5" s="47">
        <v>1</v>
      </c>
      <c r="ED5" s="47">
        <v>1</v>
      </c>
      <c r="EE5" s="47">
        <v>0</v>
      </c>
      <c r="EF5" s="47">
        <v>0</v>
      </c>
      <c r="EG5" s="47">
        <v>1</v>
      </c>
      <c r="EH5" s="47">
        <v>1</v>
      </c>
      <c r="EI5" s="47">
        <v>1</v>
      </c>
      <c r="EJ5" s="47">
        <v>1</v>
      </c>
      <c r="EK5" s="47">
        <v>1</v>
      </c>
      <c r="EL5" s="47">
        <v>1</v>
      </c>
      <c r="EM5" s="47">
        <v>1</v>
      </c>
      <c r="EN5" s="47">
        <v>1</v>
      </c>
      <c r="EO5" s="47">
        <v>1</v>
      </c>
      <c r="EP5" s="47">
        <v>1</v>
      </c>
      <c r="EQ5" s="47">
        <v>1</v>
      </c>
      <c r="ER5" s="47">
        <v>1</v>
      </c>
      <c r="ES5" s="47">
        <v>1</v>
      </c>
      <c r="ET5" s="47">
        <v>1</v>
      </c>
      <c r="EU5" s="47">
        <v>1</v>
      </c>
      <c r="EV5" s="47">
        <v>1</v>
      </c>
      <c r="EW5" s="47">
        <f t="shared" ref="EW5:EX5" si="72">SUM(EC5,EE5,EG5,EI5,EK5,EM5,EO5,EQ5,ES5,EU5)</f>
        <v>9</v>
      </c>
      <c r="EX5" s="47">
        <f t="shared" si="72"/>
        <v>9</v>
      </c>
      <c r="EY5" s="64" t="str">
        <f t="shared" ref="EY5:EZ5" si="73">A5</f>
        <v>Caton</v>
      </c>
      <c r="EZ5" s="65">
        <f t="shared" si="73"/>
        <v>2005</v>
      </c>
      <c r="FA5" s="23" t="str">
        <f t="shared" si="3"/>
        <v>Y</v>
      </c>
      <c r="FB5" s="23" t="str">
        <f t="shared" si="4"/>
        <v>Y</v>
      </c>
      <c r="FC5" s="23" t="str">
        <f t="shared" si="5"/>
        <v>Y</v>
      </c>
      <c r="FD5" s="23" t="str">
        <f t="shared" si="6"/>
        <v>Y</v>
      </c>
      <c r="FE5" s="23" t="str">
        <f t="shared" si="7"/>
        <v>Y</v>
      </c>
      <c r="FF5" s="23" t="str">
        <f t="shared" si="8"/>
        <v>Y</v>
      </c>
      <c r="FG5" s="23" t="str">
        <f t="shared" si="9"/>
        <v>Y</v>
      </c>
      <c r="FH5" s="23" t="str">
        <f t="shared" si="10"/>
        <v>Y</v>
      </c>
      <c r="FI5" s="23" t="str">
        <f t="shared" si="11"/>
        <v>Y</v>
      </c>
      <c r="FJ5" s="23" t="str">
        <f t="shared" si="12"/>
        <v>Y</v>
      </c>
      <c r="FK5" s="23" t="str">
        <f t="shared" si="13"/>
        <v>Y</v>
      </c>
      <c r="FL5" s="23" t="str">
        <f t="shared" si="14"/>
        <v>Y</v>
      </c>
      <c r="FM5" s="23" t="str">
        <f t="shared" si="15"/>
        <v>Y</v>
      </c>
      <c r="FN5" s="23" t="str">
        <f t="shared" si="16"/>
        <v>Y</v>
      </c>
      <c r="FO5" s="23" t="str">
        <f t="shared" si="17"/>
        <v>Y</v>
      </c>
      <c r="FP5" s="23" t="str">
        <f t="shared" si="18"/>
        <v>Y</v>
      </c>
      <c r="FQ5" s="23" t="str">
        <f t="shared" si="19"/>
        <v>Y</v>
      </c>
      <c r="FR5" s="23" t="str">
        <f t="shared" si="20"/>
        <v>Y</v>
      </c>
      <c r="FS5" s="23" t="str">
        <f t="shared" si="21"/>
        <v>Y</v>
      </c>
      <c r="FT5" s="23" t="str">
        <f t="shared" si="22"/>
        <v>Y</v>
      </c>
      <c r="FU5" s="23" t="str">
        <f t="shared" si="23"/>
        <v>Y</v>
      </c>
      <c r="FV5" s="23" t="str">
        <f t="shared" si="24"/>
        <v>Y</v>
      </c>
      <c r="FW5" s="23" t="str">
        <f t="shared" si="25"/>
        <v>Y</v>
      </c>
      <c r="FX5" s="23" t="str">
        <f t="shared" si="26"/>
        <v>Y</v>
      </c>
      <c r="FY5" s="23" t="str">
        <f t="shared" si="27"/>
        <v>Y</v>
      </c>
      <c r="FZ5" s="23" t="str">
        <f t="shared" si="28"/>
        <v>Y</v>
      </c>
      <c r="GA5" s="23" t="str">
        <f t="shared" si="29"/>
        <v>Y</v>
      </c>
      <c r="GB5" s="23" t="str">
        <f t="shared" si="30"/>
        <v>Y</v>
      </c>
      <c r="GC5" s="23" t="str">
        <f t="shared" si="31"/>
        <v>Y</v>
      </c>
      <c r="GD5" s="23" t="str">
        <f t="shared" si="32"/>
        <v>Y</v>
      </c>
      <c r="GE5" s="23" t="str">
        <f t="shared" si="33"/>
        <v>Y</v>
      </c>
      <c r="GF5" s="23" t="str">
        <f t="shared" si="34"/>
        <v>Y</v>
      </c>
      <c r="GG5" s="23" t="str">
        <f t="shared" si="35"/>
        <v>Y</v>
      </c>
      <c r="GH5" s="23" t="str">
        <f t="shared" si="36"/>
        <v>Y</v>
      </c>
      <c r="GI5" s="23" t="str">
        <f t="shared" si="37"/>
        <v>Y</v>
      </c>
      <c r="GJ5" s="23" t="str">
        <f t="shared" si="38"/>
        <v>Y</v>
      </c>
      <c r="GK5" s="23" t="str">
        <f t="shared" si="39"/>
        <v>Y</v>
      </c>
      <c r="GL5" s="23" t="str">
        <f t="shared" si="40"/>
        <v>Y</v>
      </c>
      <c r="GM5" s="23" t="str">
        <f t="shared" si="41"/>
        <v>Y</v>
      </c>
      <c r="GN5" s="23" t="str">
        <f t="shared" si="42"/>
        <v>Y</v>
      </c>
      <c r="GO5" s="23" t="str">
        <f t="shared" si="43"/>
        <v>Y</v>
      </c>
      <c r="GP5" s="23" t="str">
        <f t="shared" si="44"/>
        <v>Y</v>
      </c>
      <c r="GQ5" s="23" t="str">
        <f t="shared" si="45"/>
        <v>Y</v>
      </c>
      <c r="GR5" s="23" t="str">
        <f t="shared" si="46"/>
        <v>Y</v>
      </c>
      <c r="GS5" s="23" t="str">
        <f t="shared" si="47"/>
        <v>Y</v>
      </c>
      <c r="GT5" s="23" t="str">
        <f t="shared" si="48"/>
        <v>Y</v>
      </c>
      <c r="GU5" s="23" t="str">
        <f t="shared" si="49"/>
        <v>Y</v>
      </c>
      <c r="GV5" s="23" t="str">
        <f t="shared" si="50"/>
        <v>Y</v>
      </c>
      <c r="GW5" s="23" t="str">
        <f t="shared" si="51"/>
        <v>Y</v>
      </c>
      <c r="GX5" s="23" t="str">
        <f t="shared" si="52"/>
        <v>Y</v>
      </c>
      <c r="GY5" s="23" t="str">
        <f t="shared" si="53"/>
        <v>Y</v>
      </c>
      <c r="GZ5" s="23" t="str">
        <f t="shared" si="54"/>
        <v>Y</v>
      </c>
      <c r="HA5" s="23" t="str">
        <f t="shared" si="55"/>
        <v>Y</v>
      </c>
      <c r="HB5" s="23" t="str">
        <f t="shared" si="56"/>
        <v>Y</v>
      </c>
      <c r="HC5" s="23" t="str">
        <f t="shared" si="57"/>
        <v>Y</v>
      </c>
      <c r="HD5" s="23" t="str">
        <f t="shared" si="58"/>
        <v>Y</v>
      </c>
      <c r="HE5" s="23" t="str">
        <f t="shared" si="59"/>
        <v>Y</v>
      </c>
      <c r="HF5" s="23" t="str">
        <f t="shared" si="60"/>
        <v>Y</v>
      </c>
      <c r="HG5" s="23" t="str">
        <f t="shared" si="61"/>
        <v>Y</v>
      </c>
      <c r="HH5" s="23" t="str">
        <f t="shared" si="62"/>
        <v>Y</v>
      </c>
      <c r="HI5" s="23" t="str">
        <f t="shared" si="63"/>
        <v>Y</v>
      </c>
      <c r="HJ5" s="23" t="str">
        <f t="shared" si="64"/>
        <v>Y</v>
      </c>
      <c r="HK5" s="23" t="str">
        <f t="shared" si="65"/>
        <v>Y</v>
      </c>
      <c r="HL5" s="23" t="str">
        <f t="shared" si="66"/>
        <v>Y</v>
      </c>
      <c r="HM5" s="23" t="str">
        <f t="shared" si="67"/>
        <v>Y</v>
      </c>
      <c r="HN5" s="55" t="str">
        <f t="shared" si="68"/>
        <v>Y</v>
      </c>
      <c r="HO5" s="23"/>
      <c r="HP5" s="55"/>
    </row>
    <row r="6" spans="1:224" ht="30" customHeight="1">
      <c r="A6" s="46" t="s">
        <v>109</v>
      </c>
      <c r="B6" s="47">
        <v>2022</v>
      </c>
      <c r="C6" s="47">
        <v>152</v>
      </c>
      <c r="D6" s="47">
        <v>152</v>
      </c>
      <c r="E6" s="23">
        <v>85</v>
      </c>
      <c r="F6" s="47">
        <v>85</v>
      </c>
      <c r="G6" s="47" t="s">
        <v>66</v>
      </c>
      <c r="H6" s="47" t="s">
        <v>66</v>
      </c>
      <c r="I6" s="47" t="s">
        <v>66</v>
      </c>
      <c r="J6" s="47" t="s">
        <v>66</v>
      </c>
      <c r="K6" s="47">
        <v>23.5</v>
      </c>
      <c r="L6" s="23">
        <v>23.5</v>
      </c>
      <c r="M6" s="23" t="s">
        <v>66</v>
      </c>
      <c r="N6" s="23" t="s">
        <v>66</v>
      </c>
      <c r="O6" s="23">
        <v>153</v>
      </c>
      <c r="P6" s="23">
        <v>153</v>
      </c>
      <c r="Q6" s="23" t="s">
        <v>66</v>
      </c>
      <c r="R6" s="23" t="s">
        <v>66</v>
      </c>
      <c r="S6" s="23">
        <v>64</v>
      </c>
      <c r="T6" s="23">
        <v>64</v>
      </c>
      <c r="U6" s="47">
        <v>0</v>
      </c>
      <c r="V6" s="47">
        <v>0</v>
      </c>
      <c r="W6" s="47">
        <v>0</v>
      </c>
      <c r="X6" s="47">
        <v>0</v>
      </c>
      <c r="Y6" s="47">
        <v>237</v>
      </c>
      <c r="Z6" s="47">
        <v>237</v>
      </c>
      <c r="AA6" s="47">
        <v>0</v>
      </c>
      <c r="AB6" s="47">
        <v>0</v>
      </c>
      <c r="AC6" s="66" t="s">
        <v>110</v>
      </c>
      <c r="AD6" s="23" t="s">
        <v>111</v>
      </c>
      <c r="AE6" s="47" t="s">
        <v>111</v>
      </c>
      <c r="AF6" s="47" t="s">
        <v>112</v>
      </c>
      <c r="AG6" s="47" t="s">
        <v>92</v>
      </c>
      <c r="AH6" s="47" t="s">
        <v>92</v>
      </c>
      <c r="AI6" s="47" t="s">
        <v>91</v>
      </c>
      <c r="AJ6" s="47" t="s">
        <v>91</v>
      </c>
      <c r="AK6" s="47" t="s">
        <v>92</v>
      </c>
      <c r="AL6" s="47" t="s">
        <v>92</v>
      </c>
      <c r="AM6" s="47">
        <v>237</v>
      </c>
      <c r="AN6" s="47">
        <v>237</v>
      </c>
      <c r="AO6" s="47">
        <v>0</v>
      </c>
      <c r="AP6" s="47">
        <v>0</v>
      </c>
      <c r="AQ6" s="47">
        <v>0</v>
      </c>
      <c r="AR6" s="47">
        <v>0</v>
      </c>
      <c r="AS6" s="48" t="s">
        <v>66</v>
      </c>
      <c r="AT6" s="49" t="s">
        <v>66</v>
      </c>
      <c r="AU6" s="48" t="s">
        <v>66</v>
      </c>
      <c r="AV6" s="49" t="s">
        <v>66</v>
      </c>
      <c r="AW6" s="48" t="s">
        <v>66</v>
      </c>
      <c r="AX6" s="49" t="s">
        <v>66</v>
      </c>
      <c r="AY6" s="47">
        <v>237</v>
      </c>
      <c r="AZ6" s="47">
        <v>237</v>
      </c>
      <c r="BA6" s="47">
        <v>84</v>
      </c>
      <c r="BB6" s="47">
        <v>84</v>
      </c>
      <c r="BC6" s="47">
        <f t="shared" si="0"/>
        <v>84</v>
      </c>
      <c r="BD6" s="50">
        <v>84</v>
      </c>
      <c r="BE6" s="50">
        <v>0</v>
      </c>
      <c r="BF6" s="50">
        <v>0</v>
      </c>
      <c r="BG6" s="47" t="s">
        <v>93</v>
      </c>
      <c r="BH6" s="47" t="s">
        <v>93</v>
      </c>
      <c r="BI6" s="47">
        <v>23</v>
      </c>
      <c r="BJ6" s="47">
        <v>23</v>
      </c>
      <c r="BK6" s="47">
        <v>61</v>
      </c>
      <c r="BL6" s="47">
        <f t="shared" si="71"/>
        <v>61</v>
      </c>
      <c r="BM6" s="48" t="s">
        <v>94</v>
      </c>
      <c r="BN6" s="47" t="s">
        <v>94</v>
      </c>
      <c r="BO6" s="48" t="s">
        <v>94</v>
      </c>
      <c r="BP6" s="47" t="s">
        <v>94</v>
      </c>
      <c r="BQ6" s="48">
        <v>61</v>
      </c>
      <c r="BR6" s="47">
        <v>61</v>
      </c>
      <c r="BS6" s="48" t="s">
        <v>94</v>
      </c>
      <c r="BT6" s="47" t="s">
        <v>94</v>
      </c>
      <c r="BU6" s="48" t="s">
        <v>94</v>
      </c>
      <c r="BV6" s="47" t="s">
        <v>94</v>
      </c>
      <c r="BW6" s="48" t="s">
        <v>94</v>
      </c>
      <c r="BX6" s="47" t="s">
        <v>94</v>
      </c>
      <c r="BY6" s="48" t="s">
        <v>94</v>
      </c>
      <c r="BZ6" s="47" t="s">
        <v>94</v>
      </c>
      <c r="CA6" s="48" t="s">
        <v>94</v>
      </c>
      <c r="CB6" s="47" t="s">
        <v>94</v>
      </c>
      <c r="CC6" s="48" t="s">
        <v>94</v>
      </c>
      <c r="CD6" s="47" t="s">
        <v>94</v>
      </c>
      <c r="CE6" s="48" t="s">
        <v>94</v>
      </c>
      <c r="CF6" s="47" t="s">
        <v>94</v>
      </c>
      <c r="CG6" s="48" t="s">
        <v>94</v>
      </c>
      <c r="CH6" s="47" t="s">
        <v>94</v>
      </c>
      <c r="CI6" s="48" t="s">
        <v>94</v>
      </c>
      <c r="CJ6" s="47" t="s">
        <v>94</v>
      </c>
      <c r="CK6" s="48" t="s">
        <v>94</v>
      </c>
      <c r="CL6" s="47" t="s">
        <v>94</v>
      </c>
      <c r="CM6" s="48" t="s">
        <v>94</v>
      </c>
      <c r="CN6" s="47" t="s">
        <v>94</v>
      </c>
      <c r="CO6" s="48" t="s">
        <v>94</v>
      </c>
      <c r="CP6" s="47" t="s">
        <v>94</v>
      </c>
      <c r="CQ6" s="48" t="s">
        <v>94</v>
      </c>
      <c r="CR6" s="47" t="s">
        <v>94</v>
      </c>
      <c r="CS6" s="48">
        <v>23</v>
      </c>
      <c r="CT6" s="47">
        <v>23</v>
      </c>
      <c r="CU6" s="47" t="s">
        <v>66</v>
      </c>
      <c r="CV6" s="47" t="s">
        <v>66</v>
      </c>
      <c r="CW6" s="47" t="s">
        <v>96</v>
      </c>
      <c r="CX6" s="47" t="s">
        <v>96</v>
      </c>
      <c r="CY6" s="47" t="s">
        <v>96</v>
      </c>
      <c r="CZ6" s="47" t="s">
        <v>96</v>
      </c>
      <c r="DA6" s="47" t="s">
        <v>66</v>
      </c>
      <c r="DB6" s="47" t="s">
        <v>66</v>
      </c>
      <c r="DC6" s="47" t="s">
        <v>66</v>
      </c>
      <c r="DD6" s="47" t="s">
        <v>66</v>
      </c>
      <c r="DE6" s="47" t="s">
        <v>96</v>
      </c>
      <c r="DF6" s="47" t="s">
        <v>96</v>
      </c>
      <c r="DG6" s="47" t="s">
        <v>96</v>
      </c>
      <c r="DH6" s="47" t="s">
        <v>96</v>
      </c>
      <c r="DI6" s="47" t="s">
        <v>96</v>
      </c>
      <c r="DJ6" s="47" t="s">
        <v>96</v>
      </c>
      <c r="DK6" s="47" t="s">
        <v>92</v>
      </c>
      <c r="DL6" s="47" t="s">
        <v>92</v>
      </c>
      <c r="DM6" s="47" t="s">
        <v>96</v>
      </c>
      <c r="DN6" s="47" t="s">
        <v>96</v>
      </c>
      <c r="DO6" s="47" t="s">
        <v>66</v>
      </c>
      <c r="DP6" s="47" t="s">
        <v>66</v>
      </c>
      <c r="DQ6" s="47" t="s">
        <v>66</v>
      </c>
      <c r="DR6" s="23" t="s">
        <v>66</v>
      </c>
      <c r="DS6" s="47" t="s">
        <v>66</v>
      </c>
      <c r="DT6" s="47" t="s">
        <v>66</v>
      </c>
      <c r="DU6" s="47" t="s">
        <v>66</v>
      </c>
      <c r="DV6" s="47" t="s">
        <v>66</v>
      </c>
      <c r="DW6" s="47" t="s">
        <v>97</v>
      </c>
      <c r="DX6" s="47" t="s">
        <v>97</v>
      </c>
      <c r="DY6" s="47" t="s">
        <v>113</v>
      </c>
      <c r="DZ6" s="47" t="s">
        <v>113</v>
      </c>
      <c r="EA6" s="47" t="s">
        <v>114</v>
      </c>
      <c r="EB6" s="47" t="s">
        <v>108</v>
      </c>
      <c r="EC6" s="47">
        <v>1</v>
      </c>
      <c r="ED6" s="47">
        <v>1</v>
      </c>
      <c r="EE6" s="47">
        <v>1</v>
      </c>
      <c r="EF6" s="47">
        <v>1</v>
      </c>
      <c r="EG6" s="47">
        <v>1</v>
      </c>
      <c r="EH6" s="47">
        <v>1</v>
      </c>
      <c r="EI6" s="47">
        <v>1</v>
      </c>
      <c r="EJ6" s="47">
        <v>1</v>
      </c>
      <c r="EK6" s="47">
        <v>1</v>
      </c>
      <c r="EL6" s="47">
        <v>1</v>
      </c>
      <c r="EM6" s="47">
        <v>1</v>
      </c>
      <c r="EN6" s="47">
        <v>1</v>
      </c>
      <c r="EO6" s="47">
        <v>1</v>
      </c>
      <c r="EP6" s="47">
        <v>1</v>
      </c>
      <c r="EQ6" s="47">
        <v>1</v>
      </c>
      <c r="ER6" s="47">
        <v>1</v>
      </c>
      <c r="ES6" s="47">
        <v>1</v>
      </c>
      <c r="ET6" s="47">
        <v>1</v>
      </c>
      <c r="EU6" s="47">
        <v>1</v>
      </c>
      <c r="EV6" s="47">
        <v>1</v>
      </c>
      <c r="EW6" s="47">
        <f t="shared" ref="EW6:EX6" si="74">SUM(EC6,EE6,EG6,EI6,EK6,EM6,EO6,EQ6,ES6,EU6)</f>
        <v>10</v>
      </c>
      <c r="EX6" s="47">
        <f t="shared" si="74"/>
        <v>10</v>
      </c>
      <c r="EY6" s="64" t="str">
        <f t="shared" ref="EY6:EZ6" si="75">A6</f>
        <v>Correa-Oliveira</v>
      </c>
      <c r="EZ6" s="65">
        <f t="shared" si="75"/>
        <v>2022</v>
      </c>
      <c r="FA6" s="23" t="str">
        <f t="shared" si="3"/>
        <v>Y</v>
      </c>
      <c r="FB6" s="23" t="str">
        <f t="shared" si="4"/>
        <v>Y</v>
      </c>
      <c r="FC6" s="23" t="str">
        <f t="shared" si="5"/>
        <v>Y</v>
      </c>
      <c r="FD6" s="23" t="str">
        <f t="shared" si="6"/>
        <v>Y</v>
      </c>
      <c r="FE6" s="23" t="str">
        <f t="shared" si="7"/>
        <v>Y</v>
      </c>
      <c r="FF6" s="23" t="str">
        <f t="shared" si="8"/>
        <v>Y</v>
      </c>
      <c r="FG6" s="23" t="str">
        <f t="shared" si="9"/>
        <v>Y</v>
      </c>
      <c r="FH6" s="23" t="str">
        <f t="shared" si="10"/>
        <v>Y</v>
      </c>
      <c r="FI6" s="23" t="str">
        <f t="shared" si="11"/>
        <v>Y</v>
      </c>
      <c r="FJ6" s="23" t="str">
        <f t="shared" si="12"/>
        <v>Y</v>
      </c>
      <c r="FK6" s="23" t="str">
        <f t="shared" si="13"/>
        <v>Y</v>
      </c>
      <c r="FL6" s="23" t="str">
        <f t="shared" si="14"/>
        <v>Y</v>
      </c>
      <c r="FM6" s="23" t="str">
        <f t="shared" si="15"/>
        <v>Y</v>
      </c>
      <c r="FN6" s="23" t="str">
        <f t="shared" si="16"/>
        <v>Y</v>
      </c>
      <c r="FO6" s="23" t="str">
        <f t="shared" si="17"/>
        <v>Y</v>
      </c>
      <c r="FP6" s="23" t="str">
        <f t="shared" si="18"/>
        <v>Y</v>
      </c>
      <c r="FQ6" s="23" t="str">
        <f t="shared" si="19"/>
        <v>Y</v>
      </c>
      <c r="FR6" s="23" t="str">
        <f t="shared" si="20"/>
        <v>Y</v>
      </c>
      <c r="FS6" s="23" t="str">
        <f t="shared" si="21"/>
        <v>Y</v>
      </c>
      <c r="FT6" s="23" t="str">
        <f t="shared" si="22"/>
        <v>Y</v>
      </c>
      <c r="FU6" s="23" t="str">
        <f t="shared" si="23"/>
        <v>Y</v>
      </c>
      <c r="FV6" s="23" t="str">
        <f t="shared" si="24"/>
        <v>Y</v>
      </c>
      <c r="FW6" s="23" t="str">
        <f t="shared" si="25"/>
        <v>Y</v>
      </c>
      <c r="FX6" s="23" t="str">
        <f t="shared" si="26"/>
        <v>Y</v>
      </c>
      <c r="FY6" s="23" t="str">
        <f t="shared" si="27"/>
        <v>Y</v>
      </c>
      <c r="FZ6" s="23" t="str">
        <f t="shared" si="28"/>
        <v>Y</v>
      </c>
      <c r="GA6" s="23" t="str">
        <f t="shared" si="29"/>
        <v>Y</v>
      </c>
      <c r="GB6" s="23" t="str">
        <f t="shared" si="30"/>
        <v>Y</v>
      </c>
      <c r="GC6" s="23" t="str">
        <f t="shared" si="31"/>
        <v>Y</v>
      </c>
      <c r="GD6" s="23" t="str">
        <f t="shared" si="32"/>
        <v>Y</v>
      </c>
      <c r="GE6" s="23" t="str">
        <f t="shared" si="33"/>
        <v>Y</v>
      </c>
      <c r="GF6" s="23" t="str">
        <f t="shared" si="34"/>
        <v>Y</v>
      </c>
      <c r="GG6" s="23" t="str">
        <f t="shared" si="35"/>
        <v>Y</v>
      </c>
      <c r="GH6" s="23" t="str">
        <f t="shared" si="36"/>
        <v>Y</v>
      </c>
      <c r="GI6" s="23" t="str">
        <f t="shared" si="37"/>
        <v>Y</v>
      </c>
      <c r="GJ6" s="23" t="str">
        <f t="shared" si="38"/>
        <v>Y</v>
      </c>
      <c r="GK6" s="23" t="str">
        <f t="shared" si="39"/>
        <v>Y</v>
      </c>
      <c r="GL6" s="23" t="str">
        <f t="shared" si="40"/>
        <v>Y</v>
      </c>
      <c r="GM6" s="23" t="str">
        <f t="shared" si="41"/>
        <v>Y</v>
      </c>
      <c r="GN6" s="23" t="str">
        <f t="shared" si="42"/>
        <v>Y</v>
      </c>
      <c r="GO6" s="23" t="str">
        <f t="shared" si="43"/>
        <v>Y</v>
      </c>
      <c r="GP6" s="23" t="str">
        <f t="shared" si="44"/>
        <v>Y</v>
      </c>
      <c r="GQ6" s="23" t="str">
        <f t="shared" si="45"/>
        <v>Y</v>
      </c>
      <c r="GR6" s="23" t="str">
        <f t="shared" si="46"/>
        <v>Y</v>
      </c>
      <c r="GS6" s="23" t="str">
        <f t="shared" si="47"/>
        <v>Y</v>
      </c>
      <c r="GT6" s="23" t="str">
        <f t="shared" si="48"/>
        <v>Y</v>
      </c>
      <c r="GU6" s="23" t="str">
        <f t="shared" si="49"/>
        <v>Y</v>
      </c>
      <c r="GV6" s="23" t="str">
        <f t="shared" si="50"/>
        <v>Y</v>
      </c>
      <c r="GW6" s="23" t="str">
        <f t="shared" si="51"/>
        <v>Y</v>
      </c>
      <c r="GX6" s="23" t="str">
        <f t="shared" si="52"/>
        <v>Y</v>
      </c>
      <c r="GY6" s="23" t="str">
        <f t="shared" si="53"/>
        <v>Y</v>
      </c>
      <c r="GZ6" s="23" t="str">
        <f t="shared" si="54"/>
        <v>Y</v>
      </c>
      <c r="HA6" s="23" t="str">
        <f t="shared" si="55"/>
        <v>Y</v>
      </c>
      <c r="HB6" s="23" t="str">
        <f t="shared" si="56"/>
        <v>Y</v>
      </c>
      <c r="HC6" s="23" t="str">
        <f t="shared" si="57"/>
        <v>Y</v>
      </c>
      <c r="HD6" s="23" t="str">
        <f t="shared" si="58"/>
        <v>Y</v>
      </c>
      <c r="HE6" s="23" t="str">
        <f t="shared" si="59"/>
        <v>Y</v>
      </c>
      <c r="HF6" s="23" t="str">
        <f t="shared" si="60"/>
        <v>Y</v>
      </c>
      <c r="HG6" s="23" t="str">
        <f t="shared" si="61"/>
        <v>Y</v>
      </c>
      <c r="HH6" s="23" t="str">
        <f t="shared" si="62"/>
        <v>Y</v>
      </c>
      <c r="HI6" s="23" t="str">
        <f t="shared" si="63"/>
        <v>Y</v>
      </c>
      <c r="HJ6" s="23" t="str">
        <f t="shared" si="64"/>
        <v>Y</v>
      </c>
      <c r="HK6" s="23" t="str">
        <f t="shared" si="65"/>
        <v>Y</v>
      </c>
      <c r="HL6" s="23" t="str">
        <f t="shared" si="66"/>
        <v>Y</v>
      </c>
      <c r="HM6" s="23" t="str">
        <f t="shared" si="67"/>
        <v>Y</v>
      </c>
      <c r="HN6" s="55" t="str">
        <f t="shared" si="68"/>
        <v>Y</v>
      </c>
      <c r="HO6" s="23">
        <v>1</v>
      </c>
      <c r="HP6" s="55">
        <v>1</v>
      </c>
    </row>
    <row r="7" spans="1:224" ht="30" customHeight="1">
      <c r="A7" s="46" t="s">
        <v>115</v>
      </c>
      <c r="B7" s="47">
        <v>2011</v>
      </c>
      <c r="C7" s="47">
        <v>152</v>
      </c>
      <c r="D7" s="47">
        <v>152</v>
      </c>
      <c r="E7" s="23">
        <v>99</v>
      </c>
      <c r="F7" s="47">
        <v>99</v>
      </c>
      <c r="G7" s="47">
        <v>27.2</v>
      </c>
      <c r="H7" s="47">
        <v>27.2</v>
      </c>
      <c r="I7" s="47">
        <v>30.4</v>
      </c>
      <c r="J7" s="47">
        <v>30.4</v>
      </c>
      <c r="K7" s="47" t="s">
        <v>66</v>
      </c>
      <c r="L7" s="23" t="s">
        <v>66</v>
      </c>
      <c r="M7" s="23">
        <v>156</v>
      </c>
      <c r="N7" s="23">
        <v>156</v>
      </c>
      <c r="O7" s="23">
        <v>52</v>
      </c>
      <c r="P7" s="23">
        <v>52</v>
      </c>
      <c r="Q7" s="23">
        <v>0</v>
      </c>
      <c r="R7" s="23">
        <v>0</v>
      </c>
      <c r="S7" s="23">
        <v>147</v>
      </c>
      <c r="T7" s="23">
        <v>147</v>
      </c>
      <c r="U7" s="47">
        <v>351</v>
      </c>
      <c r="V7" s="47">
        <v>351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23" t="s">
        <v>104</v>
      </c>
      <c r="AD7" s="23" t="s">
        <v>105</v>
      </c>
      <c r="AE7" s="47" t="s">
        <v>105</v>
      </c>
      <c r="AF7" s="47" t="s">
        <v>90</v>
      </c>
      <c r="AG7" s="47" t="s">
        <v>91</v>
      </c>
      <c r="AH7" s="47" t="s">
        <v>91</v>
      </c>
      <c r="AI7" s="47" t="s">
        <v>92</v>
      </c>
      <c r="AJ7" s="47" t="s">
        <v>92</v>
      </c>
      <c r="AK7" s="47" t="s">
        <v>92</v>
      </c>
      <c r="AL7" s="47" t="s">
        <v>92</v>
      </c>
      <c r="AM7" s="47">
        <v>351</v>
      </c>
      <c r="AN7" s="47">
        <v>351</v>
      </c>
      <c r="AO7" s="47">
        <v>0</v>
      </c>
      <c r="AP7" s="47">
        <v>0</v>
      </c>
      <c r="AQ7" s="47">
        <v>0</v>
      </c>
      <c r="AR7" s="47">
        <v>0</v>
      </c>
      <c r="AS7" s="48" t="s">
        <v>66</v>
      </c>
      <c r="AT7" s="49" t="s">
        <v>66</v>
      </c>
      <c r="AU7" s="48" t="s">
        <v>66</v>
      </c>
      <c r="AV7" s="49" t="s">
        <v>66</v>
      </c>
      <c r="AW7" s="48" t="s">
        <v>66</v>
      </c>
      <c r="AX7" s="49" t="s">
        <v>66</v>
      </c>
      <c r="AY7" s="47">
        <v>351</v>
      </c>
      <c r="AZ7" s="47">
        <v>351</v>
      </c>
      <c r="BA7" s="47">
        <v>134</v>
      </c>
      <c r="BB7" s="47">
        <v>134</v>
      </c>
      <c r="BC7" s="47">
        <f t="shared" si="0"/>
        <v>134</v>
      </c>
      <c r="BD7" s="50">
        <v>134</v>
      </c>
      <c r="BE7" s="50">
        <v>0</v>
      </c>
      <c r="BF7" s="50">
        <v>0</v>
      </c>
      <c r="BG7" s="47" t="s">
        <v>106</v>
      </c>
      <c r="BH7" s="47" t="s">
        <v>106</v>
      </c>
      <c r="BI7" s="47" t="s">
        <v>94</v>
      </c>
      <c r="BJ7" s="47" t="s">
        <v>94</v>
      </c>
      <c r="BK7" s="47">
        <v>134</v>
      </c>
      <c r="BL7" s="47">
        <f t="shared" si="71"/>
        <v>134</v>
      </c>
      <c r="BM7" s="48" t="s">
        <v>94</v>
      </c>
      <c r="BN7" s="47" t="s">
        <v>94</v>
      </c>
      <c r="BO7" s="48" t="s">
        <v>94</v>
      </c>
      <c r="BP7" s="47" t="s">
        <v>94</v>
      </c>
      <c r="BQ7" s="48">
        <v>134</v>
      </c>
      <c r="BR7" s="47">
        <v>134</v>
      </c>
      <c r="BS7" s="48" t="s">
        <v>94</v>
      </c>
      <c r="BT7" s="47" t="s">
        <v>94</v>
      </c>
      <c r="BU7" s="48" t="s">
        <v>94</v>
      </c>
      <c r="BV7" s="47" t="s">
        <v>94</v>
      </c>
      <c r="BW7" s="48" t="s">
        <v>94</v>
      </c>
      <c r="BX7" s="47" t="s">
        <v>94</v>
      </c>
      <c r="BY7" s="48" t="s">
        <v>94</v>
      </c>
      <c r="BZ7" s="47" t="s">
        <v>94</v>
      </c>
      <c r="CA7" s="48" t="s">
        <v>94</v>
      </c>
      <c r="CB7" s="47" t="s">
        <v>94</v>
      </c>
      <c r="CC7" s="48" t="s">
        <v>94</v>
      </c>
      <c r="CD7" s="47" t="s">
        <v>94</v>
      </c>
      <c r="CE7" s="48" t="s">
        <v>94</v>
      </c>
      <c r="CF7" s="47" t="s">
        <v>94</v>
      </c>
      <c r="CG7" s="48" t="s">
        <v>94</v>
      </c>
      <c r="CH7" s="47" t="s">
        <v>94</v>
      </c>
      <c r="CI7" s="48" t="s">
        <v>94</v>
      </c>
      <c r="CJ7" s="47" t="s">
        <v>94</v>
      </c>
      <c r="CK7" s="48" t="s">
        <v>94</v>
      </c>
      <c r="CL7" s="47" t="s">
        <v>94</v>
      </c>
      <c r="CM7" s="48" t="s">
        <v>94</v>
      </c>
      <c r="CN7" s="47" t="s">
        <v>94</v>
      </c>
      <c r="CO7" s="48" t="s">
        <v>94</v>
      </c>
      <c r="CP7" s="47" t="s">
        <v>94</v>
      </c>
      <c r="CQ7" s="48" t="s">
        <v>94</v>
      </c>
      <c r="CR7" s="47" t="s">
        <v>94</v>
      </c>
      <c r="CS7" s="48" t="s">
        <v>94</v>
      </c>
      <c r="CT7" s="47" t="s">
        <v>94</v>
      </c>
      <c r="CU7" s="47" t="s">
        <v>66</v>
      </c>
      <c r="CV7" s="47" t="s">
        <v>66</v>
      </c>
      <c r="CW7" s="47" t="s">
        <v>66</v>
      </c>
      <c r="CX7" s="47" t="s">
        <v>66</v>
      </c>
      <c r="CY7" s="47" t="s">
        <v>66</v>
      </c>
      <c r="CZ7" s="47" t="s">
        <v>66</v>
      </c>
      <c r="DA7" s="47" t="s">
        <v>66</v>
      </c>
      <c r="DB7" s="47" t="s">
        <v>66</v>
      </c>
      <c r="DC7" s="47" t="s">
        <v>66</v>
      </c>
      <c r="DD7" s="47" t="s">
        <v>66</v>
      </c>
      <c r="DE7" s="47" t="s">
        <v>66</v>
      </c>
      <c r="DF7" s="47" t="s">
        <v>66</v>
      </c>
      <c r="DG7" s="47" t="s">
        <v>96</v>
      </c>
      <c r="DH7" s="47" t="s">
        <v>96</v>
      </c>
      <c r="DI7" s="47" t="s">
        <v>96</v>
      </c>
      <c r="DJ7" s="47" t="s">
        <v>96</v>
      </c>
      <c r="DK7" s="47" t="s">
        <v>92</v>
      </c>
      <c r="DL7" s="47" t="s">
        <v>92</v>
      </c>
      <c r="DM7" s="47" t="s">
        <v>66</v>
      </c>
      <c r="DN7" s="47" t="s">
        <v>66</v>
      </c>
      <c r="DO7" s="47" t="s">
        <v>66</v>
      </c>
      <c r="DP7" s="47" t="s">
        <v>66</v>
      </c>
      <c r="DQ7" s="47" t="s">
        <v>66</v>
      </c>
      <c r="DR7" s="23" t="s">
        <v>66</v>
      </c>
      <c r="DS7" s="47" t="s">
        <v>66</v>
      </c>
      <c r="DT7" s="47" t="s">
        <v>66</v>
      </c>
      <c r="DU7" s="47" t="s">
        <v>66</v>
      </c>
      <c r="DV7" s="47" t="s">
        <v>66</v>
      </c>
      <c r="DW7" s="47" t="s">
        <v>97</v>
      </c>
      <c r="DX7" s="47" t="s">
        <v>97</v>
      </c>
      <c r="DY7" s="47" t="s">
        <v>107</v>
      </c>
      <c r="DZ7" s="47" t="s">
        <v>107</v>
      </c>
      <c r="EA7" s="47" t="s">
        <v>108</v>
      </c>
      <c r="EB7" s="47" t="s">
        <v>108</v>
      </c>
      <c r="EC7" s="47">
        <v>1</v>
      </c>
      <c r="ED7" s="47">
        <v>1</v>
      </c>
      <c r="EE7" s="47">
        <v>0</v>
      </c>
      <c r="EF7" s="47">
        <v>0</v>
      </c>
      <c r="EG7" s="47">
        <v>1</v>
      </c>
      <c r="EH7" s="47">
        <v>1</v>
      </c>
      <c r="EI7" s="47">
        <v>1</v>
      </c>
      <c r="EJ7" s="47">
        <v>1</v>
      </c>
      <c r="EK7" s="47">
        <v>1</v>
      </c>
      <c r="EL7" s="47">
        <v>1</v>
      </c>
      <c r="EM7" s="47">
        <v>1</v>
      </c>
      <c r="EN7" s="47">
        <v>1</v>
      </c>
      <c r="EO7" s="47">
        <v>1</v>
      </c>
      <c r="EP7" s="47">
        <v>1</v>
      </c>
      <c r="EQ7" s="47">
        <v>1</v>
      </c>
      <c r="ER7" s="47">
        <v>1</v>
      </c>
      <c r="ES7" s="47">
        <v>1</v>
      </c>
      <c r="ET7" s="47">
        <v>1</v>
      </c>
      <c r="EU7" s="47">
        <v>1</v>
      </c>
      <c r="EV7" s="47">
        <v>1</v>
      </c>
      <c r="EW7" s="47">
        <f t="shared" ref="EW7:EX7" si="76">SUM(EC7,EE7,EG7,EI7,EK7,EM7,EO7,EQ7,ES7,EU7)</f>
        <v>9</v>
      </c>
      <c r="EX7" s="47">
        <f t="shared" si="76"/>
        <v>9</v>
      </c>
      <c r="EY7" s="64" t="str">
        <f t="shared" ref="EY7:EZ7" si="77">A7</f>
        <v>Drake</v>
      </c>
      <c r="EZ7" s="65">
        <f t="shared" si="77"/>
        <v>2011</v>
      </c>
      <c r="FA7" s="23" t="str">
        <f t="shared" si="3"/>
        <v>Y</v>
      </c>
      <c r="FB7" s="23" t="str">
        <f t="shared" si="4"/>
        <v>Y</v>
      </c>
      <c r="FC7" s="23" t="str">
        <f t="shared" si="5"/>
        <v>Y</v>
      </c>
      <c r="FD7" s="23" t="str">
        <f t="shared" si="6"/>
        <v>Y</v>
      </c>
      <c r="FE7" s="23" t="str">
        <f t="shared" si="7"/>
        <v>Y</v>
      </c>
      <c r="FF7" s="23" t="str">
        <f t="shared" si="8"/>
        <v>Y</v>
      </c>
      <c r="FG7" s="23" t="str">
        <f t="shared" si="9"/>
        <v>Y</v>
      </c>
      <c r="FH7" s="23" t="str">
        <f t="shared" si="10"/>
        <v>Y</v>
      </c>
      <c r="FI7" s="23" t="str">
        <f t="shared" si="11"/>
        <v>Y</v>
      </c>
      <c r="FJ7" s="23" t="str">
        <f t="shared" si="12"/>
        <v>Y</v>
      </c>
      <c r="FK7" s="23" t="str">
        <f t="shared" si="13"/>
        <v>Y</v>
      </c>
      <c r="FL7" s="23" t="str">
        <f t="shared" si="14"/>
        <v>Y</v>
      </c>
      <c r="FM7" s="23" t="str">
        <f t="shared" si="15"/>
        <v>Y</v>
      </c>
      <c r="FN7" s="23" t="str">
        <f t="shared" si="16"/>
        <v>Y</v>
      </c>
      <c r="FO7" s="23" t="str">
        <f t="shared" si="17"/>
        <v>Y</v>
      </c>
      <c r="FP7" s="23" t="str">
        <f t="shared" si="18"/>
        <v>Y</v>
      </c>
      <c r="FQ7" s="23" t="str">
        <f t="shared" si="19"/>
        <v>Y</v>
      </c>
      <c r="FR7" s="23" t="str">
        <f t="shared" si="20"/>
        <v>Y</v>
      </c>
      <c r="FS7" s="23" t="str">
        <f t="shared" si="21"/>
        <v>Y</v>
      </c>
      <c r="FT7" s="23" t="str">
        <f t="shared" si="22"/>
        <v>Y</v>
      </c>
      <c r="FU7" s="23" t="str">
        <f t="shared" si="23"/>
        <v>Y</v>
      </c>
      <c r="FV7" s="23" t="str">
        <f t="shared" si="24"/>
        <v>Y</v>
      </c>
      <c r="FW7" s="23" t="str">
        <f t="shared" si="25"/>
        <v>Y</v>
      </c>
      <c r="FX7" s="23" t="str">
        <f t="shared" si="26"/>
        <v>Y</v>
      </c>
      <c r="FY7" s="23" t="str">
        <f t="shared" si="27"/>
        <v>Y</v>
      </c>
      <c r="FZ7" s="23" t="str">
        <f t="shared" si="28"/>
        <v>Y</v>
      </c>
      <c r="GA7" s="23" t="str">
        <f t="shared" si="29"/>
        <v>Y</v>
      </c>
      <c r="GB7" s="23" t="str">
        <f t="shared" si="30"/>
        <v>Y</v>
      </c>
      <c r="GC7" s="23" t="str">
        <f t="shared" si="31"/>
        <v>Y</v>
      </c>
      <c r="GD7" s="23" t="str">
        <f t="shared" si="32"/>
        <v>Y</v>
      </c>
      <c r="GE7" s="23" t="str">
        <f t="shared" si="33"/>
        <v>Y</v>
      </c>
      <c r="GF7" s="23" t="str">
        <f t="shared" si="34"/>
        <v>Y</v>
      </c>
      <c r="GG7" s="23" t="str">
        <f t="shared" si="35"/>
        <v>Y</v>
      </c>
      <c r="GH7" s="23" t="str">
        <f t="shared" si="36"/>
        <v>Y</v>
      </c>
      <c r="GI7" s="23" t="str">
        <f t="shared" si="37"/>
        <v>Y</v>
      </c>
      <c r="GJ7" s="23" t="str">
        <f t="shared" si="38"/>
        <v>Y</v>
      </c>
      <c r="GK7" s="23" t="str">
        <f t="shared" si="39"/>
        <v>Y</v>
      </c>
      <c r="GL7" s="23" t="str">
        <f t="shared" si="40"/>
        <v>Y</v>
      </c>
      <c r="GM7" s="23" t="str">
        <f t="shared" si="41"/>
        <v>Y</v>
      </c>
      <c r="GN7" s="23" t="str">
        <f t="shared" si="42"/>
        <v>Y</v>
      </c>
      <c r="GO7" s="23" t="str">
        <f t="shared" si="43"/>
        <v>Y</v>
      </c>
      <c r="GP7" s="23" t="str">
        <f t="shared" si="44"/>
        <v>Y</v>
      </c>
      <c r="GQ7" s="23" t="str">
        <f t="shared" si="45"/>
        <v>Y</v>
      </c>
      <c r="GR7" s="23" t="str">
        <f t="shared" si="46"/>
        <v>Y</v>
      </c>
      <c r="GS7" s="23" t="str">
        <f t="shared" si="47"/>
        <v>Y</v>
      </c>
      <c r="GT7" s="23" t="str">
        <f t="shared" si="48"/>
        <v>Y</v>
      </c>
      <c r="GU7" s="23" t="str">
        <f t="shared" si="49"/>
        <v>Y</v>
      </c>
      <c r="GV7" s="23" t="str">
        <f t="shared" si="50"/>
        <v>Y</v>
      </c>
      <c r="GW7" s="23" t="str">
        <f t="shared" si="51"/>
        <v>Y</v>
      </c>
      <c r="GX7" s="23" t="str">
        <f t="shared" si="52"/>
        <v>Y</v>
      </c>
      <c r="GY7" s="23" t="str">
        <f t="shared" si="53"/>
        <v>Y</v>
      </c>
      <c r="GZ7" s="23" t="str">
        <f t="shared" si="54"/>
        <v>Y</v>
      </c>
      <c r="HA7" s="23" t="str">
        <f t="shared" si="55"/>
        <v>Y</v>
      </c>
      <c r="HB7" s="23" t="str">
        <f t="shared" si="56"/>
        <v>Y</v>
      </c>
      <c r="HC7" s="23" t="str">
        <f t="shared" si="57"/>
        <v>Y</v>
      </c>
      <c r="HD7" s="23" t="str">
        <f t="shared" si="58"/>
        <v>Y</v>
      </c>
      <c r="HE7" s="23" t="str">
        <f t="shared" si="59"/>
        <v>Y</v>
      </c>
      <c r="HF7" s="23" t="str">
        <f t="shared" si="60"/>
        <v>Y</v>
      </c>
      <c r="HG7" s="23" t="str">
        <f t="shared" si="61"/>
        <v>Y</v>
      </c>
      <c r="HH7" s="23" t="str">
        <f t="shared" si="62"/>
        <v>Y</v>
      </c>
      <c r="HI7" s="23" t="str">
        <f t="shared" si="63"/>
        <v>Y</v>
      </c>
      <c r="HJ7" s="23" t="str">
        <f t="shared" si="64"/>
        <v>Y</v>
      </c>
      <c r="HK7" s="23" t="str">
        <f t="shared" si="65"/>
        <v>Y</v>
      </c>
      <c r="HL7" s="23" t="str">
        <f t="shared" si="66"/>
        <v>Y</v>
      </c>
      <c r="HM7" s="23" t="str">
        <f t="shared" si="67"/>
        <v>Y</v>
      </c>
      <c r="HN7" s="55" t="str">
        <f t="shared" si="68"/>
        <v>Y</v>
      </c>
      <c r="HO7" s="23"/>
      <c r="HP7" s="55"/>
    </row>
    <row r="8" spans="1:224" ht="30" customHeight="1">
      <c r="A8" s="46" t="s">
        <v>116</v>
      </c>
      <c r="B8" s="47">
        <v>2020</v>
      </c>
      <c r="C8" s="47">
        <v>32</v>
      </c>
      <c r="D8" s="47">
        <v>32</v>
      </c>
      <c r="E8" s="23">
        <v>44</v>
      </c>
      <c r="F8" s="47">
        <v>44</v>
      </c>
      <c r="G8" s="47" t="s">
        <v>66</v>
      </c>
      <c r="H8" s="47" t="s">
        <v>66</v>
      </c>
      <c r="I8" s="47" t="s">
        <v>66</v>
      </c>
      <c r="J8" s="47" t="s">
        <v>66</v>
      </c>
      <c r="K8" s="47">
        <v>37.22</v>
      </c>
      <c r="L8" s="23">
        <v>37.22</v>
      </c>
      <c r="M8" s="23" t="s">
        <v>66</v>
      </c>
      <c r="N8" s="23" t="s">
        <v>66</v>
      </c>
      <c r="O8" s="23" t="s">
        <v>66</v>
      </c>
      <c r="P8" s="23" t="s">
        <v>66</v>
      </c>
      <c r="Q8" s="23" t="s">
        <v>66</v>
      </c>
      <c r="R8" s="23" t="s">
        <v>66</v>
      </c>
      <c r="S8" s="23" t="s">
        <v>66</v>
      </c>
      <c r="T8" s="23" t="s">
        <v>66</v>
      </c>
      <c r="U8" s="47">
        <v>0</v>
      </c>
      <c r="V8" s="47">
        <v>0</v>
      </c>
      <c r="W8" s="47">
        <v>76</v>
      </c>
      <c r="X8" s="47">
        <v>76</v>
      </c>
      <c r="Y8" s="47">
        <v>0</v>
      </c>
      <c r="Z8" s="47">
        <v>0</v>
      </c>
      <c r="AA8" s="47">
        <v>0</v>
      </c>
      <c r="AB8" s="47">
        <v>0</v>
      </c>
      <c r="AC8" s="23" t="s">
        <v>88</v>
      </c>
      <c r="AD8" s="23" t="s">
        <v>99</v>
      </c>
      <c r="AE8" s="47" t="s">
        <v>99</v>
      </c>
      <c r="AF8" s="47" t="s">
        <v>100</v>
      </c>
      <c r="AG8" s="47" t="s">
        <v>92</v>
      </c>
      <c r="AH8" s="47" t="s">
        <v>92</v>
      </c>
      <c r="AI8" s="47" t="s">
        <v>91</v>
      </c>
      <c r="AJ8" s="47" t="s">
        <v>91</v>
      </c>
      <c r="AK8" s="47" t="s">
        <v>91</v>
      </c>
      <c r="AL8" s="47" t="s">
        <v>91</v>
      </c>
      <c r="AM8" s="47">
        <v>15</v>
      </c>
      <c r="AN8" s="47">
        <v>15</v>
      </c>
      <c r="AO8" s="47">
        <v>61</v>
      </c>
      <c r="AP8" s="47">
        <v>61</v>
      </c>
      <c r="AQ8" s="47">
        <v>0</v>
      </c>
      <c r="AR8" s="47">
        <v>0</v>
      </c>
      <c r="AS8" s="48" t="s">
        <v>66</v>
      </c>
      <c r="AT8" s="49" t="s">
        <v>66</v>
      </c>
      <c r="AU8" s="48" t="s">
        <v>66</v>
      </c>
      <c r="AV8" s="49" t="s">
        <v>66</v>
      </c>
      <c r="AW8" s="48" t="s">
        <v>66</v>
      </c>
      <c r="AX8" s="49" t="s">
        <v>66</v>
      </c>
      <c r="AY8" s="47">
        <v>76</v>
      </c>
      <c r="AZ8" s="47">
        <v>76</v>
      </c>
      <c r="BA8" s="47">
        <v>4</v>
      </c>
      <c r="BB8" s="47">
        <v>4</v>
      </c>
      <c r="BC8" s="47">
        <v>3</v>
      </c>
      <c r="BD8" s="50">
        <v>1</v>
      </c>
      <c r="BE8" s="50">
        <v>2</v>
      </c>
      <c r="BF8" s="50">
        <v>1</v>
      </c>
      <c r="BG8" s="47" t="s">
        <v>93</v>
      </c>
      <c r="BH8" s="47" t="s">
        <v>93</v>
      </c>
      <c r="BI8" s="47">
        <v>2</v>
      </c>
      <c r="BJ8" s="47">
        <v>2</v>
      </c>
      <c r="BK8" s="47">
        <f t="shared" ref="BK8:BK9" si="78">BQ8+BS8</f>
        <v>1</v>
      </c>
      <c r="BL8" s="47">
        <v>1</v>
      </c>
      <c r="BM8" s="48">
        <v>2</v>
      </c>
      <c r="BN8" s="47">
        <v>2</v>
      </c>
      <c r="BO8" s="48">
        <v>0</v>
      </c>
      <c r="BP8" s="47">
        <v>0</v>
      </c>
      <c r="BQ8" s="48">
        <v>1</v>
      </c>
      <c r="BR8" s="47">
        <v>1</v>
      </c>
      <c r="BS8" s="48">
        <v>0</v>
      </c>
      <c r="BT8" s="47">
        <v>0</v>
      </c>
      <c r="BU8" s="48">
        <v>0</v>
      </c>
      <c r="BV8" s="47">
        <v>0</v>
      </c>
      <c r="BW8" s="48">
        <v>0</v>
      </c>
      <c r="BX8" s="47">
        <v>0</v>
      </c>
      <c r="BY8" s="48">
        <v>0</v>
      </c>
      <c r="BZ8" s="47">
        <v>0</v>
      </c>
      <c r="CA8" s="48">
        <v>0</v>
      </c>
      <c r="CB8" s="47">
        <v>0</v>
      </c>
      <c r="CC8" s="48">
        <v>0</v>
      </c>
      <c r="CD8" s="47">
        <v>0</v>
      </c>
      <c r="CE8" s="48">
        <v>0</v>
      </c>
      <c r="CF8" s="47">
        <v>0</v>
      </c>
      <c r="CG8" s="48">
        <v>0</v>
      </c>
      <c r="CH8" s="47">
        <v>0</v>
      </c>
      <c r="CI8" s="48">
        <v>0</v>
      </c>
      <c r="CJ8" s="47">
        <v>0</v>
      </c>
      <c r="CK8" s="48">
        <v>0</v>
      </c>
      <c r="CL8" s="47">
        <v>0</v>
      </c>
      <c r="CM8" s="48">
        <v>0</v>
      </c>
      <c r="CN8" s="47">
        <v>0</v>
      </c>
      <c r="CO8" s="48">
        <v>0</v>
      </c>
      <c r="CP8" s="47">
        <v>0</v>
      </c>
      <c r="CQ8" s="48">
        <v>0</v>
      </c>
      <c r="CR8" s="47">
        <v>0</v>
      </c>
      <c r="CS8" s="48">
        <v>0</v>
      </c>
      <c r="CT8" s="47">
        <v>0</v>
      </c>
      <c r="CU8" s="47" t="s">
        <v>96</v>
      </c>
      <c r="CV8" s="47" t="s">
        <v>96</v>
      </c>
      <c r="CW8" s="47" t="s">
        <v>66</v>
      </c>
      <c r="CX8" s="47" t="s">
        <v>66</v>
      </c>
      <c r="CY8" s="47" t="s">
        <v>66</v>
      </c>
      <c r="CZ8" s="47" t="s">
        <v>66</v>
      </c>
      <c r="DA8" s="47" t="s">
        <v>96</v>
      </c>
      <c r="DB8" s="47" t="s">
        <v>96</v>
      </c>
      <c r="DC8" s="47" t="s">
        <v>96</v>
      </c>
      <c r="DD8" s="47" t="s">
        <v>96</v>
      </c>
      <c r="DE8" s="47" t="s">
        <v>96</v>
      </c>
      <c r="DF8" s="47" t="s">
        <v>96</v>
      </c>
      <c r="DG8" s="47" t="s">
        <v>96</v>
      </c>
      <c r="DH8" s="47" t="s">
        <v>96</v>
      </c>
      <c r="DI8" s="47" t="s">
        <v>96</v>
      </c>
      <c r="DJ8" s="47" t="s">
        <v>96</v>
      </c>
      <c r="DK8" s="47" t="s">
        <v>66</v>
      </c>
      <c r="DL8" s="47" t="s">
        <v>66</v>
      </c>
      <c r="DM8" s="47" t="s">
        <v>66</v>
      </c>
      <c r="DN8" s="47" t="s">
        <v>66</v>
      </c>
      <c r="DO8" s="47" t="s">
        <v>66</v>
      </c>
      <c r="DP8" s="47" t="s">
        <v>66</v>
      </c>
      <c r="DQ8" s="47" t="s">
        <v>66</v>
      </c>
      <c r="DR8" s="23" t="s">
        <v>66</v>
      </c>
      <c r="DS8" s="47" t="s">
        <v>66</v>
      </c>
      <c r="DT8" s="47" t="s">
        <v>66</v>
      </c>
      <c r="DU8" s="47" t="s">
        <v>66</v>
      </c>
      <c r="DV8" s="47" t="s">
        <v>66</v>
      </c>
      <c r="DW8" s="47" t="s">
        <v>97</v>
      </c>
      <c r="DX8" s="47" t="s">
        <v>97</v>
      </c>
      <c r="DY8" s="47" t="s">
        <v>66</v>
      </c>
      <c r="DZ8" s="47" t="s">
        <v>66</v>
      </c>
      <c r="EA8" s="47" t="s">
        <v>102</v>
      </c>
      <c r="EB8" s="47" t="s">
        <v>102</v>
      </c>
      <c r="EC8" s="47">
        <v>1</v>
      </c>
      <c r="ED8" s="47">
        <v>1</v>
      </c>
      <c r="EE8" s="47">
        <v>1</v>
      </c>
      <c r="EF8" s="47">
        <v>1</v>
      </c>
      <c r="EG8" s="47">
        <v>1</v>
      </c>
      <c r="EH8" s="47">
        <v>1</v>
      </c>
      <c r="EI8" s="47">
        <v>1</v>
      </c>
      <c r="EJ8" s="47">
        <v>1</v>
      </c>
      <c r="EK8" s="47">
        <v>1</v>
      </c>
      <c r="EL8" s="47">
        <v>1</v>
      </c>
      <c r="EM8" s="47">
        <v>1</v>
      </c>
      <c r="EN8" s="47">
        <v>1</v>
      </c>
      <c r="EO8" s="47">
        <v>1</v>
      </c>
      <c r="EP8" s="47">
        <v>1</v>
      </c>
      <c r="EQ8" s="47">
        <v>1</v>
      </c>
      <c r="ER8" s="47">
        <v>1</v>
      </c>
      <c r="ES8" s="47">
        <v>1</v>
      </c>
      <c r="ET8" s="47">
        <v>1</v>
      </c>
      <c r="EU8" s="47">
        <v>1</v>
      </c>
      <c r="EV8" s="47">
        <v>1</v>
      </c>
      <c r="EW8" s="47">
        <f t="shared" ref="EW8:EX8" si="79">SUM(EC8,EE8,EG8,EI8,EK8,EM8,EO8,EQ8,ES8,EU8)</f>
        <v>10</v>
      </c>
      <c r="EX8" s="47">
        <f t="shared" si="79"/>
        <v>10</v>
      </c>
      <c r="EY8" s="64" t="str">
        <f t="shared" ref="EY8:EZ8" si="80">A8</f>
        <v>Endres</v>
      </c>
      <c r="EZ8" s="65">
        <f t="shared" si="80"/>
        <v>2020</v>
      </c>
      <c r="FA8" s="23" t="str">
        <f t="shared" si="3"/>
        <v>Y</v>
      </c>
      <c r="FB8" s="23" t="str">
        <f t="shared" si="4"/>
        <v>Y</v>
      </c>
      <c r="FC8" s="23" t="str">
        <f t="shared" si="5"/>
        <v>Y</v>
      </c>
      <c r="FD8" s="23" t="str">
        <f t="shared" si="6"/>
        <v>Y</v>
      </c>
      <c r="FE8" s="23" t="str">
        <f t="shared" si="7"/>
        <v>Y</v>
      </c>
      <c r="FF8" s="23" t="str">
        <f t="shared" si="8"/>
        <v>Y</v>
      </c>
      <c r="FG8" s="23" t="str">
        <f t="shared" si="9"/>
        <v>Y</v>
      </c>
      <c r="FH8" s="23" t="str">
        <f t="shared" si="10"/>
        <v>Y</v>
      </c>
      <c r="FI8" s="23" t="str">
        <f t="shared" si="11"/>
        <v>Y</v>
      </c>
      <c r="FJ8" s="23" t="str">
        <f t="shared" si="12"/>
        <v>Y</v>
      </c>
      <c r="FK8" s="23" t="str">
        <f t="shared" si="13"/>
        <v>Y</v>
      </c>
      <c r="FL8" s="23" t="str">
        <f t="shared" si="14"/>
        <v>Y</v>
      </c>
      <c r="FM8" s="23" t="str">
        <f t="shared" si="15"/>
        <v>Y</v>
      </c>
      <c r="FN8" s="23" t="str">
        <f t="shared" si="16"/>
        <v>Y</v>
      </c>
      <c r="FO8" s="23" t="str">
        <f t="shared" si="17"/>
        <v>Y</v>
      </c>
      <c r="FP8" s="23" t="str">
        <f t="shared" si="18"/>
        <v>Y</v>
      </c>
      <c r="FQ8" s="23" t="str">
        <f t="shared" si="19"/>
        <v>Y</v>
      </c>
      <c r="FR8" s="23" t="str">
        <f t="shared" si="20"/>
        <v>Y</v>
      </c>
      <c r="FS8" s="23" t="str">
        <f t="shared" si="21"/>
        <v>Y</v>
      </c>
      <c r="FT8" s="23" t="str">
        <f t="shared" si="22"/>
        <v>Y</v>
      </c>
      <c r="FU8" s="23" t="str">
        <f t="shared" si="23"/>
        <v>Y</v>
      </c>
      <c r="FV8" s="23" t="str">
        <f t="shared" si="24"/>
        <v>Y</v>
      </c>
      <c r="FW8" s="23" t="str">
        <f t="shared" si="25"/>
        <v>Y</v>
      </c>
      <c r="FX8" s="23" t="str">
        <f t="shared" si="26"/>
        <v>Y</v>
      </c>
      <c r="FY8" s="23" t="str">
        <f t="shared" si="27"/>
        <v>Y</v>
      </c>
      <c r="FZ8" s="23" t="str">
        <f t="shared" si="28"/>
        <v>Y</v>
      </c>
      <c r="GA8" s="23" t="str">
        <f t="shared" si="29"/>
        <v>Y</v>
      </c>
      <c r="GB8" s="23" t="str">
        <f t="shared" si="30"/>
        <v>Y</v>
      </c>
      <c r="GC8" s="23" t="str">
        <f t="shared" si="31"/>
        <v>Y</v>
      </c>
      <c r="GD8" s="23" t="str">
        <f t="shared" si="32"/>
        <v>Y</v>
      </c>
      <c r="GE8" s="23" t="str">
        <f t="shared" si="33"/>
        <v>Y</v>
      </c>
      <c r="GF8" s="23" t="str">
        <f t="shared" si="34"/>
        <v>Y</v>
      </c>
      <c r="GG8" s="23" t="str">
        <f t="shared" si="35"/>
        <v>Y</v>
      </c>
      <c r="GH8" s="23" t="str">
        <f t="shared" si="36"/>
        <v>Y</v>
      </c>
      <c r="GI8" s="23" t="str">
        <f t="shared" si="37"/>
        <v>Y</v>
      </c>
      <c r="GJ8" s="23" t="str">
        <f t="shared" si="38"/>
        <v>Y</v>
      </c>
      <c r="GK8" s="23" t="str">
        <f t="shared" si="39"/>
        <v>Y</v>
      </c>
      <c r="GL8" s="23" t="str">
        <f t="shared" si="40"/>
        <v>Y</v>
      </c>
      <c r="GM8" s="23" t="str">
        <f t="shared" si="41"/>
        <v>Y</v>
      </c>
      <c r="GN8" s="23" t="str">
        <f t="shared" si="42"/>
        <v>Y</v>
      </c>
      <c r="GO8" s="23" t="str">
        <f t="shared" si="43"/>
        <v>Y</v>
      </c>
      <c r="GP8" s="23" t="str">
        <f t="shared" si="44"/>
        <v>Y</v>
      </c>
      <c r="GQ8" s="23" t="str">
        <f t="shared" si="45"/>
        <v>Y</v>
      </c>
      <c r="GR8" s="23" t="str">
        <f t="shared" si="46"/>
        <v>Y</v>
      </c>
      <c r="GS8" s="23" t="str">
        <f t="shared" si="47"/>
        <v>Y</v>
      </c>
      <c r="GT8" s="23" t="str">
        <f t="shared" si="48"/>
        <v>Y</v>
      </c>
      <c r="GU8" s="23" t="str">
        <f t="shared" si="49"/>
        <v>Y</v>
      </c>
      <c r="GV8" s="23" t="str">
        <f t="shared" si="50"/>
        <v>Y</v>
      </c>
      <c r="GW8" s="23" t="str">
        <f t="shared" si="51"/>
        <v>Y</v>
      </c>
      <c r="GX8" s="23" t="str">
        <f t="shared" si="52"/>
        <v>Y</v>
      </c>
      <c r="GY8" s="23" t="str">
        <f t="shared" si="53"/>
        <v>Y</v>
      </c>
      <c r="GZ8" s="23" t="str">
        <f t="shared" si="54"/>
        <v>Y</v>
      </c>
      <c r="HA8" s="23" t="str">
        <f t="shared" si="55"/>
        <v>Y</v>
      </c>
      <c r="HB8" s="23" t="str">
        <f t="shared" si="56"/>
        <v>Y</v>
      </c>
      <c r="HC8" s="23" t="str">
        <f t="shared" si="57"/>
        <v>Y</v>
      </c>
      <c r="HD8" s="23" t="str">
        <f t="shared" si="58"/>
        <v>Y</v>
      </c>
      <c r="HE8" s="23" t="str">
        <f t="shared" si="59"/>
        <v>Y</v>
      </c>
      <c r="HF8" s="23" t="str">
        <f t="shared" si="60"/>
        <v>Y</v>
      </c>
      <c r="HG8" s="23" t="str">
        <f t="shared" si="61"/>
        <v>Y</v>
      </c>
      <c r="HH8" s="23" t="str">
        <f t="shared" si="62"/>
        <v>Y</v>
      </c>
      <c r="HI8" s="23" t="str">
        <f t="shared" si="63"/>
        <v>Y</v>
      </c>
      <c r="HJ8" s="23" t="str">
        <f t="shared" si="64"/>
        <v>Y</v>
      </c>
      <c r="HK8" s="23" t="str">
        <f t="shared" si="65"/>
        <v>Y</v>
      </c>
      <c r="HL8" s="23" t="str">
        <f t="shared" si="66"/>
        <v>Y</v>
      </c>
      <c r="HM8" s="23" t="str">
        <f t="shared" si="67"/>
        <v>Y</v>
      </c>
      <c r="HN8" s="55" t="str">
        <f t="shared" si="68"/>
        <v>Y</v>
      </c>
      <c r="HO8" s="23"/>
      <c r="HP8" s="55"/>
    </row>
    <row r="9" spans="1:224" ht="30" customHeight="1">
      <c r="A9" s="46" t="s">
        <v>117</v>
      </c>
      <c r="B9" s="47">
        <v>2018</v>
      </c>
      <c r="C9" s="47">
        <v>95</v>
      </c>
      <c r="D9" s="47">
        <v>95</v>
      </c>
      <c r="E9" s="23">
        <v>64</v>
      </c>
      <c r="F9" s="47">
        <v>64</v>
      </c>
      <c r="G9" s="47">
        <v>28.7</v>
      </c>
      <c r="H9" s="47">
        <v>28.7</v>
      </c>
      <c r="I9" s="47">
        <v>36.700000000000003</v>
      </c>
      <c r="J9" s="47">
        <v>36.700000000000003</v>
      </c>
      <c r="K9" s="47">
        <v>34.299999999999997</v>
      </c>
      <c r="L9" s="23">
        <v>34.299999999999997</v>
      </c>
      <c r="M9" s="23">
        <v>142</v>
      </c>
      <c r="N9" s="23">
        <v>142</v>
      </c>
      <c r="O9" s="23">
        <v>5</v>
      </c>
      <c r="P9" s="23">
        <v>5</v>
      </c>
      <c r="Q9" s="23">
        <v>7</v>
      </c>
      <c r="R9" s="23">
        <v>7</v>
      </c>
      <c r="S9" s="23">
        <v>5</v>
      </c>
      <c r="T9" s="23">
        <v>5</v>
      </c>
      <c r="U9" s="47">
        <v>159</v>
      </c>
      <c r="V9" s="47">
        <v>159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23" t="s">
        <v>104</v>
      </c>
      <c r="AD9" s="23" t="s">
        <v>118</v>
      </c>
      <c r="AE9" s="47" t="s">
        <v>118</v>
      </c>
      <c r="AF9" s="47" t="s">
        <v>119</v>
      </c>
      <c r="AG9" s="47" t="s">
        <v>92</v>
      </c>
      <c r="AH9" s="47" t="s">
        <v>92</v>
      </c>
      <c r="AI9" s="47" t="s">
        <v>91</v>
      </c>
      <c r="AJ9" s="47" t="s">
        <v>91</v>
      </c>
      <c r="AK9" s="47" t="s">
        <v>92</v>
      </c>
      <c r="AL9" s="47" t="s">
        <v>92</v>
      </c>
      <c r="AM9" s="47">
        <v>159</v>
      </c>
      <c r="AN9" s="47">
        <v>159</v>
      </c>
      <c r="AO9" s="47">
        <v>0</v>
      </c>
      <c r="AP9" s="47">
        <v>0</v>
      </c>
      <c r="AQ9" s="47">
        <v>0</v>
      </c>
      <c r="AR9" s="47">
        <v>0</v>
      </c>
      <c r="AS9" s="48">
        <v>16.600000000000001</v>
      </c>
      <c r="AT9" s="49">
        <v>16.600000000000001</v>
      </c>
      <c r="AU9" s="48">
        <v>37.799999999999997</v>
      </c>
      <c r="AV9" s="49" t="s">
        <v>66</v>
      </c>
      <c r="AW9" s="48"/>
      <c r="AX9" s="49" t="s">
        <v>66</v>
      </c>
      <c r="AY9" s="47">
        <v>159</v>
      </c>
      <c r="AZ9" s="47">
        <v>159</v>
      </c>
      <c r="BA9" s="47">
        <v>124</v>
      </c>
      <c r="BB9" s="47">
        <v>124</v>
      </c>
      <c r="BC9" s="47">
        <f t="shared" ref="BC9:BC38" si="81">BD9+BE9</f>
        <v>124</v>
      </c>
      <c r="BD9" s="47">
        <v>123</v>
      </c>
      <c r="BE9" s="47">
        <v>1</v>
      </c>
      <c r="BF9" s="47">
        <v>0</v>
      </c>
      <c r="BG9" s="47" t="s">
        <v>93</v>
      </c>
      <c r="BH9" s="47" t="s">
        <v>93</v>
      </c>
      <c r="BI9" s="47">
        <v>87</v>
      </c>
      <c r="BJ9" s="47">
        <f>SUM(BN9,BP9,BV9,BX9,BZ9,CB9,CD9,CF9,CH9,CJ9,CP9,CR9)</f>
        <v>87</v>
      </c>
      <c r="BK9" s="47">
        <f t="shared" si="78"/>
        <v>37</v>
      </c>
      <c r="BL9" s="47">
        <f>SUM(BR9,BT9)</f>
        <v>37</v>
      </c>
      <c r="BM9" s="48">
        <v>0</v>
      </c>
      <c r="BN9" s="47">
        <v>0</v>
      </c>
      <c r="BO9" s="48">
        <v>0</v>
      </c>
      <c r="BP9" s="47">
        <v>0</v>
      </c>
      <c r="BQ9" s="48">
        <v>37</v>
      </c>
      <c r="BR9" s="47">
        <v>37</v>
      </c>
      <c r="BS9" s="48">
        <v>0</v>
      </c>
      <c r="BT9" s="47">
        <v>0</v>
      </c>
      <c r="BU9" s="48">
        <v>2</v>
      </c>
      <c r="BV9" s="47">
        <v>2</v>
      </c>
      <c r="BW9" s="48">
        <v>0</v>
      </c>
      <c r="BX9" s="47">
        <v>0</v>
      </c>
      <c r="BY9" s="48">
        <v>4</v>
      </c>
      <c r="BZ9" s="47">
        <v>4</v>
      </c>
      <c r="CA9" s="48">
        <v>0</v>
      </c>
      <c r="CB9" s="47">
        <v>0</v>
      </c>
      <c r="CC9" s="48">
        <v>75</v>
      </c>
      <c r="CD9" s="47">
        <v>75</v>
      </c>
      <c r="CE9" s="48">
        <v>0</v>
      </c>
      <c r="CF9" s="47">
        <v>0</v>
      </c>
      <c r="CG9" s="48">
        <v>0</v>
      </c>
      <c r="CH9" s="47">
        <v>0</v>
      </c>
      <c r="CI9" s="48">
        <v>3</v>
      </c>
      <c r="CJ9" s="47">
        <v>3</v>
      </c>
      <c r="CK9" s="48">
        <v>0</v>
      </c>
      <c r="CL9" s="47">
        <v>0</v>
      </c>
      <c r="CM9" s="48">
        <v>0</v>
      </c>
      <c r="CN9" s="47">
        <v>0</v>
      </c>
      <c r="CO9" s="48">
        <v>2</v>
      </c>
      <c r="CP9" s="47">
        <v>2</v>
      </c>
      <c r="CQ9" s="48">
        <v>1</v>
      </c>
      <c r="CR9" s="47">
        <v>1</v>
      </c>
      <c r="CS9" s="48">
        <v>0</v>
      </c>
      <c r="CT9" s="47">
        <v>0</v>
      </c>
      <c r="CU9" s="47" t="s">
        <v>66</v>
      </c>
      <c r="CV9" s="47" t="s">
        <v>66</v>
      </c>
      <c r="CW9" s="47" t="s">
        <v>120</v>
      </c>
      <c r="CX9" s="47" t="s">
        <v>120</v>
      </c>
      <c r="CY9" s="47" t="s">
        <v>120</v>
      </c>
      <c r="CZ9" s="47" t="s">
        <v>120</v>
      </c>
      <c r="DA9" s="47" t="s">
        <v>66</v>
      </c>
      <c r="DB9" s="47" t="s">
        <v>66</v>
      </c>
      <c r="DC9" s="47" t="s">
        <v>120</v>
      </c>
      <c r="DD9" s="47" t="s">
        <v>120</v>
      </c>
      <c r="DE9" s="47" t="s">
        <v>120</v>
      </c>
      <c r="DF9" s="47" t="s">
        <v>120</v>
      </c>
      <c r="DG9" s="47" t="s">
        <v>120</v>
      </c>
      <c r="DH9" s="47" t="s">
        <v>120</v>
      </c>
      <c r="DI9" s="47" t="s">
        <v>96</v>
      </c>
      <c r="DJ9" s="47" t="s">
        <v>96</v>
      </c>
      <c r="DK9" s="47" t="s">
        <v>66</v>
      </c>
      <c r="DL9" s="47" t="s">
        <v>66</v>
      </c>
      <c r="DM9" s="47" t="s">
        <v>96</v>
      </c>
      <c r="DN9" s="47" t="s">
        <v>96</v>
      </c>
      <c r="DO9" s="47" t="s">
        <v>66</v>
      </c>
      <c r="DP9" s="47" t="s">
        <v>66</v>
      </c>
      <c r="DQ9" s="47" t="s">
        <v>66</v>
      </c>
      <c r="DR9" s="23" t="s">
        <v>66</v>
      </c>
      <c r="DS9" s="47" t="s">
        <v>120</v>
      </c>
      <c r="DT9" s="47" t="s">
        <v>120</v>
      </c>
      <c r="DU9" s="47" t="s">
        <v>66</v>
      </c>
      <c r="DV9" s="47" t="s">
        <v>66</v>
      </c>
      <c r="DW9" s="47" t="s">
        <v>121</v>
      </c>
      <c r="DX9" s="47" t="s">
        <v>122</v>
      </c>
      <c r="DY9" s="47" t="s">
        <v>66</v>
      </c>
      <c r="DZ9" s="47" t="s">
        <v>66</v>
      </c>
      <c r="EA9" s="47" t="s">
        <v>66</v>
      </c>
      <c r="EB9" s="47" t="s">
        <v>66</v>
      </c>
      <c r="EC9" s="47">
        <v>1</v>
      </c>
      <c r="ED9" s="47">
        <v>1</v>
      </c>
      <c r="EE9" s="47">
        <v>1</v>
      </c>
      <c r="EF9" s="47">
        <v>1</v>
      </c>
      <c r="EG9" s="47">
        <v>1</v>
      </c>
      <c r="EH9" s="47">
        <v>1</v>
      </c>
      <c r="EI9" s="47">
        <v>1</v>
      </c>
      <c r="EJ9" s="47">
        <v>1</v>
      </c>
      <c r="EK9" s="47">
        <v>1</v>
      </c>
      <c r="EL9" s="47">
        <v>1</v>
      </c>
      <c r="EM9" s="47">
        <v>1</v>
      </c>
      <c r="EN9" s="47">
        <v>1</v>
      </c>
      <c r="EO9" s="47">
        <v>1</v>
      </c>
      <c r="EP9" s="47">
        <v>1</v>
      </c>
      <c r="EQ9" s="47">
        <v>1</v>
      </c>
      <c r="ER9" s="47">
        <v>1</v>
      </c>
      <c r="ES9" s="47">
        <v>1</v>
      </c>
      <c r="ET9" s="47">
        <v>1</v>
      </c>
      <c r="EU9" s="47">
        <v>1</v>
      </c>
      <c r="EV9" s="47">
        <v>1</v>
      </c>
      <c r="EW9" s="47">
        <f t="shared" ref="EW9:EX9" si="82">SUM(EC9,EE9,EG9,EI9,EK9,EM9,EO9,EQ9,ES9,EU9)</f>
        <v>10</v>
      </c>
      <c r="EX9" s="47">
        <f t="shared" si="82"/>
        <v>10</v>
      </c>
      <c r="EY9" s="53" t="str">
        <f t="shared" ref="EY9:EZ9" si="83">A9</f>
        <v>Etlouba</v>
      </c>
      <c r="EZ9" s="54">
        <f t="shared" si="83"/>
        <v>2018</v>
      </c>
      <c r="FA9" s="23" t="str">
        <f t="shared" si="3"/>
        <v>Y</v>
      </c>
      <c r="FB9" s="23" t="str">
        <f t="shared" si="4"/>
        <v>Y</v>
      </c>
      <c r="FC9" s="23" t="str">
        <f t="shared" si="5"/>
        <v>Y</v>
      </c>
      <c r="FD9" s="23" t="str">
        <f t="shared" si="6"/>
        <v>Y</v>
      </c>
      <c r="FE9" s="23" t="str">
        <f t="shared" si="7"/>
        <v>Y</v>
      </c>
      <c r="FF9" s="23" t="str">
        <f t="shared" si="8"/>
        <v>Y</v>
      </c>
      <c r="FG9" s="23" t="str">
        <f t="shared" si="9"/>
        <v>Y</v>
      </c>
      <c r="FH9" s="23" t="str">
        <f t="shared" si="10"/>
        <v>Y</v>
      </c>
      <c r="FI9" s="23" t="str">
        <f t="shared" si="11"/>
        <v>Y</v>
      </c>
      <c r="FJ9" s="23" t="str">
        <f t="shared" si="12"/>
        <v>Y</v>
      </c>
      <c r="FK9" s="23" t="str">
        <f t="shared" si="13"/>
        <v>Y</v>
      </c>
      <c r="FL9" s="23" t="str">
        <f t="shared" si="14"/>
        <v>Y</v>
      </c>
      <c r="FM9" s="23" t="str">
        <f t="shared" si="15"/>
        <v>Y</v>
      </c>
      <c r="FN9" s="23" t="str">
        <f t="shared" si="16"/>
        <v>Y</v>
      </c>
      <c r="FO9" s="23" t="str">
        <f t="shared" si="17"/>
        <v>Y</v>
      </c>
      <c r="FP9" s="23" t="str">
        <f t="shared" si="18"/>
        <v>Y</v>
      </c>
      <c r="FQ9" s="23" t="str">
        <f t="shared" si="19"/>
        <v>Y</v>
      </c>
      <c r="FR9" s="23" t="str">
        <f t="shared" si="20"/>
        <v>Y</v>
      </c>
      <c r="FS9" s="23" t="str">
        <f t="shared" si="21"/>
        <v>Y</v>
      </c>
      <c r="FT9" s="23" t="str">
        <f t="shared" si="22"/>
        <v>Y</v>
      </c>
      <c r="FU9" s="23" t="str">
        <f t="shared" si="23"/>
        <v>Y</v>
      </c>
      <c r="FV9" s="23" t="str">
        <f t="shared" si="24"/>
        <v>Y</v>
      </c>
      <c r="FW9" s="23" t="str">
        <f t="shared" si="25"/>
        <v>Y</v>
      </c>
      <c r="FX9" s="23" t="str">
        <f t="shared" si="26"/>
        <v>Y</v>
      </c>
      <c r="FY9" s="23" t="str">
        <f t="shared" si="27"/>
        <v>Y</v>
      </c>
      <c r="FZ9" s="23" t="str">
        <f t="shared" si="28"/>
        <v>Y</v>
      </c>
      <c r="GA9" s="23" t="str">
        <f t="shared" si="29"/>
        <v>Y</v>
      </c>
      <c r="GB9" s="23" t="str">
        <f t="shared" si="30"/>
        <v>Y</v>
      </c>
      <c r="GC9" s="23" t="str">
        <f t="shared" si="31"/>
        <v>Y</v>
      </c>
      <c r="GD9" s="23" t="str">
        <f t="shared" si="32"/>
        <v>Y</v>
      </c>
      <c r="GE9" s="23" t="str">
        <f t="shared" si="33"/>
        <v>Y</v>
      </c>
      <c r="GF9" s="23" t="str">
        <f t="shared" si="34"/>
        <v>Y</v>
      </c>
      <c r="GG9" s="23" t="str">
        <f t="shared" si="35"/>
        <v>Y</v>
      </c>
      <c r="GH9" s="23" t="str">
        <f t="shared" si="36"/>
        <v>Y</v>
      </c>
      <c r="GI9" s="23" t="str">
        <f t="shared" si="37"/>
        <v>Y</v>
      </c>
      <c r="GJ9" s="23" t="str">
        <f t="shared" si="38"/>
        <v>Y</v>
      </c>
      <c r="GK9" s="23" t="str">
        <f t="shared" si="39"/>
        <v>Y</v>
      </c>
      <c r="GL9" s="23" t="str">
        <f t="shared" si="40"/>
        <v>Y</v>
      </c>
      <c r="GM9" s="23" t="str">
        <f t="shared" si="41"/>
        <v>Y</v>
      </c>
      <c r="GN9" s="23" t="str">
        <f t="shared" si="42"/>
        <v>Y</v>
      </c>
      <c r="GO9" s="23" t="str">
        <f t="shared" si="43"/>
        <v>Y</v>
      </c>
      <c r="GP9" s="23" t="str">
        <f t="shared" si="44"/>
        <v>Y</v>
      </c>
      <c r="GQ9" s="23" t="str">
        <f t="shared" si="45"/>
        <v>Y</v>
      </c>
      <c r="GR9" s="23" t="str">
        <f t="shared" si="46"/>
        <v>Y</v>
      </c>
      <c r="GS9" s="23" t="str">
        <f t="shared" si="47"/>
        <v>Y</v>
      </c>
      <c r="GT9" s="23" t="str">
        <f t="shared" si="48"/>
        <v>Y</v>
      </c>
      <c r="GU9" s="23" t="str">
        <f t="shared" si="49"/>
        <v>Y</v>
      </c>
      <c r="GV9" s="23" t="str">
        <f t="shared" si="50"/>
        <v>Y</v>
      </c>
      <c r="GW9" s="23" t="str">
        <f t="shared" si="51"/>
        <v>Y</v>
      </c>
      <c r="GX9" s="23" t="str">
        <f t="shared" si="52"/>
        <v>Y</v>
      </c>
      <c r="GY9" s="23" t="str">
        <f t="shared" si="53"/>
        <v>Y</v>
      </c>
      <c r="GZ9" s="23" t="str">
        <f t="shared" si="54"/>
        <v>Y</v>
      </c>
      <c r="HA9" s="23" t="str">
        <f t="shared" si="55"/>
        <v>Y</v>
      </c>
      <c r="HB9" s="23" t="str">
        <f t="shared" si="56"/>
        <v>Y</v>
      </c>
      <c r="HC9" s="23" t="str">
        <f t="shared" si="57"/>
        <v>Y</v>
      </c>
      <c r="HD9" s="23" t="str">
        <f t="shared" si="58"/>
        <v>Y</v>
      </c>
      <c r="HE9" s="23" t="str">
        <f t="shared" si="59"/>
        <v>Y</v>
      </c>
      <c r="HF9" s="23" t="str">
        <f t="shared" si="60"/>
        <v>Y</v>
      </c>
      <c r="HG9" s="23" t="str">
        <f t="shared" si="61"/>
        <v>Y</v>
      </c>
      <c r="HH9" s="23" t="str">
        <f t="shared" si="62"/>
        <v>Y</v>
      </c>
      <c r="HI9" s="23" t="str">
        <f t="shared" si="63"/>
        <v>Y</v>
      </c>
      <c r="HJ9" s="23" t="str">
        <f t="shared" si="64"/>
        <v>Y</v>
      </c>
      <c r="HK9" s="23" t="str">
        <f t="shared" si="65"/>
        <v>Y</v>
      </c>
      <c r="HL9" s="23" t="str">
        <f t="shared" si="66"/>
        <v>Y</v>
      </c>
      <c r="HM9" s="23" t="str">
        <f t="shared" si="67"/>
        <v>Y</v>
      </c>
      <c r="HN9" s="55" t="str">
        <f t="shared" si="68"/>
        <v>Y</v>
      </c>
      <c r="HO9" s="23"/>
      <c r="HP9" s="55"/>
    </row>
    <row r="10" spans="1:224" ht="30" customHeight="1">
      <c r="A10" s="46" t="s">
        <v>123</v>
      </c>
      <c r="B10" s="47">
        <v>2020</v>
      </c>
      <c r="C10" s="47">
        <v>47</v>
      </c>
      <c r="D10" s="47">
        <v>47</v>
      </c>
      <c r="E10" s="23">
        <v>14</v>
      </c>
      <c r="F10" s="47">
        <v>14</v>
      </c>
      <c r="G10" s="47">
        <v>21.3</v>
      </c>
      <c r="H10" s="47">
        <v>21.3</v>
      </c>
      <c r="I10" s="47">
        <v>20.100000000000001</v>
      </c>
      <c r="J10" s="47">
        <v>20.100000000000001</v>
      </c>
      <c r="K10" s="47">
        <v>20.6</v>
      </c>
      <c r="L10" s="23">
        <v>20.6</v>
      </c>
      <c r="M10" s="23" t="s">
        <v>66</v>
      </c>
      <c r="N10" s="23" t="s">
        <v>124</v>
      </c>
      <c r="O10" s="23" t="s">
        <v>66</v>
      </c>
      <c r="P10" s="23" t="s">
        <v>66</v>
      </c>
      <c r="Q10" s="23" t="s">
        <v>66</v>
      </c>
      <c r="R10" s="23" t="s">
        <v>66</v>
      </c>
      <c r="S10" s="23" t="s">
        <v>66</v>
      </c>
      <c r="T10" s="23" t="s">
        <v>66</v>
      </c>
      <c r="U10" s="47">
        <v>0</v>
      </c>
      <c r="V10" s="47">
        <v>0</v>
      </c>
      <c r="W10" s="47">
        <v>61</v>
      </c>
      <c r="X10" s="47">
        <v>61</v>
      </c>
      <c r="Y10" s="47">
        <v>0</v>
      </c>
      <c r="Z10" s="47">
        <v>0</v>
      </c>
      <c r="AA10" s="47">
        <v>0</v>
      </c>
      <c r="AB10" s="47">
        <v>0</v>
      </c>
      <c r="AC10" s="23" t="s">
        <v>88</v>
      </c>
      <c r="AD10" s="23" t="s">
        <v>125</v>
      </c>
      <c r="AE10" s="47" t="s">
        <v>125</v>
      </c>
      <c r="AF10" s="47" t="s">
        <v>126</v>
      </c>
      <c r="AG10" s="47" t="s">
        <v>91</v>
      </c>
      <c r="AH10" s="47" t="s">
        <v>91</v>
      </c>
      <c r="AI10" s="47" t="s">
        <v>92</v>
      </c>
      <c r="AJ10" s="47" t="s">
        <v>92</v>
      </c>
      <c r="AK10" s="47" t="s">
        <v>92</v>
      </c>
      <c r="AL10" s="47" t="s">
        <v>92</v>
      </c>
      <c r="AM10" s="47">
        <v>61</v>
      </c>
      <c r="AN10" s="47">
        <v>61</v>
      </c>
      <c r="AO10" s="47">
        <v>0</v>
      </c>
      <c r="AP10" s="47">
        <v>0</v>
      </c>
      <c r="AQ10" s="47">
        <v>0</v>
      </c>
      <c r="AR10" s="47">
        <v>0</v>
      </c>
      <c r="AS10" s="48">
        <v>2.9</v>
      </c>
      <c r="AT10" s="49" t="s">
        <v>66</v>
      </c>
      <c r="AU10" s="48">
        <v>3.4</v>
      </c>
      <c r="AV10" s="49" t="s">
        <v>66</v>
      </c>
      <c r="AW10" s="48">
        <v>2.4</v>
      </c>
      <c r="AX10" s="49">
        <v>2.4</v>
      </c>
      <c r="AY10" s="47">
        <v>61</v>
      </c>
      <c r="AZ10" s="47">
        <v>61</v>
      </c>
      <c r="BA10" s="47">
        <v>34</v>
      </c>
      <c r="BB10" s="47">
        <v>34</v>
      </c>
      <c r="BC10" s="47">
        <f t="shared" si="81"/>
        <v>34</v>
      </c>
      <c r="BD10" s="50">
        <v>34</v>
      </c>
      <c r="BE10" s="50">
        <v>0</v>
      </c>
      <c r="BF10" s="50">
        <v>0</v>
      </c>
      <c r="BG10" s="47" t="s">
        <v>106</v>
      </c>
      <c r="BH10" s="47" t="s">
        <v>106</v>
      </c>
      <c r="BI10" s="47" t="s">
        <v>94</v>
      </c>
      <c r="BJ10" s="47" t="s">
        <v>94</v>
      </c>
      <c r="BK10" s="47">
        <v>34</v>
      </c>
      <c r="BL10" s="47">
        <v>34</v>
      </c>
      <c r="BM10" s="48" t="s">
        <v>94</v>
      </c>
      <c r="BN10" s="47" t="s">
        <v>94</v>
      </c>
      <c r="BO10" s="48" t="s">
        <v>94</v>
      </c>
      <c r="BP10" s="47" t="s">
        <v>94</v>
      </c>
      <c r="BQ10" s="48">
        <v>34</v>
      </c>
      <c r="BR10" s="47">
        <v>34</v>
      </c>
      <c r="BS10" s="48" t="s">
        <v>94</v>
      </c>
      <c r="BT10" s="47" t="s">
        <v>94</v>
      </c>
      <c r="BU10" s="48" t="s">
        <v>94</v>
      </c>
      <c r="BV10" s="47" t="s">
        <v>94</v>
      </c>
      <c r="BW10" s="48" t="s">
        <v>94</v>
      </c>
      <c r="BX10" s="47" t="s">
        <v>94</v>
      </c>
      <c r="BY10" s="48" t="s">
        <v>94</v>
      </c>
      <c r="BZ10" s="47" t="s">
        <v>94</v>
      </c>
      <c r="CA10" s="48" t="s">
        <v>94</v>
      </c>
      <c r="CB10" s="47" t="s">
        <v>94</v>
      </c>
      <c r="CC10" s="48" t="s">
        <v>94</v>
      </c>
      <c r="CD10" s="47" t="s">
        <v>94</v>
      </c>
      <c r="CE10" s="48" t="s">
        <v>94</v>
      </c>
      <c r="CF10" s="47" t="s">
        <v>94</v>
      </c>
      <c r="CG10" s="48" t="s">
        <v>94</v>
      </c>
      <c r="CH10" s="47" t="s">
        <v>94</v>
      </c>
      <c r="CI10" s="48" t="s">
        <v>94</v>
      </c>
      <c r="CJ10" s="47" t="s">
        <v>94</v>
      </c>
      <c r="CK10" s="48" t="s">
        <v>94</v>
      </c>
      <c r="CL10" s="47" t="s">
        <v>94</v>
      </c>
      <c r="CM10" s="48" t="s">
        <v>94</v>
      </c>
      <c r="CN10" s="47" t="s">
        <v>94</v>
      </c>
      <c r="CO10" s="48" t="s">
        <v>94</v>
      </c>
      <c r="CP10" s="47" t="s">
        <v>94</v>
      </c>
      <c r="CQ10" s="48" t="s">
        <v>94</v>
      </c>
      <c r="CR10" s="47" t="s">
        <v>94</v>
      </c>
      <c r="CS10" s="48" t="s">
        <v>94</v>
      </c>
      <c r="CT10" s="47" t="s">
        <v>94</v>
      </c>
      <c r="CU10" s="47" t="s">
        <v>66</v>
      </c>
      <c r="CV10" s="47" t="s">
        <v>66</v>
      </c>
      <c r="CW10" s="47" t="s">
        <v>66</v>
      </c>
      <c r="CX10" s="47" t="s">
        <v>66</v>
      </c>
      <c r="CY10" s="47" t="s">
        <v>66</v>
      </c>
      <c r="CZ10" s="47" t="s">
        <v>66</v>
      </c>
      <c r="DA10" s="47" t="s">
        <v>66</v>
      </c>
      <c r="DB10" s="47" t="s">
        <v>66</v>
      </c>
      <c r="DC10" s="47" t="s">
        <v>66</v>
      </c>
      <c r="DD10" s="47" t="s">
        <v>66</v>
      </c>
      <c r="DE10" s="47" t="s">
        <v>66</v>
      </c>
      <c r="DF10" s="47" t="s">
        <v>66</v>
      </c>
      <c r="DG10" s="47" t="s">
        <v>120</v>
      </c>
      <c r="DH10" s="47" t="s">
        <v>120</v>
      </c>
      <c r="DI10" s="47" t="s">
        <v>96</v>
      </c>
      <c r="DJ10" s="47" t="s">
        <v>96</v>
      </c>
      <c r="DK10" s="47" t="s">
        <v>92</v>
      </c>
      <c r="DL10" s="47" t="s">
        <v>92</v>
      </c>
      <c r="DM10" s="47" t="s">
        <v>66</v>
      </c>
      <c r="DN10" s="47" t="s">
        <v>66</v>
      </c>
      <c r="DO10" s="47" t="s">
        <v>66</v>
      </c>
      <c r="DP10" s="47" t="s">
        <v>66</v>
      </c>
      <c r="DQ10" s="47" t="s">
        <v>66</v>
      </c>
      <c r="DR10" s="23" t="s">
        <v>66</v>
      </c>
      <c r="DS10" s="47" t="s">
        <v>66</v>
      </c>
      <c r="DT10" s="47" t="s">
        <v>66</v>
      </c>
      <c r="DU10" s="47" t="s">
        <v>66</v>
      </c>
      <c r="DV10" s="47" t="s">
        <v>66</v>
      </c>
      <c r="DW10" s="47" t="s">
        <v>97</v>
      </c>
      <c r="DX10" s="47" t="s">
        <v>97</v>
      </c>
      <c r="DY10" s="47" t="s">
        <v>107</v>
      </c>
      <c r="DZ10" s="47" t="s">
        <v>107</v>
      </c>
      <c r="EA10" s="47" t="s">
        <v>108</v>
      </c>
      <c r="EB10" s="47" t="s">
        <v>108</v>
      </c>
      <c r="EC10" s="47">
        <v>1</v>
      </c>
      <c r="ED10" s="47">
        <v>1</v>
      </c>
      <c r="EE10" s="47">
        <v>0</v>
      </c>
      <c r="EF10" s="47">
        <v>0</v>
      </c>
      <c r="EG10" s="47">
        <v>1</v>
      </c>
      <c r="EH10" s="47">
        <v>1</v>
      </c>
      <c r="EI10" s="47">
        <v>1</v>
      </c>
      <c r="EJ10" s="47">
        <v>1</v>
      </c>
      <c r="EK10" s="47">
        <v>1</v>
      </c>
      <c r="EL10" s="47">
        <v>1</v>
      </c>
      <c r="EM10" s="47">
        <v>1</v>
      </c>
      <c r="EN10" s="47">
        <v>1</v>
      </c>
      <c r="EO10" s="47">
        <v>1</v>
      </c>
      <c r="EP10" s="47">
        <v>1</v>
      </c>
      <c r="EQ10" s="47">
        <v>1</v>
      </c>
      <c r="ER10" s="47">
        <v>1</v>
      </c>
      <c r="ES10" s="47">
        <v>1</v>
      </c>
      <c r="ET10" s="47">
        <v>1</v>
      </c>
      <c r="EU10" s="47">
        <v>1</v>
      </c>
      <c r="EV10" s="47">
        <v>1</v>
      </c>
      <c r="EW10" s="47">
        <f t="shared" ref="EW10:EX10" si="84">SUM(EC10,EE10,EG10,EI10,EK10,EM10,EO10,EQ10,ES10,EU10)</f>
        <v>9</v>
      </c>
      <c r="EX10" s="47">
        <f t="shared" si="84"/>
        <v>9</v>
      </c>
      <c r="EY10" s="64" t="str">
        <f t="shared" ref="EY10:EZ10" si="85">A10</f>
        <v>Fraser</v>
      </c>
      <c r="EZ10" s="65">
        <f t="shared" si="85"/>
        <v>2020</v>
      </c>
      <c r="FA10" s="23" t="str">
        <f t="shared" si="3"/>
        <v>Y</v>
      </c>
      <c r="FB10" s="23" t="str">
        <f t="shared" si="4"/>
        <v>Y</v>
      </c>
      <c r="FC10" s="23" t="str">
        <f t="shared" si="5"/>
        <v>Y</v>
      </c>
      <c r="FD10" s="23" t="str">
        <f t="shared" si="6"/>
        <v>Y</v>
      </c>
      <c r="FE10" s="23" t="str">
        <f t="shared" si="7"/>
        <v>Y</v>
      </c>
      <c r="FF10" s="23"/>
      <c r="FG10" s="23" t="str">
        <f t="shared" si="9"/>
        <v>Y</v>
      </c>
      <c r="FH10" s="23" t="str">
        <f t="shared" si="10"/>
        <v>Y</v>
      </c>
      <c r="FI10" s="23" t="str">
        <f t="shared" si="11"/>
        <v>Y</v>
      </c>
      <c r="FJ10" s="23" t="str">
        <f t="shared" si="12"/>
        <v>Y</v>
      </c>
      <c r="FK10" s="23" t="str">
        <f t="shared" si="13"/>
        <v>Y</v>
      </c>
      <c r="FL10" s="23" t="str">
        <f t="shared" si="14"/>
        <v>Y</v>
      </c>
      <c r="FM10" s="23" t="str">
        <f t="shared" si="15"/>
        <v>Y</v>
      </c>
      <c r="FN10" s="23" t="str">
        <f t="shared" si="16"/>
        <v>Y</v>
      </c>
      <c r="FO10" s="23" t="str">
        <f t="shared" si="17"/>
        <v>Y</v>
      </c>
      <c r="FP10" s="23" t="str">
        <f t="shared" si="18"/>
        <v>Y</v>
      </c>
      <c r="FQ10" s="23" t="str">
        <f t="shared" si="19"/>
        <v>Y</v>
      </c>
      <c r="FR10" s="23" t="str">
        <f t="shared" si="20"/>
        <v>Y</v>
      </c>
      <c r="FS10" s="23" t="str">
        <f t="shared" si="21"/>
        <v>Y</v>
      </c>
      <c r="FT10" s="23" t="str">
        <f t="shared" si="22"/>
        <v>Y</v>
      </c>
      <c r="FU10" s="23" t="str">
        <f t="shared" si="23"/>
        <v>Y</v>
      </c>
      <c r="FV10" s="23" t="str">
        <f t="shared" si="24"/>
        <v>Y</v>
      </c>
      <c r="FW10" s="23" t="str">
        <f t="shared" si="25"/>
        <v>Y</v>
      </c>
      <c r="FX10" s="23" t="str">
        <f t="shared" si="26"/>
        <v>Y</v>
      </c>
      <c r="FY10" s="23" t="str">
        <f t="shared" si="27"/>
        <v>Y</v>
      </c>
      <c r="FZ10" s="23" t="str">
        <f t="shared" si="28"/>
        <v>Y</v>
      </c>
      <c r="GA10" s="23" t="str">
        <f t="shared" si="29"/>
        <v>Y</v>
      </c>
      <c r="GB10" s="23" t="str">
        <f t="shared" si="30"/>
        <v>Y</v>
      </c>
      <c r="GC10" s="23" t="str">
        <f t="shared" si="31"/>
        <v>Y</v>
      </c>
      <c r="GD10" s="23" t="str">
        <f t="shared" si="32"/>
        <v>Y</v>
      </c>
      <c r="GE10" s="23" t="str">
        <f t="shared" si="33"/>
        <v>Y</v>
      </c>
      <c r="GF10" s="23" t="str">
        <f t="shared" si="34"/>
        <v>Y</v>
      </c>
      <c r="GG10" s="23" t="str">
        <f t="shared" si="35"/>
        <v>Y</v>
      </c>
      <c r="GH10" s="23" t="str">
        <f t="shared" si="36"/>
        <v>Y</v>
      </c>
      <c r="GI10" s="23" t="str">
        <f t="shared" si="37"/>
        <v>Y</v>
      </c>
      <c r="GJ10" s="23" t="str">
        <f t="shared" si="38"/>
        <v>Y</v>
      </c>
      <c r="GK10" s="23" t="str">
        <f t="shared" si="39"/>
        <v>Y</v>
      </c>
      <c r="GL10" s="23" t="str">
        <f t="shared" si="40"/>
        <v>Y</v>
      </c>
      <c r="GM10" s="23" t="str">
        <f t="shared" si="41"/>
        <v>Y</v>
      </c>
      <c r="GN10" s="23" t="str">
        <f t="shared" si="42"/>
        <v>Y</v>
      </c>
      <c r="GO10" s="23" t="str">
        <f t="shared" si="43"/>
        <v>Y</v>
      </c>
      <c r="GP10" s="23" t="str">
        <f t="shared" si="44"/>
        <v>Y</v>
      </c>
      <c r="GQ10" s="23" t="str">
        <f t="shared" si="45"/>
        <v>Y</v>
      </c>
      <c r="GR10" s="23" t="str">
        <f t="shared" si="46"/>
        <v>Y</v>
      </c>
      <c r="GS10" s="23" t="str">
        <f t="shared" si="47"/>
        <v>Y</v>
      </c>
      <c r="GT10" s="23" t="str">
        <f t="shared" si="48"/>
        <v>Y</v>
      </c>
      <c r="GU10" s="23" t="str">
        <f t="shared" si="49"/>
        <v>Y</v>
      </c>
      <c r="GV10" s="23" t="str">
        <f t="shared" si="50"/>
        <v>Y</v>
      </c>
      <c r="GW10" s="23" t="str">
        <f t="shared" si="51"/>
        <v>Y</v>
      </c>
      <c r="GX10" s="23" t="str">
        <f t="shared" si="52"/>
        <v>Y</v>
      </c>
      <c r="GY10" s="23" t="str">
        <f t="shared" si="53"/>
        <v>Y</v>
      </c>
      <c r="GZ10" s="23" t="str">
        <f t="shared" si="54"/>
        <v>Y</v>
      </c>
      <c r="HA10" s="23" t="str">
        <f t="shared" si="55"/>
        <v>Y</v>
      </c>
      <c r="HB10" s="23" t="str">
        <f t="shared" si="56"/>
        <v>Y</v>
      </c>
      <c r="HC10" s="23" t="str">
        <f t="shared" si="57"/>
        <v>Y</v>
      </c>
      <c r="HD10" s="23" t="str">
        <f t="shared" si="58"/>
        <v>Y</v>
      </c>
      <c r="HE10" s="23" t="str">
        <f t="shared" si="59"/>
        <v>Y</v>
      </c>
      <c r="HF10" s="23" t="str">
        <f t="shared" si="60"/>
        <v>Y</v>
      </c>
      <c r="HG10" s="23" t="str">
        <f t="shared" si="61"/>
        <v>Y</v>
      </c>
      <c r="HH10" s="23" t="str">
        <f t="shared" si="62"/>
        <v>Y</v>
      </c>
      <c r="HI10" s="23" t="str">
        <f t="shared" si="63"/>
        <v>Y</v>
      </c>
      <c r="HJ10" s="23" t="str">
        <f t="shared" si="64"/>
        <v>Y</v>
      </c>
      <c r="HK10" s="23" t="str">
        <f t="shared" si="65"/>
        <v>Y</v>
      </c>
      <c r="HL10" s="23" t="str">
        <f t="shared" si="66"/>
        <v>Y</v>
      </c>
      <c r="HM10" s="23" t="str">
        <f t="shared" si="67"/>
        <v>Y</v>
      </c>
      <c r="HN10" s="55" t="str">
        <f t="shared" si="68"/>
        <v>Y</v>
      </c>
      <c r="HO10" s="23"/>
      <c r="HP10" s="55"/>
    </row>
    <row r="11" spans="1:224" ht="30" customHeight="1">
      <c r="A11" s="46" t="s">
        <v>127</v>
      </c>
      <c r="B11" s="47">
        <v>2022</v>
      </c>
      <c r="C11" s="47">
        <v>68</v>
      </c>
      <c r="D11" s="47">
        <v>68</v>
      </c>
      <c r="E11" s="23">
        <v>119</v>
      </c>
      <c r="F11" s="47">
        <v>119</v>
      </c>
      <c r="G11" s="47">
        <v>36.700000000000003</v>
      </c>
      <c r="H11" s="47">
        <v>36.700000000000003</v>
      </c>
      <c r="I11" s="47">
        <v>32.299999999999997</v>
      </c>
      <c r="J11" s="47">
        <v>32.299999999999997</v>
      </c>
      <c r="K11" s="47" t="s">
        <v>66</v>
      </c>
      <c r="L11" s="23" t="s">
        <v>66</v>
      </c>
      <c r="M11" s="23" t="s">
        <v>66</v>
      </c>
      <c r="N11" s="23" t="s">
        <v>66</v>
      </c>
      <c r="O11" s="23" t="s">
        <v>66</v>
      </c>
      <c r="P11" s="23" t="s">
        <v>66</v>
      </c>
      <c r="Q11" s="23" t="s">
        <v>66</v>
      </c>
      <c r="R11" s="23" t="s">
        <v>66</v>
      </c>
      <c r="S11" s="23" t="s">
        <v>66</v>
      </c>
      <c r="T11" s="23" t="s">
        <v>66</v>
      </c>
      <c r="U11" s="47">
        <v>0</v>
      </c>
      <c r="V11" s="47">
        <v>0</v>
      </c>
      <c r="W11" s="47">
        <v>187</v>
      </c>
      <c r="X11" s="47">
        <v>187</v>
      </c>
      <c r="Y11" s="47">
        <v>0</v>
      </c>
      <c r="Z11" s="47">
        <v>0</v>
      </c>
      <c r="AA11" s="47">
        <v>0</v>
      </c>
      <c r="AB11" s="47">
        <v>0</v>
      </c>
      <c r="AC11" s="23" t="s">
        <v>88</v>
      </c>
      <c r="AD11" s="23" t="s">
        <v>128</v>
      </c>
      <c r="AE11" s="47" t="s">
        <v>128</v>
      </c>
      <c r="AF11" s="47" t="s">
        <v>129</v>
      </c>
      <c r="AG11" s="47" t="s">
        <v>92</v>
      </c>
      <c r="AH11" s="47" t="s">
        <v>92</v>
      </c>
      <c r="AI11" s="47" t="s">
        <v>91</v>
      </c>
      <c r="AJ11" s="47" t="s">
        <v>91</v>
      </c>
      <c r="AK11" s="47" t="s">
        <v>92</v>
      </c>
      <c r="AL11" s="47" t="s">
        <v>92</v>
      </c>
      <c r="AM11" s="47">
        <v>187</v>
      </c>
      <c r="AN11" s="47">
        <v>187</v>
      </c>
      <c r="AO11" s="47">
        <v>0</v>
      </c>
      <c r="AP11" s="47">
        <v>0</v>
      </c>
      <c r="AQ11" s="47">
        <v>0</v>
      </c>
      <c r="AR11" s="47">
        <v>0</v>
      </c>
      <c r="AS11" s="48" t="s">
        <v>66</v>
      </c>
      <c r="AT11" s="49" t="s">
        <v>66</v>
      </c>
      <c r="AU11" s="48" t="s">
        <v>66</v>
      </c>
      <c r="AV11" s="49" t="s">
        <v>66</v>
      </c>
      <c r="AW11" s="48" t="s">
        <v>66</v>
      </c>
      <c r="AX11" s="49" t="s">
        <v>66</v>
      </c>
      <c r="AY11" s="47">
        <v>187</v>
      </c>
      <c r="AZ11" s="47">
        <v>187</v>
      </c>
      <c r="BA11" s="47">
        <v>10</v>
      </c>
      <c r="BB11" s="47">
        <v>10</v>
      </c>
      <c r="BC11" s="47">
        <f t="shared" si="81"/>
        <v>4</v>
      </c>
      <c r="BD11" s="50">
        <v>4</v>
      </c>
      <c r="BE11" s="50">
        <v>0</v>
      </c>
      <c r="BF11" s="50">
        <v>6</v>
      </c>
      <c r="BG11" s="47" t="s">
        <v>106</v>
      </c>
      <c r="BH11" s="47" t="s">
        <v>106</v>
      </c>
      <c r="BI11" s="47">
        <v>4</v>
      </c>
      <c r="BJ11" s="47">
        <v>4</v>
      </c>
      <c r="BK11" s="47" t="s">
        <v>94</v>
      </c>
      <c r="BL11" s="47" t="s">
        <v>94</v>
      </c>
      <c r="BM11" s="48">
        <v>4</v>
      </c>
      <c r="BN11" s="47">
        <v>4</v>
      </c>
      <c r="BO11" s="48" t="s">
        <v>94</v>
      </c>
      <c r="BP11" s="47" t="s">
        <v>94</v>
      </c>
      <c r="BQ11" s="48" t="s">
        <v>94</v>
      </c>
      <c r="BR11" s="47" t="s">
        <v>94</v>
      </c>
      <c r="BS11" s="48" t="s">
        <v>94</v>
      </c>
      <c r="BT11" s="47" t="s">
        <v>94</v>
      </c>
      <c r="BU11" s="48" t="s">
        <v>94</v>
      </c>
      <c r="BV11" s="47" t="s">
        <v>94</v>
      </c>
      <c r="BW11" s="48" t="s">
        <v>94</v>
      </c>
      <c r="BX11" s="47" t="s">
        <v>94</v>
      </c>
      <c r="BY11" s="48" t="s">
        <v>94</v>
      </c>
      <c r="BZ11" s="47" t="s">
        <v>94</v>
      </c>
      <c r="CA11" s="48" t="s">
        <v>94</v>
      </c>
      <c r="CB11" s="47" t="s">
        <v>94</v>
      </c>
      <c r="CC11" s="48" t="s">
        <v>94</v>
      </c>
      <c r="CD11" s="47" t="s">
        <v>94</v>
      </c>
      <c r="CE11" s="48" t="s">
        <v>94</v>
      </c>
      <c r="CF11" s="47" t="s">
        <v>94</v>
      </c>
      <c r="CG11" s="48" t="s">
        <v>94</v>
      </c>
      <c r="CH11" s="47" t="s">
        <v>94</v>
      </c>
      <c r="CI11" s="48" t="s">
        <v>94</v>
      </c>
      <c r="CJ11" s="47" t="s">
        <v>94</v>
      </c>
      <c r="CK11" s="48" t="s">
        <v>94</v>
      </c>
      <c r="CL11" s="47" t="s">
        <v>94</v>
      </c>
      <c r="CM11" s="48" t="s">
        <v>94</v>
      </c>
      <c r="CN11" s="47" t="s">
        <v>94</v>
      </c>
      <c r="CO11" s="48" t="s">
        <v>94</v>
      </c>
      <c r="CP11" s="47" t="s">
        <v>94</v>
      </c>
      <c r="CQ11" s="48" t="s">
        <v>94</v>
      </c>
      <c r="CR11" s="47" t="s">
        <v>94</v>
      </c>
      <c r="CS11" s="48" t="s">
        <v>94</v>
      </c>
      <c r="CT11" s="47" t="s">
        <v>94</v>
      </c>
      <c r="CU11" s="47" t="s">
        <v>120</v>
      </c>
      <c r="CV11" s="47" t="s">
        <v>120</v>
      </c>
      <c r="CW11" s="47" t="s">
        <v>66</v>
      </c>
      <c r="CX11" s="47" t="s">
        <v>66</v>
      </c>
      <c r="CY11" s="47" t="s">
        <v>66</v>
      </c>
      <c r="CZ11" s="47" t="s">
        <v>66</v>
      </c>
      <c r="DA11" s="47" t="s">
        <v>120</v>
      </c>
      <c r="DB11" s="47" t="s">
        <v>120</v>
      </c>
      <c r="DC11" s="47" t="s">
        <v>120</v>
      </c>
      <c r="DD11" s="47" t="s">
        <v>120</v>
      </c>
      <c r="DE11" s="47" t="s">
        <v>96</v>
      </c>
      <c r="DF11" s="67" t="s">
        <v>96</v>
      </c>
      <c r="DG11" s="47" t="s">
        <v>66</v>
      </c>
      <c r="DH11" s="47" t="s">
        <v>66</v>
      </c>
      <c r="DI11" s="47" t="s">
        <v>96</v>
      </c>
      <c r="DJ11" s="47" t="s">
        <v>96</v>
      </c>
      <c r="DK11" s="47" t="s">
        <v>66</v>
      </c>
      <c r="DL11" s="47" t="s">
        <v>66</v>
      </c>
      <c r="DM11" s="47" t="s">
        <v>96</v>
      </c>
      <c r="DN11" s="47" t="s">
        <v>96</v>
      </c>
      <c r="DO11" s="47" t="s">
        <v>96</v>
      </c>
      <c r="DP11" s="47" t="s">
        <v>96</v>
      </c>
      <c r="DQ11" s="47" t="s">
        <v>91</v>
      </c>
      <c r="DR11" s="23" t="s">
        <v>91</v>
      </c>
      <c r="DS11" s="47" t="s">
        <v>66</v>
      </c>
      <c r="DT11" s="47" t="s">
        <v>66</v>
      </c>
      <c r="DU11" s="47" t="s">
        <v>66</v>
      </c>
      <c r="DV11" s="47" t="s">
        <v>66</v>
      </c>
      <c r="DW11" s="47" t="s">
        <v>121</v>
      </c>
      <c r="DX11" s="47" t="s">
        <v>122</v>
      </c>
      <c r="DY11" s="47" t="s">
        <v>66</v>
      </c>
      <c r="DZ11" s="47" t="s">
        <v>66</v>
      </c>
      <c r="EA11" s="47" t="s">
        <v>102</v>
      </c>
      <c r="EB11" s="47" t="s">
        <v>102</v>
      </c>
      <c r="EC11" s="47">
        <v>1</v>
      </c>
      <c r="ED11" s="47">
        <v>1</v>
      </c>
      <c r="EE11" s="47">
        <v>1</v>
      </c>
      <c r="EF11" s="47">
        <v>1</v>
      </c>
      <c r="EG11" s="47">
        <v>1</v>
      </c>
      <c r="EH11" s="47">
        <v>1</v>
      </c>
      <c r="EI11" s="47">
        <v>1</v>
      </c>
      <c r="EJ11" s="47">
        <v>1</v>
      </c>
      <c r="EK11" s="47">
        <v>1</v>
      </c>
      <c r="EL11" s="47">
        <v>1</v>
      </c>
      <c r="EM11" s="47">
        <v>1</v>
      </c>
      <c r="EN11" s="47">
        <v>1</v>
      </c>
      <c r="EO11" s="47">
        <v>1</v>
      </c>
      <c r="EP11" s="47">
        <v>1</v>
      </c>
      <c r="EQ11" s="47">
        <v>1</v>
      </c>
      <c r="ER11" s="47">
        <v>1</v>
      </c>
      <c r="ES11" s="47">
        <v>1</v>
      </c>
      <c r="ET11" s="47">
        <v>1</v>
      </c>
      <c r="EU11" s="47">
        <v>1</v>
      </c>
      <c r="EV11" s="47">
        <v>1</v>
      </c>
      <c r="EW11" s="47">
        <f t="shared" ref="EW11:EX11" si="86">SUM(EC11,EE11,EG11,EI11,EK11,EM11,EO11,EQ11,ES11,EU11)</f>
        <v>10</v>
      </c>
      <c r="EX11" s="47">
        <f t="shared" si="86"/>
        <v>10</v>
      </c>
      <c r="EY11" s="64" t="str">
        <f t="shared" ref="EY11:EZ11" si="87">A11</f>
        <v>Funayama</v>
      </c>
      <c r="EZ11" s="65">
        <f t="shared" si="87"/>
        <v>2022</v>
      </c>
      <c r="FA11" s="23" t="str">
        <f t="shared" si="3"/>
        <v>Y</v>
      </c>
      <c r="FB11" s="23" t="str">
        <f t="shared" si="4"/>
        <v>Y</v>
      </c>
      <c r="FC11" s="23" t="str">
        <f t="shared" si="5"/>
        <v>Y</v>
      </c>
      <c r="FD11" s="23" t="str">
        <f t="shared" si="6"/>
        <v>Y</v>
      </c>
      <c r="FE11" s="23" t="str">
        <f t="shared" si="7"/>
        <v>Y</v>
      </c>
      <c r="FF11" s="23" t="str">
        <f t="shared" ref="FF11:FF38" si="88">IF(M11=N11,"Y","N")</f>
        <v>Y</v>
      </c>
      <c r="FG11" s="23" t="str">
        <f t="shared" si="9"/>
        <v>Y</v>
      </c>
      <c r="FH11" s="23" t="str">
        <f t="shared" si="10"/>
        <v>Y</v>
      </c>
      <c r="FI11" s="23" t="str">
        <f t="shared" si="11"/>
        <v>Y</v>
      </c>
      <c r="FJ11" s="23" t="str">
        <f t="shared" si="12"/>
        <v>Y</v>
      </c>
      <c r="FK11" s="23" t="str">
        <f t="shared" si="13"/>
        <v>Y</v>
      </c>
      <c r="FL11" s="23" t="str">
        <f t="shared" si="14"/>
        <v>Y</v>
      </c>
      <c r="FM11" s="23" t="str">
        <f t="shared" si="15"/>
        <v>Y</v>
      </c>
      <c r="FN11" s="23" t="str">
        <f t="shared" si="16"/>
        <v>Y</v>
      </c>
      <c r="FO11" s="23" t="str">
        <f t="shared" si="17"/>
        <v>Y</v>
      </c>
      <c r="FP11" s="23" t="str">
        <f t="shared" si="18"/>
        <v>Y</v>
      </c>
      <c r="FQ11" s="23" t="str">
        <f t="shared" si="19"/>
        <v>Y</v>
      </c>
      <c r="FR11" s="23" t="str">
        <f t="shared" si="20"/>
        <v>Y</v>
      </c>
      <c r="FS11" s="23" t="str">
        <f t="shared" si="21"/>
        <v>Y</v>
      </c>
      <c r="FT11" s="23" t="str">
        <f t="shared" si="22"/>
        <v>Y</v>
      </c>
      <c r="FU11" s="23" t="str">
        <f t="shared" si="23"/>
        <v>Y</v>
      </c>
      <c r="FV11" s="23" t="str">
        <f t="shared" si="24"/>
        <v>Y</v>
      </c>
      <c r="FW11" s="23" t="str">
        <f t="shared" si="25"/>
        <v>Y</v>
      </c>
      <c r="FX11" s="23" t="str">
        <f t="shared" si="26"/>
        <v>Y</v>
      </c>
      <c r="FY11" s="23" t="str">
        <f t="shared" si="27"/>
        <v>Y</v>
      </c>
      <c r="FZ11" s="23" t="str">
        <f t="shared" si="28"/>
        <v>Y</v>
      </c>
      <c r="GA11" s="23" t="str">
        <f t="shared" si="29"/>
        <v>Y</v>
      </c>
      <c r="GB11" s="23" t="str">
        <f t="shared" si="30"/>
        <v>Y</v>
      </c>
      <c r="GC11" s="23" t="str">
        <f t="shared" si="31"/>
        <v>Y</v>
      </c>
      <c r="GD11" s="23" t="str">
        <f t="shared" si="32"/>
        <v>Y</v>
      </c>
      <c r="GE11" s="23" t="str">
        <f t="shared" si="33"/>
        <v>Y</v>
      </c>
      <c r="GF11" s="23" t="str">
        <f t="shared" si="34"/>
        <v>Y</v>
      </c>
      <c r="GG11" s="23" t="str">
        <f t="shared" si="35"/>
        <v>Y</v>
      </c>
      <c r="GH11" s="23" t="str">
        <f t="shared" si="36"/>
        <v>Y</v>
      </c>
      <c r="GI11" s="23" t="str">
        <f t="shared" si="37"/>
        <v>Y</v>
      </c>
      <c r="GJ11" s="23" t="str">
        <f t="shared" si="38"/>
        <v>Y</v>
      </c>
      <c r="GK11" s="23" t="str">
        <f t="shared" si="39"/>
        <v>Y</v>
      </c>
      <c r="GL11" s="23" t="str">
        <f t="shared" si="40"/>
        <v>Y</v>
      </c>
      <c r="GM11" s="23" t="str">
        <f t="shared" si="41"/>
        <v>Y</v>
      </c>
      <c r="GN11" s="23" t="str">
        <f t="shared" si="42"/>
        <v>Y</v>
      </c>
      <c r="GO11" s="23" t="str">
        <f t="shared" si="43"/>
        <v>Y</v>
      </c>
      <c r="GP11" s="23" t="str">
        <f t="shared" si="44"/>
        <v>Y</v>
      </c>
      <c r="GQ11" s="23" t="str">
        <f t="shared" si="45"/>
        <v>Y</v>
      </c>
      <c r="GR11" s="23" t="str">
        <f t="shared" si="46"/>
        <v>Y</v>
      </c>
      <c r="GS11" s="23" t="str">
        <f t="shared" si="47"/>
        <v>Y</v>
      </c>
      <c r="GT11" s="23" t="str">
        <f t="shared" si="48"/>
        <v>Y</v>
      </c>
      <c r="GU11" s="23" t="str">
        <f t="shared" si="49"/>
        <v>Y</v>
      </c>
      <c r="GV11" s="23" t="str">
        <f t="shared" si="50"/>
        <v>Y</v>
      </c>
      <c r="GW11" s="23" t="str">
        <f t="shared" si="51"/>
        <v>Y</v>
      </c>
      <c r="GX11" s="23" t="str">
        <f t="shared" si="52"/>
        <v>Y</v>
      </c>
      <c r="GY11" s="23" t="str">
        <f t="shared" si="53"/>
        <v>Y</v>
      </c>
      <c r="GZ11" s="23" t="str">
        <f t="shared" si="54"/>
        <v>Y</v>
      </c>
      <c r="HA11" s="23" t="str">
        <f t="shared" si="55"/>
        <v>Y</v>
      </c>
      <c r="HB11" s="23" t="str">
        <f t="shared" si="56"/>
        <v>Y</v>
      </c>
      <c r="HC11" s="23" t="str">
        <f t="shared" si="57"/>
        <v>Y</v>
      </c>
      <c r="HD11" s="23" t="str">
        <f t="shared" si="58"/>
        <v>Y</v>
      </c>
      <c r="HE11" s="23" t="str">
        <f t="shared" si="59"/>
        <v>Y</v>
      </c>
      <c r="HF11" s="23" t="str">
        <f t="shared" si="60"/>
        <v>Y</v>
      </c>
      <c r="HG11" s="23" t="str">
        <f t="shared" si="61"/>
        <v>Y</v>
      </c>
      <c r="HH11" s="23" t="str">
        <f t="shared" si="62"/>
        <v>Y</v>
      </c>
      <c r="HI11" s="23" t="str">
        <f t="shared" si="63"/>
        <v>Y</v>
      </c>
      <c r="HJ11" s="23" t="str">
        <f t="shared" si="64"/>
        <v>Y</v>
      </c>
      <c r="HK11" s="23" t="str">
        <f t="shared" si="65"/>
        <v>Y</v>
      </c>
      <c r="HL11" s="23" t="str">
        <f t="shared" si="66"/>
        <v>Y</v>
      </c>
      <c r="HM11" s="23" t="str">
        <f t="shared" si="67"/>
        <v>Y</v>
      </c>
      <c r="HN11" s="55" t="str">
        <f t="shared" si="68"/>
        <v>Y</v>
      </c>
      <c r="HO11" s="23"/>
      <c r="HP11" s="55"/>
    </row>
    <row r="12" spans="1:224" ht="30" customHeight="1">
      <c r="A12" s="68" t="s">
        <v>130</v>
      </c>
      <c r="B12" s="47">
        <v>2018</v>
      </c>
      <c r="C12" s="47" t="s">
        <v>66</v>
      </c>
      <c r="D12" s="47" t="s">
        <v>66</v>
      </c>
      <c r="E12" s="23" t="s">
        <v>66</v>
      </c>
      <c r="F12" s="47" t="s">
        <v>66</v>
      </c>
      <c r="G12" s="47" t="s">
        <v>66</v>
      </c>
      <c r="H12" s="47" t="s">
        <v>66</v>
      </c>
      <c r="I12" s="47" t="s">
        <v>66</v>
      </c>
      <c r="J12" s="47" t="s">
        <v>66</v>
      </c>
      <c r="K12" s="47" t="s">
        <v>66</v>
      </c>
      <c r="L12" s="23" t="s">
        <v>66</v>
      </c>
      <c r="M12" s="23" t="s">
        <v>66</v>
      </c>
      <c r="N12" s="23" t="s">
        <v>66</v>
      </c>
      <c r="O12" s="23" t="s">
        <v>66</v>
      </c>
      <c r="P12" s="23" t="s">
        <v>66</v>
      </c>
      <c r="Q12" s="23" t="s">
        <v>66</v>
      </c>
      <c r="R12" s="23" t="s">
        <v>66</v>
      </c>
      <c r="S12" s="23" t="s">
        <v>66</v>
      </c>
      <c r="T12" s="23" t="s">
        <v>66</v>
      </c>
      <c r="U12" s="47">
        <v>160</v>
      </c>
      <c r="V12" s="47">
        <v>160</v>
      </c>
      <c r="W12" s="47" t="s">
        <v>66</v>
      </c>
      <c r="X12" s="47" t="s">
        <v>66</v>
      </c>
      <c r="Y12" s="47" t="s">
        <v>66</v>
      </c>
      <c r="Z12" s="47" t="s">
        <v>66</v>
      </c>
      <c r="AA12" s="47" t="s">
        <v>66</v>
      </c>
      <c r="AB12" s="47" t="s">
        <v>66</v>
      </c>
      <c r="AC12" s="23" t="s">
        <v>104</v>
      </c>
      <c r="AD12" s="23" t="s">
        <v>131</v>
      </c>
      <c r="AE12" s="47" t="s">
        <v>131</v>
      </c>
      <c r="AF12" s="47" t="s">
        <v>100</v>
      </c>
      <c r="AG12" s="47" t="s">
        <v>92</v>
      </c>
      <c r="AH12" s="47" t="s">
        <v>92</v>
      </c>
      <c r="AI12" s="47" t="s">
        <v>91</v>
      </c>
      <c r="AJ12" s="47" t="s">
        <v>91</v>
      </c>
      <c r="AK12" s="47" t="s">
        <v>66</v>
      </c>
      <c r="AL12" s="47" t="s">
        <v>66</v>
      </c>
      <c r="AM12" s="47" t="s">
        <v>66</v>
      </c>
      <c r="AN12" s="47" t="s">
        <v>66</v>
      </c>
      <c r="AO12" s="47" t="s">
        <v>66</v>
      </c>
      <c r="AP12" s="47" t="s">
        <v>66</v>
      </c>
      <c r="AQ12" s="47" t="s">
        <v>66</v>
      </c>
      <c r="AR12" s="47" t="s">
        <v>66</v>
      </c>
      <c r="AS12" s="48" t="s">
        <v>66</v>
      </c>
      <c r="AT12" s="49" t="s">
        <v>66</v>
      </c>
      <c r="AU12" s="48" t="s">
        <v>66</v>
      </c>
      <c r="AV12" s="49" t="s">
        <v>66</v>
      </c>
      <c r="AW12" s="48" t="s">
        <v>66</v>
      </c>
      <c r="AX12" s="49" t="s">
        <v>66</v>
      </c>
      <c r="AY12" s="47">
        <v>160</v>
      </c>
      <c r="AZ12" s="47">
        <v>160</v>
      </c>
      <c r="BA12" s="47">
        <v>20</v>
      </c>
      <c r="BB12" s="47">
        <v>20</v>
      </c>
      <c r="BC12" s="47">
        <f t="shared" si="81"/>
        <v>20</v>
      </c>
      <c r="BD12" s="50">
        <v>16</v>
      </c>
      <c r="BE12" s="50">
        <v>4</v>
      </c>
      <c r="BF12" s="50">
        <v>0</v>
      </c>
      <c r="BG12" s="47" t="s">
        <v>93</v>
      </c>
      <c r="BH12" s="47" t="s">
        <v>93</v>
      </c>
      <c r="BI12" s="47">
        <v>20</v>
      </c>
      <c r="BJ12" s="47">
        <v>20</v>
      </c>
      <c r="BK12" s="47" t="s">
        <v>94</v>
      </c>
      <c r="BL12" s="47" t="s">
        <v>94</v>
      </c>
      <c r="BM12" s="48">
        <v>3</v>
      </c>
      <c r="BN12" s="47">
        <v>3</v>
      </c>
      <c r="BO12" s="48">
        <v>15</v>
      </c>
      <c r="BP12" s="47">
        <v>15</v>
      </c>
      <c r="BQ12" s="48">
        <v>0</v>
      </c>
      <c r="BR12" s="47">
        <v>0</v>
      </c>
      <c r="BS12" s="48">
        <v>0</v>
      </c>
      <c r="BT12" s="47">
        <v>0</v>
      </c>
      <c r="BU12" s="48">
        <v>0</v>
      </c>
      <c r="BV12" s="47">
        <v>0</v>
      </c>
      <c r="BW12" s="48">
        <v>2</v>
      </c>
      <c r="BX12" s="47">
        <v>2</v>
      </c>
      <c r="BY12" s="48">
        <v>0</v>
      </c>
      <c r="BZ12" s="47">
        <v>0</v>
      </c>
      <c r="CA12" s="48">
        <v>0</v>
      </c>
      <c r="CB12" s="47">
        <v>0</v>
      </c>
      <c r="CC12" s="48">
        <v>0</v>
      </c>
      <c r="CD12" s="47">
        <v>0</v>
      </c>
      <c r="CE12" s="48">
        <v>0</v>
      </c>
      <c r="CF12" s="47">
        <v>0</v>
      </c>
      <c r="CG12" s="48">
        <v>0</v>
      </c>
      <c r="CH12" s="47">
        <v>0</v>
      </c>
      <c r="CI12" s="48">
        <v>0</v>
      </c>
      <c r="CJ12" s="47">
        <v>0</v>
      </c>
      <c r="CK12" s="48">
        <v>0</v>
      </c>
      <c r="CL12" s="47">
        <v>0</v>
      </c>
      <c r="CM12" s="48">
        <v>0</v>
      </c>
      <c r="CN12" s="47">
        <v>0</v>
      </c>
      <c r="CO12" s="48">
        <v>0</v>
      </c>
      <c r="CP12" s="47">
        <v>0</v>
      </c>
      <c r="CQ12" s="48">
        <v>0</v>
      </c>
      <c r="CR12" s="47">
        <v>0</v>
      </c>
      <c r="CS12" s="48">
        <v>0</v>
      </c>
      <c r="CT12" s="47">
        <v>0</v>
      </c>
      <c r="CU12" s="47" t="s">
        <v>66</v>
      </c>
      <c r="CV12" s="47" t="s">
        <v>66</v>
      </c>
      <c r="CW12" s="47" t="s">
        <v>66</v>
      </c>
      <c r="CX12" s="47" t="s">
        <v>66</v>
      </c>
      <c r="CY12" s="47" t="s">
        <v>66</v>
      </c>
      <c r="CZ12" s="47" t="s">
        <v>66</v>
      </c>
      <c r="DA12" s="47" t="s">
        <v>120</v>
      </c>
      <c r="DB12" s="47" t="s">
        <v>120</v>
      </c>
      <c r="DC12" s="47" t="s">
        <v>66</v>
      </c>
      <c r="DD12" s="47" t="s">
        <v>66</v>
      </c>
      <c r="DE12" s="47" t="s">
        <v>120</v>
      </c>
      <c r="DF12" s="47" t="s">
        <v>120</v>
      </c>
      <c r="DG12" s="47" t="s">
        <v>66</v>
      </c>
      <c r="DH12" s="47" t="s">
        <v>66</v>
      </c>
      <c r="DI12" s="47" t="s">
        <v>66</v>
      </c>
      <c r="DJ12" s="47" t="s">
        <v>66</v>
      </c>
      <c r="DK12" s="47" t="s">
        <v>66</v>
      </c>
      <c r="DL12" s="47" t="s">
        <v>66</v>
      </c>
      <c r="DM12" s="47" t="s">
        <v>66</v>
      </c>
      <c r="DN12" s="47" t="s">
        <v>66</v>
      </c>
      <c r="DO12" s="47" t="s">
        <v>66</v>
      </c>
      <c r="DP12" s="47" t="s">
        <v>66</v>
      </c>
      <c r="DQ12" s="47" t="s">
        <v>66</v>
      </c>
      <c r="DR12" s="23" t="s">
        <v>66</v>
      </c>
      <c r="DS12" s="47" t="s">
        <v>66</v>
      </c>
      <c r="DT12" s="47" t="s">
        <v>66</v>
      </c>
      <c r="DU12" s="47" t="s">
        <v>66</v>
      </c>
      <c r="DV12" s="47" t="s">
        <v>66</v>
      </c>
      <c r="DW12" s="47" t="s">
        <v>97</v>
      </c>
      <c r="DX12" s="47" t="s">
        <v>97</v>
      </c>
      <c r="DY12" s="47" t="s">
        <v>66</v>
      </c>
      <c r="DZ12" s="47" t="s">
        <v>66</v>
      </c>
      <c r="EA12" s="47" t="s">
        <v>66</v>
      </c>
      <c r="EB12" s="47" t="s">
        <v>66</v>
      </c>
      <c r="EC12" s="47">
        <v>1</v>
      </c>
      <c r="ED12" s="47">
        <v>1</v>
      </c>
      <c r="EE12" s="47">
        <v>1</v>
      </c>
      <c r="EF12" s="47">
        <v>1</v>
      </c>
      <c r="EG12" s="47">
        <v>1</v>
      </c>
      <c r="EH12" s="47">
        <v>1</v>
      </c>
      <c r="EI12" s="47">
        <v>1</v>
      </c>
      <c r="EJ12" s="47">
        <v>1</v>
      </c>
      <c r="EK12" s="47">
        <v>1</v>
      </c>
      <c r="EL12" s="47">
        <v>1</v>
      </c>
      <c r="EM12" s="47">
        <v>1</v>
      </c>
      <c r="EN12" s="47">
        <v>1</v>
      </c>
      <c r="EO12" s="47">
        <v>1</v>
      </c>
      <c r="EP12" s="47">
        <v>1</v>
      </c>
      <c r="EQ12" s="47">
        <v>1</v>
      </c>
      <c r="ER12" s="47">
        <v>1</v>
      </c>
      <c r="ES12" s="47">
        <v>1</v>
      </c>
      <c r="ET12" s="47">
        <v>1</v>
      </c>
      <c r="EU12" s="47">
        <v>1</v>
      </c>
      <c r="EV12" s="47">
        <v>1</v>
      </c>
      <c r="EW12" s="47">
        <f t="shared" ref="EW12:EX12" si="89">SUM(EC12,EE12,EG12,EI12,EK12,EM12,EO12,EQ12,ES12,EU12)</f>
        <v>10</v>
      </c>
      <c r="EX12" s="47">
        <f t="shared" si="89"/>
        <v>10</v>
      </c>
      <c r="EY12" s="64" t="str">
        <f t="shared" ref="EY12:EZ12" si="90">A12</f>
        <v>Giannitelli</v>
      </c>
      <c r="EZ12" s="65">
        <f t="shared" si="90"/>
        <v>2018</v>
      </c>
      <c r="FA12" s="23" t="str">
        <f t="shared" si="3"/>
        <v>Y</v>
      </c>
      <c r="FB12" s="23" t="str">
        <f t="shared" si="4"/>
        <v>Y</v>
      </c>
      <c r="FC12" s="23" t="str">
        <f t="shared" si="5"/>
        <v>Y</v>
      </c>
      <c r="FD12" s="23" t="str">
        <f t="shared" si="6"/>
        <v>Y</v>
      </c>
      <c r="FE12" s="23" t="str">
        <f t="shared" si="7"/>
        <v>Y</v>
      </c>
      <c r="FF12" s="23" t="str">
        <f t="shared" si="88"/>
        <v>Y</v>
      </c>
      <c r="FG12" s="23" t="str">
        <f t="shared" si="9"/>
        <v>Y</v>
      </c>
      <c r="FH12" s="23" t="str">
        <f t="shared" si="10"/>
        <v>Y</v>
      </c>
      <c r="FI12" s="23" t="str">
        <f t="shared" si="11"/>
        <v>Y</v>
      </c>
      <c r="FJ12" s="23" t="str">
        <f t="shared" si="12"/>
        <v>Y</v>
      </c>
      <c r="FK12" s="23" t="str">
        <f t="shared" si="13"/>
        <v>Y</v>
      </c>
      <c r="FL12" s="23" t="str">
        <f t="shared" si="14"/>
        <v>Y</v>
      </c>
      <c r="FM12" s="23" t="str">
        <f t="shared" si="15"/>
        <v>Y</v>
      </c>
      <c r="FN12" s="23" t="str">
        <f t="shared" si="16"/>
        <v>Y</v>
      </c>
      <c r="FO12" s="23" t="str">
        <f t="shared" si="17"/>
        <v>Y</v>
      </c>
      <c r="FP12" s="23" t="str">
        <f t="shared" si="18"/>
        <v>Y</v>
      </c>
      <c r="FQ12" s="23" t="str">
        <f t="shared" si="19"/>
        <v>Y</v>
      </c>
      <c r="FR12" s="23" t="str">
        <f t="shared" si="20"/>
        <v>Y</v>
      </c>
      <c r="FS12" s="23" t="str">
        <f t="shared" si="21"/>
        <v>Y</v>
      </c>
      <c r="FT12" s="23" t="str">
        <f t="shared" si="22"/>
        <v>Y</v>
      </c>
      <c r="FU12" s="23" t="str">
        <f t="shared" si="23"/>
        <v>Y</v>
      </c>
      <c r="FV12" s="23" t="str">
        <f t="shared" si="24"/>
        <v>Y</v>
      </c>
      <c r="FW12" s="23" t="str">
        <f t="shared" si="25"/>
        <v>Y</v>
      </c>
      <c r="FX12" s="23" t="str">
        <f t="shared" si="26"/>
        <v>Y</v>
      </c>
      <c r="FY12" s="23" t="str">
        <f t="shared" si="27"/>
        <v>Y</v>
      </c>
      <c r="FZ12" s="23" t="str">
        <f t="shared" si="28"/>
        <v>Y</v>
      </c>
      <c r="GA12" s="23" t="str">
        <f t="shared" si="29"/>
        <v>Y</v>
      </c>
      <c r="GB12" s="23" t="str">
        <f t="shared" si="30"/>
        <v>Y</v>
      </c>
      <c r="GC12" s="23" t="str">
        <f t="shared" si="31"/>
        <v>Y</v>
      </c>
      <c r="GD12" s="23" t="str">
        <f t="shared" si="32"/>
        <v>Y</v>
      </c>
      <c r="GE12" s="23" t="str">
        <f t="shared" si="33"/>
        <v>Y</v>
      </c>
      <c r="GF12" s="23" t="str">
        <f t="shared" si="34"/>
        <v>Y</v>
      </c>
      <c r="GG12" s="23" t="str">
        <f t="shared" si="35"/>
        <v>Y</v>
      </c>
      <c r="GH12" s="23" t="str">
        <f t="shared" si="36"/>
        <v>Y</v>
      </c>
      <c r="GI12" s="23" t="str">
        <f t="shared" si="37"/>
        <v>Y</v>
      </c>
      <c r="GJ12" s="23" t="str">
        <f t="shared" si="38"/>
        <v>Y</v>
      </c>
      <c r="GK12" s="23" t="str">
        <f t="shared" si="39"/>
        <v>Y</v>
      </c>
      <c r="GL12" s="23" t="str">
        <f t="shared" si="40"/>
        <v>Y</v>
      </c>
      <c r="GM12" s="23" t="str">
        <f t="shared" si="41"/>
        <v>Y</v>
      </c>
      <c r="GN12" s="23" t="str">
        <f t="shared" si="42"/>
        <v>Y</v>
      </c>
      <c r="GO12" s="23" t="str">
        <f t="shared" si="43"/>
        <v>Y</v>
      </c>
      <c r="GP12" s="23" t="str">
        <f t="shared" si="44"/>
        <v>Y</v>
      </c>
      <c r="GQ12" s="23" t="str">
        <f t="shared" si="45"/>
        <v>Y</v>
      </c>
      <c r="GR12" s="23" t="str">
        <f t="shared" si="46"/>
        <v>Y</v>
      </c>
      <c r="GS12" s="23" t="str">
        <f t="shared" si="47"/>
        <v>Y</v>
      </c>
      <c r="GT12" s="23" t="str">
        <f t="shared" si="48"/>
        <v>Y</v>
      </c>
      <c r="GU12" s="23" t="str">
        <f t="shared" si="49"/>
        <v>Y</v>
      </c>
      <c r="GV12" s="23" t="str">
        <f t="shared" si="50"/>
        <v>Y</v>
      </c>
      <c r="GW12" s="23" t="str">
        <f t="shared" si="51"/>
        <v>Y</v>
      </c>
      <c r="GX12" s="23" t="str">
        <f t="shared" si="52"/>
        <v>Y</v>
      </c>
      <c r="GY12" s="23" t="str">
        <f t="shared" si="53"/>
        <v>Y</v>
      </c>
      <c r="GZ12" s="23" t="str">
        <f t="shared" si="54"/>
        <v>Y</v>
      </c>
      <c r="HA12" s="23" t="str">
        <f t="shared" si="55"/>
        <v>Y</v>
      </c>
      <c r="HB12" s="23" t="str">
        <f t="shared" si="56"/>
        <v>Y</v>
      </c>
      <c r="HC12" s="23" t="str">
        <f t="shared" si="57"/>
        <v>Y</v>
      </c>
      <c r="HD12" s="23" t="str">
        <f t="shared" si="58"/>
        <v>Y</v>
      </c>
      <c r="HE12" s="23" t="str">
        <f t="shared" si="59"/>
        <v>Y</v>
      </c>
      <c r="HF12" s="23" t="str">
        <f t="shared" si="60"/>
        <v>Y</v>
      </c>
      <c r="HG12" s="23" t="str">
        <f t="shared" si="61"/>
        <v>Y</v>
      </c>
      <c r="HH12" s="23" t="str">
        <f t="shared" si="62"/>
        <v>Y</v>
      </c>
      <c r="HI12" s="23" t="str">
        <f t="shared" si="63"/>
        <v>Y</v>
      </c>
      <c r="HJ12" s="23" t="str">
        <f t="shared" si="64"/>
        <v>Y</v>
      </c>
      <c r="HK12" s="23" t="str">
        <f t="shared" si="65"/>
        <v>Y</v>
      </c>
      <c r="HL12" s="23" t="str">
        <f t="shared" si="66"/>
        <v>Y</v>
      </c>
      <c r="HM12" s="23" t="str">
        <f t="shared" si="67"/>
        <v>Y</v>
      </c>
      <c r="HN12" s="55" t="str">
        <f t="shared" si="68"/>
        <v>Y</v>
      </c>
      <c r="HO12" s="23"/>
      <c r="HP12" s="55"/>
    </row>
    <row r="13" spans="1:224" ht="30" customHeight="1">
      <c r="A13" s="46" t="s">
        <v>132</v>
      </c>
      <c r="B13" s="47">
        <v>2021</v>
      </c>
      <c r="C13" s="47">
        <v>61</v>
      </c>
      <c r="D13" s="47">
        <v>61</v>
      </c>
      <c r="E13" s="23">
        <v>44</v>
      </c>
      <c r="F13" s="47">
        <v>44</v>
      </c>
      <c r="G13" s="47" t="s">
        <v>66</v>
      </c>
      <c r="H13" s="47" t="s">
        <v>66</v>
      </c>
      <c r="I13" s="47" t="s">
        <v>66</v>
      </c>
      <c r="J13" s="47" t="s">
        <v>66</v>
      </c>
      <c r="K13" s="47" t="s">
        <v>66</v>
      </c>
      <c r="L13" s="23" t="s">
        <v>66</v>
      </c>
      <c r="M13" s="23" t="s">
        <v>66</v>
      </c>
      <c r="N13" s="23" t="s">
        <v>66</v>
      </c>
      <c r="O13" s="23" t="s">
        <v>66</v>
      </c>
      <c r="P13" s="23" t="s">
        <v>66</v>
      </c>
      <c r="Q13" s="23" t="s">
        <v>66</v>
      </c>
      <c r="R13" s="23" t="s">
        <v>66</v>
      </c>
      <c r="S13" s="23" t="s">
        <v>66</v>
      </c>
      <c r="T13" s="23" t="s">
        <v>66</v>
      </c>
      <c r="U13" s="47">
        <v>0</v>
      </c>
      <c r="V13" s="47">
        <v>0</v>
      </c>
      <c r="W13" s="47">
        <v>105</v>
      </c>
      <c r="X13" s="47">
        <v>105</v>
      </c>
      <c r="Y13" s="47">
        <v>0</v>
      </c>
      <c r="Z13" s="47">
        <v>0</v>
      </c>
      <c r="AA13" s="47">
        <v>0</v>
      </c>
      <c r="AB13" s="47">
        <v>0</v>
      </c>
      <c r="AC13" s="23" t="s">
        <v>88</v>
      </c>
      <c r="AD13" s="23" t="s">
        <v>133</v>
      </c>
      <c r="AE13" s="47" t="s">
        <v>133</v>
      </c>
      <c r="AF13" s="47" t="s">
        <v>100</v>
      </c>
      <c r="AG13" s="47" t="s">
        <v>91</v>
      </c>
      <c r="AH13" s="47" t="s">
        <v>91</v>
      </c>
      <c r="AI13" s="47" t="s">
        <v>92</v>
      </c>
      <c r="AJ13" s="47" t="s">
        <v>92</v>
      </c>
      <c r="AK13" s="47" t="s">
        <v>92</v>
      </c>
      <c r="AL13" s="47" t="s">
        <v>92</v>
      </c>
      <c r="AM13" s="47">
        <v>105</v>
      </c>
      <c r="AN13" s="47">
        <v>105</v>
      </c>
      <c r="AO13" s="47">
        <v>0</v>
      </c>
      <c r="AP13" s="47">
        <v>0</v>
      </c>
      <c r="AQ13" s="47">
        <v>0</v>
      </c>
      <c r="AR13" s="47">
        <v>0</v>
      </c>
      <c r="AS13" s="48">
        <v>79</v>
      </c>
      <c r="AT13" s="49">
        <v>79</v>
      </c>
      <c r="AU13" s="48" t="s">
        <v>66</v>
      </c>
      <c r="AV13" s="49" t="s">
        <v>66</v>
      </c>
      <c r="AW13" s="48" t="s">
        <v>66</v>
      </c>
      <c r="AX13" s="49" t="s">
        <v>66</v>
      </c>
      <c r="AY13" s="47">
        <v>105</v>
      </c>
      <c r="AZ13" s="47">
        <v>105</v>
      </c>
      <c r="BA13" s="47">
        <v>4</v>
      </c>
      <c r="BB13" s="47">
        <v>4</v>
      </c>
      <c r="BC13" s="47">
        <f t="shared" si="81"/>
        <v>4</v>
      </c>
      <c r="BD13" s="50">
        <v>4</v>
      </c>
      <c r="BE13" s="50">
        <v>0</v>
      </c>
      <c r="BF13" s="50">
        <v>0</v>
      </c>
      <c r="BG13" s="47" t="s">
        <v>93</v>
      </c>
      <c r="BH13" s="47" t="s">
        <v>93</v>
      </c>
      <c r="BI13" s="47">
        <v>4</v>
      </c>
      <c r="BJ13" s="47">
        <v>4</v>
      </c>
      <c r="BK13" s="47">
        <v>0</v>
      </c>
      <c r="BL13" s="47">
        <v>0</v>
      </c>
      <c r="BM13" s="48">
        <v>0</v>
      </c>
      <c r="BN13" s="47">
        <v>0</v>
      </c>
      <c r="BO13" s="48">
        <v>0</v>
      </c>
      <c r="BP13" s="47">
        <v>0</v>
      </c>
      <c r="BQ13" s="48">
        <v>0</v>
      </c>
      <c r="BR13" s="47">
        <v>0</v>
      </c>
      <c r="BS13" s="48">
        <v>0</v>
      </c>
      <c r="BT13" s="47">
        <v>0</v>
      </c>
      <c r="BU13" s="48">
        <v>0</v>
      </c>
      <c r="BV13" s="47">
        <v>0</v>
      </c>
      <c r="BW13" s="48">
        <v>0</v>
      </c>
      <c r="BX13" s="47">
        <v>0</v>
      </c>
      <c r="BY13" s="48">
        <v>1</v>
      </c>
      <c r="BZ13" s="47">
        <v>1</v>
      </c>
      <c r="CA13" s="48">
        <v>0</v>
      </c>
      <c r="CB13" s="47">
        <v>0</v>
      </c>
      <c r="CC13" s="48">
        <v>1</v>
      </c>
      <c r="CD13" s="47">
        <v>1</v>
      </c>
      <c r="CE13" s="48">
        <v>1</v>
      </c>
      <c r="CF13" s="47">
        <v>1</v>
      </c>
      <c r="CG13" s="48">
        <v>0</v>
      </c>
      <c r="CH13" s="47">
        <v>0</v>
      </c>
      <c r="CI13" s="48">
        <v>0</v>
      </c>
      <c r="CJ13" s="47">
        <v>0</v>
      </c>
      <c r="CK13" s="48">
        <v>0</v>
      </c>
      <c r="CL13" s="47">
        <v>0</v>
      </c>
      <c r="CM13" s="48">
        <v>0</v>
      </c>
      <c r="CN13" s="47">
        <v>0</v>
      </c>
      <c r="CO13" s="48">
        <v>1</v>
      </c>
      <c r="CP13" s="47">
        <v>1</v>
      </c>
      <c r="CQ13" s="48">
        <v>0</v>
      </c>
      <c r="CR13" s="47">
        <v>0</v>
      </c>
      <c r="CS13" s="48">
        <v>0</v>
      </c>
      <c r="CT13" s="47">
        <v>0</v>
      </c>
      <c r="CU13" s="47" t="s">
        <v>96</v>
      </c>
      <c r="CV13" s="47" t="s">
        <v>96</v>
      </c>
      <c r="CW13" s="47" t="s">
        <v>66</v>
      </c>
      <c r="CX13" s="47" t="s">
        <v>66</v>
      </c>
      <c r="CY13" s="47" t="s">
        <v>66</v>
      </c>
      <c r="CZ13" s="47" t="s">
        <v>66</v>
      </c>
      <c r="DA13" s="47" t="s">
        <v>95</v>
      </c>
      <c r="DB13" s="47" t="s">
        <v>95</v>
      </c>
      <c r="DC13" s="47" t="s">
        <v>96</v>
      </c>
      <c r="DD13" s="47" t="s">
        <v>96</v>
      </c>
      <c r="DE13" s="47" t="s">
        <v>96</v>
      </c>
      <c r="DF13" s="47" t="s">
        <v>96</v>
      </c>
      <c r="DG13" s="47" t="s">
        <v>96</v>
      </c>
      <c r="DH13" s="47" t="s">
        <v>96</v>
      </c>
      <c r="DI13" s="47" t="s">
        <v>96</v>
      </c>
      <c r="DJ13" s="47" t="s">
        <v>96</v>
      </c>
      <c r="DK13" s="47" t="s">
        <v>66</v>
      </c>
      <c r="DL13" s="47" t="s">
        <v>66</v>
      </c>
      <c r="DM13" s="47" t="s">
        <v>96</v>
      </c>
      <c r="DN13" s="47" t="s">
        <v>96</v>
      </c>
      <c r="DO13" s="47" t="s">
        <v>66</v>
      </c>
      <c r="DP13" s="47" t="s">
        <v>66</v>
      </c>
      <c r="DQ13" s="47" t="s">
        <v>66</v>
      </c>
      <c r="DR13" s="23" t="s">
        <v>66</v>
      </c>
      <c r="DS13" s="47" t="s">
        <v>66</v>
      </c>
      <c r="DT13" s="47" t="s">
        <v>66</v>
      </c>
      <c r="DU13" s="47" t="s">
        <v>66</v>
      </c>
      <c r="DV13" s="47" t="s">
        <v>66</v>
      </c>
      <c r="DW13" s="47" t="s">
        <v>97</v>
      </c>
      <c r="DX13" s="47" t="s">
        <v>134</v>
      </c>
      <c r="DY13" s="47" t="s">
        <v>113</v>
      </c>
      <c r="DZ13" s="47" t="s">
        <v>135</v>
      </c>
      <c r="EA13" s="47" t="s">
        <v>108</v>
      </c>
      <c r="EB13" s="47" t="s">
        <v>108</v>
      </c>
      <c r="EC13" s="47">
        <v>1</v>
      </c>
      <c r="ED13" s="47">
        <v>1</v>
      </c>
      <c r="EE13" s="47">
        <v>1</v>
      </c>
      <c r="EF13" s="47">
        <v>1</v>
      </c>
      <c r="EG13" s="47">
        <v>1</v>
      </c>
      <c r="EH13" s="47">
        <v>1</v>
      </c>
      <c r="EI13" s="47">
        <v>1</v>
      </c>
      <c r="EJ13" s="47">
        <v>1</v>
      </c>
      <c r="EK13" s="47">
        <v>1</v>
      </c>
      <c r="EL13" s="47">
        <v>1</v>
      </c>
      <c r="EM13" s="47">
        <v>1</v>
      </c>
      <c r="EN13" s="47">
        <v>1</v>
      </c>
      <c r="EO13" s="47">
        <v>1</v>
      </c>
      <c r="EP13" s="47">
        <v>1</v>
      </c>
      <c r="EQ13" s="47">
        <v>1</v>
      </c>
      <c r="ER13" s="47">
        <v>1</v>
      </c>
      <c r="ES13" s="47">
        <v>1</v>
      </c>
      <c r="ET13" s="47">
        <v>1</v>
      </c>
      <c r="EU13" s="47">
        <v>1</v>
      </c>
      <c r="EV13" s="47">
        <v>1</v>
      </c>
      <c r="EW13" s="47">
        <f t="shared" ref="EW13:EX13" si="91">SUM(EC13,EE13,EG13,EI13,EK13,EM13,EO13,EQ13,ES13,EU13)</f>
        <v>10</v>
      </c>
      <c r="EX13" s="47">
        <f t="shared" si="91"/>
        <v>10</v>
      </c>
      <c r="EY13" s="64" t="str">
        <f t="shared" ref="EY13:EZ13" si="92">A13</f>
        <v>Guasp</v>
      </c>
      <c r="EZ13" s="65">
        <f t="shared" si="92"/>
        <v>2021</v>
      </c>
      <c r="FA13" s="23" t="str">
        <f t="shared" si="3"/>
        <v>Y</v>
      </c>
      <c r="FB13" s="23" t="str">
        <f t="shared" si="4"/>
        <v>Y</v>
      </c>
      <c r="FC13" s="23" t="str">
        <f t="shared" si="5"/>
        <v>Y</v>
      </c>
      <c r="FD13" s="23" t="str">
        <f t="shared" si="6"/>
        <v>Y</v>
      </c>
      <c r="FE13" s="23" t="str">
        <f t="shared" si="7"/>
        <v>Y</v>
      </c>
      <c r="FF13" s="23" t="str">
        <f t="shared" si="88"/>
        <v>Y</v>
      </c>
      <c r="FG13" s="23" t="str">
        <f t="shared" si="9"/>
        <v>Y</v>
      </c>
      <c r="FH13" s="23" t="str">
        <f t="shared" si="10"/>
        <v>Y</v>
      </c>
      <c r="FI13" s="23" t="str">
        <f t="shared" si="11"/>
        <v>Y</v>
      </c>
      <c r="FJ13" s="23" t="str">
        <f t="shared" si="12"/>
        <v>Y</v>
      </c>
      <c r="FK13" s="23" t="str">
        <f t="shared" si="13"/>
        <v>Y</v>
      </c>
      <c r="FL13" s="23" t="str">
        <f t="shared" si="14"/>
        <v>Y</v>
      </c>
      <c r="FM13" s="23" t="str">
        <f t="shared" si="15"/>
        <v>Y</v>
      </c>
      <c r="FN13" s="23" t="str">
        <f t="shared" si="16"/>
        <v>Y</v>
      </c>
      <c r="FO13" s="23" t="str">
        <f t="shared" si="17"/>
        <v>Y</v>
      </c>
      <c r="FP13" s="23" t="str">
        <f t="shared" si="18"/>
        <v>Y</v>
      </c>
      <c r="FQ13" s="23" t="str">
        <f t="shared" si="19"/>
        <v>Y</v>
      </c>
      <c r="FR13" s="23" t="str">
        <f t="shared" si="20"/>
        <v>Y</v>
      </c>
      <c r="FS13" s="23" t="str">
        <f t="shared" si="21"/>
        <v>Y</v>
      </c>
      <c r="FT13" s="23" t="str">
        <f t="shared" si="22"/>
        <v>Y</v>
      </c>
      <c r="FU13" s="23" t="str">
        <f t="shared" si="23"/>
        <v>Y</v>
      </c>
      <c r="FV13" s="23" t="str">
        <f t="shared" si="24"/>
        <v>Y</v>
      </c>
      <c r="FW13" s="23" t="str">
        <f t="shared" si="25"/>
        <v>Y</v>
      </c>
      <c r="FX13" s="23" t="str">
        <f t="shared" si="26"/>
        <v>Y</v>
      </c>
      <c r="FY13" s="23" t="str">
        <f t="shared" si="27"/>
        <v>Y</v>
      </c>
      <c r="FZ13" s="23" t="str">
        <f t="shared" si="28"/>
        <v>Y</v>
      </c>
      <c r="GA13" s="23" t="str">
        <f t="shared" si="29"/>
        <v>Y</v>
      </c>
      <c r="GB13" s="23" t="str">
        <f t="shared" si="30"/>
        <v>Y</v>
      </c>
      <c r="GC13" s="23" t="str">
        <f t="shared" si="31"/>
        <v>Y</v>
      </c>
      <c r="GD13" s="23" t="str">
        <f t="shared" si="32"/>
        <v>Y</v>
      </c>
      <c r="GE13" s="23" t="str">
        <f t="shared" si="33"/>
        <v>Y</v>
      </c>
      <c r="GF13" s="23" t="str">
        <f t="shared" si="34"/>
        <v>Y</v>
      </c>
      <c r="GG13" s="23" t="str">
        <f t="shared" si="35"/>
        <v>Y</v>
      </c>
      <c r="GH13" s="23" t="str">
        <f t="shared" si="36"/>
        <v>Y</v>
      </c>
      <c r="GI13" s="23" t="str">
        <f t="shared" si="37"/>
        <v>Y</v>
      </c>
      <c r="GJ13" s="23" t="str">
        <f t="shared" si="38"/>
        <v>Y</v>
      </c>
      <c r="GK13" s="23" t="str">
        <f t="shared" si="39"/>
        <v>Y</v>
      </c>
      <c r="GL13" s="23" t="str">
        <f t="shared" si="40"/>
        <v>Y</v>
      </c>
      <c r="GM13" s="23" t="str">
        <f t="shared" si="41"/>
        <v>Y</v>
      </c>
      <c r="GN13" s="23" t="str">
        <f t="shared" si="42"/>
        <v>Y</v>
      </c>
      <c r="GO13" s="23" t="str">
        <f t="shared" si="43"/>
        <v>Y</v>
      </c>
      <c r="GP13" s="23" t="str">
        <f t="shared" si="44"/>
        <v>Y</v>
      </c>
      <c r="GQ13" s="23" t="str">
        <f t="shared" si="45"/>
        <v>Y</v>
      </c>
      <c r="GR13" s="23" t="str">
        <f t="shared" si="46"/>
        <v>Y</v>
      </c>
      <c r="GS13" s="23" t="str">
        <f t="shared" si="47"/>
        <v>Y</v>
      </c>
      <c r="GT13" s="23" t="str">
        <f t="shared" si="48"/>
        <v>Y</v>
      </c>
      <c r="GU13" s="23" t="str">
        <f t="shared" si="49"/>
        <v>Y</v>
      </c>
      <c r="GV13" s="23" t="str">
        <f t="shared" si="50"/>
        <v>Y</v>
      </c>
      <c r="GW13" s="23" t="str">
        <f t="shared" si="51"/>
        <v>Y</v>
      </c>
      <c r="GX13" s="23" t="str">
        <f t="shared" si="52"/>
        <v>Y</v>
      </c>
      <c r="GY13" s="23" t="str">
        <f t="shared" si="53"/>
        <v>Y</v>
      </c>
      <c r="GZ13" s="23" t="str">
        <f t="shared" si="54"/>
        <v>Y</v>
      </c>
      <c r="HA13" s="23" t="str">
        <f t="shared" si="55"/>
        <v>Y</v>
      </c>
      <c r="HB13" s="23" t="str">
        <f t="shared" si="56"/>
        <v>Y</v>
      </c>
      <c r="HC13" s="23" t="str">
        <f t="shared" si="57"/>
        <v>Y</v>
      </c>
      <c r="HD13" s="23" t="str">
        <f t="shared" si="58"/>
        <v>Y</v>
      </c>
      <c r="HE13" s="23" t="str">
        <f t="shared" si="59"/>
        <v>Y</v>
      </c>
      <c r="HF13" s="23" t="str">
        <f t="shared" si="60"/>
        <v>Y</v>
      </c>
      <c r="HG13" s="23" t="str">
        <f t="shared" si="61"/>
        <v>Y</v>
      </c>
      <c r="HH13" s="23" t="str">
        <f t="shared" si="62"/>
        <v>Y</v>
      </c>
      <c r="HI13" s="23" t="str">
        <f t="shared" si="63"/>
        <v>Y</v>
      </c>
      <c r="HJ13" s="23" t="str">
        <f t="shared" si="64"/>
        <v>Y</v>
      </c>
      <c r="HK13" s="23" t="str">
        <f t="shared" si="65"/>
        <v>Y</v>
      </c>
      <c r="HL13" s="23" t="str">
        <f t="shared" si="66"/>
        <v>Y</v>
      </c>
      <c r="HM13" s="23" t="str">
        <f t="shared" si="67"/>
        <v>Y</v>
      </c>
      <c r="HN13" s="55" t="str">
        <f t="shared" si="68"/>
        <v>Y</v>
      </c>
      <c r="HO13" s="23"/>
      <c r="HP13" s="55"/>
    </row>
    <row r="14" spans="1:224" ht="30" customHeight="1">
      <c r="A14" s="46" t="s">
        <v>136</v>
      </c>
      <c r="B14" s="47">
        <v>2019</v>
      </c>
      <c r="C14" s="47">
        <v>480</v>
      </c>
      <c r="D14" s="47">
        <v>480</v>
      </c>
      <c r="E14" s="23">
        <v>325</v>
      </c>
      <c r="F14" s="47">
        <v>325</v>
      </c>
      <c r="G14" s="47" t="s">
        <v>66</v>
      </c>
      <c r="H14" s="47" t="s">
        <v>66</v>
      </c>
      <c r="I14" s="47" t="s">
        <v>66</v>
      </c>
      <c r="J14" s="47" t="s">
        <v>66</v>
      </c>
      <c r="K14" s="47">
        <v>32</v>
      </c>
      <c r="L14" s="23">
        <v>32</v>
      </c>
      <c r="M14" s="23" t="s">
        <v>66</v>
      </c>
      <c r="N14" s="23" t="s">
        <v>66</v>
      </c>
      <c r="O14" s="23" t="s">
        <v>66</v>
      </c>
      <c r="P14" s="23" t="s">
        <v>66</v>
      </c>
      <c r="Q14" s="23" t="s">
        <v>66</v>
      </c>
      <c r="R14" s="23" t="s">
        <v>66</v>
      </c>
      <c r="S14" s="23" t="s">
        <v>66</v>
      </c>
      <c r="T14" s="23" t="s">
        <v>66</v>
      </c>
      <c r="U14" s="47" t="s">
        <v>66</v>
      </c>
      <c r="V14" s="47" t="s">
        <v>66</v>
      </c>
      <c r="W14" s="47" t="s">
        <v>66</v>
      </c>
      <c r="X14" s="47" t="s">
        <v>66</v>
      </c>
      <c r="Y14" s="47">
        <v>0</v>
      </c>
      <c r="Z14" s="47">
        <v>0</v>
      </c>
      <c r="AA14" s="47">
        <v>0</v>
      </c>
      <c r="AB14" s="47">
        <v>0</v>
      </c>
      <c r="AC14" s="23" t="s">
        <v>66</v>
      </c>
      <c r="AD14" s="23" t="s">
        <v>125</v>
      </c>
      <c r="AE14" s="47" t="s">
        <v>125</v>
      </c>
      <c r="AF14" s="47" t="s">
        <v>126</v>
      </c>
      <c r="AG14" s="47" t="s">
        <v>92</v>
      </c>
      <c r="AH14" s="47" t="s">
        <v>92</v>
      </c>
      <c r="AI14" s="47" t="s">
        <v>91</v>
      </c>
      <c r="AJ14" s="47" t="s">
        <v>91</v>
      </c>
      <c r="AK14" s="47" t="s">
        <v>91</v>
      </c>
      <c r="AL14" s="47" t="s">
        <v>91</v>
      </c>
      <c r="AM14" s="47" t="s">
        <v>66</v>
      </c>
      <c r="AN14" s="47" t="s">
        <v>66</v>
      </c>
      <c r="AO14" s="47" t="s">
        <v>66</v>
      </c>
      <c r="AP14" s="47" t="s">
        <v>66</v>
      </c>
      <c r="AQ14" s="47" t="s">
        <v>66</v>
      </c>
      <c r="AR14" s="47" t="s">
        <v>66</v>
      </c>
      <c r="AS14" s="48" t="s">
        <v>66</v>
      </c>
      <c r="AT14" s="49" t="s">
        <v>66</v>
      </c>
      <c r="AU14" s="48" t="s">
        <v>66</v>
      </c>
      <c r="AV14" s="49" t="s">
        <v>66</v>
      </c>
      <c r="AW14" s="48" t="s">
        <v>66</v>
      </c>
      <c r="AX14" s="49" t="s">
        <v>66</v>
      </c>
      <c r="AY14" s="47">
        <v>805</v>
      </c>
      <c r="AZ14" s="47">
        <v>805</v>
      </c>
      <c r="BA14" s="47">
        <v>3</v>
      </c>
      <c r="BB14" s="47">
        <v>3</v>
      </c>
      <c r="BC14" s="47">
        <f t="shared" si="81"/>
        <v>1</v>
      </c>
      <c r="BD14" s="50">
        <v>1</v>
      </c>
      <c r="BE14" s="50">
        <v>0</v>
      </c>
      <c r="BF14" s="50">
        <v>2</v>
      </c>
      <c r="BG14" s="47" t="s">
        <v>66</v>
      </c>
      <c r="BH14" s="47" t="s">
        <v>66</v>
      </c>
      <c r="BI14" s="47">
        <v>1</v>
      </c>
      <c r="BJ14" s="47">
        <v>1</v>
      </c>
      <c r="BK14" s="47" t="s">
        <v>94</v>
      </c>
      <c r="BL14" s="47" t="s">
        <v>94</v>
      </c>
      <c r="BM14" s="48" t="s">
        <v>94</v>
      </c>
      <c r="BN14" s="47" t="s">
        <v>94</v>
      </c>
      <c r="BO14" s="48" t="s">
        <v>94</v>
      </c>
      <c r="BP14" s="47" t="s">
        <v>94</v>
      </c>
      <c r="BQ14" s="48" t="s">
        <v>94</v>
      </c>
      <c r="BR14" s="47" t="s">
        <v>94</v>
      </c>
      <c r="BS14" s="48" t="s">
        <v>94</v>
      </c>
      <c r="BT14" s="47" t="s">
        <v>94</v>
      </c>
      <c r="BU14" s="48" t="s">
        <v>94</v>
      </c>
      <c r="BV14" s="47" t="s">
        <v>94</v>
      </c>
      <c r="BW14" s="48" t="s">
        <v>94</v>
      </c>
      <c r="BX14" s="47" t="s">
        <v>94</v>
      </c>
      <c r="BY14" s="48" t="s">
        <v>94</v>
      </c>
      <c r="BZ14" s="47" t="s">
        <v>94</v>
      </c>
      <c r="CA14" s="48" t="s">
        <v>94</v>
      </c>
      <c r="CB14" s="47" t="s">
        <v>94</v>
      </c>
      <c r="CC14" s="48" t="s">
        <v>94</v>
      </c>
      <c r="CD14" s="47" t="s">
        <v>94</v>
      </c>
      <c r="CE14" s="48" t="s">
        <v>94</v>
      </c>
      <c r="CF14" s="47" t="s">
        <v>94</v>
      </c>
      <c r="CG14" s="48" t="s">
        <v>94</v>
      </c>
      <c r="CH14" s="47" t="s">
        <v>94</v>
      </c>
      <c r="CI14" s="48" t="s">
        <v>94</v>
      </c>
      <c r="CJ14" s="47" t="s">
        <v>94</v>
      </c>
      <c r="CK14" s="48" t="s">
        <v>94</v>
      </c>
      <c r="CL14" s="47" t="s">
        <v>94</v>
      </c>
      <c r="CM14" s="48" t="s">
        <v>94</v>
      </c>
      <c r="CN14" s="47" t="s">
        <v>94</v>
      </c>
      <c r="CO14" s="48" t="s">
        <v>94</v>
      </c>
      <c r="CP14" s="47" t="s">
        <v>94</v>
      </c>
      <c r="CQ14" s="48" t="s">
        <v>94</v>
      </c>
      <c r="CR14" s="47" t="s">
        <v>94</v>
      </c>
      <c r="CS14" s="48">
        <v>1</v>
      </c>
      <c r="CT14" s="47">
        <v>1</v>
      </c>
      <c r="CU14" s="47" t="s">
        <v>95</v>
      </c>
      <c r="CV14" s="47" t="s">
        <v>95</v>
      </c>
      <c r="CW14" s="47" t="s">
        <v>96</v>
      </c>
      <c r="CX14" s="47" t="s">
        <v>96</v>
      </c>
      <c r="CY14" s="47" t="s">
        <v>95</v>
      </c>
      <c r="CZ14" s="47" t="s">
        <v>95</v>
      </c>
      <c r="DA14" s="47" t="s">
        <v>95</v>
      </c>
      <c r="DB14" s="47" t="s">
        <v>95</v>
      </c>
      <c r="DC14" s="47" t="s">
        <v>95</v>
      </c>
      <c r="DD14" s="47" t="s">
        <v>95</v>
      </c>
      <c r="DE14" s="47" t="s">
        <v>95</v>
      </c>
      <c r="DF14" s="47" t="s">
        <v>95</v>
      </c>
      <c r="DG14" s="47" t="s">
        <v>66</v>
      </c>
      <c r="DH14" s="47" t="s">
        <v>66</v>
      </c>
      <c r="DI14" s="47" t="s">
        <v>66</v>
      </c>
      <c r="DJ14" s="47" t="s">
        <v>66</v>
      </c>
      <c r="DK14" s="47" t="s">
        <v>66</v>
      </c>
      <c r="DL14" s="47" t="s">
        <v>66</v>
      </c>
      <c r="DM14" s="47" t="s">
        <v>95</v>
      </c>
      <c r="DN14" s="47" t="s">
        <v>95</v>
      </c>
      <c r="DO14" s="47" t="s">
        <v>66</v>
      </c>
      <c r="DP14" s="47" t="s">
        <v>66</v>
      </c>
      <c r="DQ14" s="47" t="s">
        <v>66</v>
      </c>
      <c r="DR14" s="23" t="s">
        <v>66</v>
      </c>
      <c r="DS14" s="47" t="s">
        <v>66</v>
      </c>
      <c r="DT14" s="47" t="s">
        <v>66</v>
      </c>
      <c r="DU14" s="47" t="s">
        <v>66</v>
      </c>
      <c r="DV14" s="47" t="s">
        <v>66</v>
      </c>
      <c r="DW14" s="47" t="s">
        <v>66</v>
      </c>
      <c r="DX14" s="47" t="s">
        <v>66</v>
      </c>
      <c r="DY14" s="47" t="s">
        <v>66</v>
      </c>
      <c r="DZ14" s="47" t="s">
        <v>66</v>
      </c>
      <c r="EA14" s="47" t="s">
        <v>66</v>
      </c>
      <c r="EB14" s="47" t="s">
        <v>66</v>
      </c>
      <c r="EC14" s="47">
        <v>1</v>
      </c>
      <c r="ED14" s="47">
        <v>1</v>
      </c>
      <c r="EE14" s="47">
        <v>1</v>
      </c>
      <c r="EF14" s="47">
        <v>1</v>
      </c>
      <c r="EG14" s="47">
        <v>1</v>
      </c>
      <c r="EH14" s="47">
        <v>1</v>
      </c>
      <c r="EI14" s="47">
        <v>1</v>
      </c>
      <c r="EJ14" s="47">
        <v>1</v>
      </c>
      <c r="EK14" s="47">
        <v>1</v>
      </c>
      <c r="EL14" s="47">
        <v>1</v>
      </c>
      <c r="EM14" s="47">
        <v>1</v>
      </c>
      <c r="EN14" s="47">
        <v>1</v>
      </c>
      <c r="EO14" s="47">
        <v>1</v>
      </c>
      <c r="EP14" s="47">
        <v>1</v>
      </c>
      <c r="EQ14" s="47">
        <v>1</v>
      </c>
      <c r="ER14" s="47">
        <v>1</v>
      </c>
      <c r="ES14" s="47">
        <v>1</v>
      </c>
      <c r="ET14" s="47">
        <v>1</v>
      </c>
      <c r="EU14" s="47">
        <v>1</v>
      </c>
      <c r="EV14" s="47">
        <v>1</v>
      </c>
      <c r="EW14" s="47">
        <f t="shared" ref="EW14:EX14" si="93">SUM(EC14,EE14,EG14,EI14,EK14,EM14,EO14,EQ14,ES14,EU14)</f>
        <v>10</v>
      </c>
      <c r="EX14" s="47">
        <f t="shared" si="93"/>
        <v>10</v>
      </c>
      <c r="EY14" s="64" t="str">
        <f t="shared" ref="EY14:EZ14" si="94">A14</f>
        <v>Harris</v>
      </c>
      <c r="EZ14" s="65">
        <f t="shared" si="94"/>
        <v>2019</v>
      </c>
      <c r="FA14" s="23" t="str">
        <f t="shared" si="3"/>
        <v>Y</v>
      </c>
      <c r="FB14" s="23" t="str">
        <f t="shared" si="4"/>
        <v>Y</v>
      </c>
      <c r="FC14" s="23" t="str">
        <f t="shared" si="5"/>
        <v>Y</v>
      </c>
      <c r="FD14" s="23" t="str">
        <f t="shared" si="6"/>
        <v>Y</v>
      </c>
      <c r="FE14" s="23" t="str">
        <f t="shared" si="7"/>
        <v>Y</v>
      </c>
      <c r="FF14" s="23" t="str">
        <f t="shared" si="88"/>
        <v>Y</v>
      </c>
      <c r="FG14" s="23" t="str">
        <f t="shared" si="9"/>
        <v>Y</v>
      </c>
      <c r="FH14" s="23" t="str">
        <f t="shared" si="10"/>
        <v>Y</v>
      </c>
      <c r="FI14" s="23" t="str">
        <f t="shared" si="11"/>
        <v>Y</v>
      </c>
      <c r="FJ14" s="23" t="str">
        <f t="shared" si="12"/>
        <v>Y</v>
      </c>
      <c r="FK14" s="23" t="str">
        <f t="shared" si="13"/>
        <v>Y</v>
      </c>
      <c r="FL14" s="23" t="str">
        <f t="shared" si="14"/>
        <v>Y</v>
      </c>
      <c r="FM14" s="23" t="str">
        <f t="shared" si="15"/>
        <v>Y</v>
      </c>
      <c r="FN14" s="23" t="str">
        <f t="shared" si="16"/>
        <v>Y</v>
      </c>
      <c r="FO14" s="23" t="str">
        <f t="shared" si="17"/>
        <v>Y</v>
      </c>
      <c r="FP14" s="23" t="str">
        <f t="shared" si="18"/>
        <v>Y</v>
      </c>
      <c r="FQ14" s="23" t="str">
        <f t="shared" si="19"/>
        <v>Y</v>
      </c>
      <c r="FR14" s="23" t="str">
        <f t="shared" si="20"/>
        <v>Y</v>
      </c>
      <c r="FS14" s="23" t="str">
        <f t="shared" si="21"/>
        <v>Y</v>
      </c>
      <c r="FT14" s="23" t="str">
        <f t="shared" si="22"/>
        <v>Y</v>
      </c>
      <c r="FU14" s="23" t="str">
        <f t="shared" si="23"/>
        <v>Y</v>
      </c>
      <c r="FV14" s="23" t="str">
        <f t="shared" si="24"/>
        <v>Y</v>
      </c>
      <c r="FW14" s="23" t="str">
        <f t="shared" si="25"/>
        <v>Y</v>
      </c>
      <c r="FX14" s="23" t="str">
        <f t="shared" si="26"/>
        <v>Y</v>
      </c>
      <c r="FY14" s="23" t="str">
        <f t="shared" si="27"/>
        <v>Y</v>
      </c>
      <c r="FZ14" s="23" t="str">
        <f t="shared" si="28"/>
        <v>Y</v>
      </c>
      <c r="GA14" s="23" t="str">
        <f t="shared" si="29"/>
        <v>Y</v>
      </c>
      <c r="GB14" s="23" t="str">
        <f t="shared" si="30"/>
        <v>Y</v>
      </c>
      <c r="GC14" s="23" t="str">
        <f t="shared" si="31"/>
        <v>Y</v>
      </c>
      <c r="GD14" s="23" t="str">
        <f t="shared" si="32"/>
        <v>Y</v>
      </c>
      <c r="GE14" s="23" t="str">
        <f t="shared" si="33"/>
        <v>Y</v>
      </c>
      <c r="GF14" s="23" t="str">
        <f t="shared" si="34"/>
        <v>Y</v>
      </c>
      <c r="GG14" s="23" t="str">
        <f t="shared" si="35"/>
        <v>Y</v>
      </c>
      <c r="GH14" s="23" t="str">
        <f t="shared" si="36"/>
        <v>Y</v>
      </c>
      <c r="GI14" s="23" t="str">
        <f t="shared" si="37"/>
        <v>Y</v>
      </c>
      <c r="GJ14" s="23" t="str">
        <f t="shared" si="38"/>
        <v>Y</v>
      </c>
      <c r="GK14" s="23" t="str">
        <f t="shared" si="39"/>
        <v>Y</v>
      </c>
      <c r="GL14" s="23" t="str">
        <f t="shared" si="40"/>
        <v>Y</v>
      </c>
      <c r="GM14" s="23" t="str">
        <f t="shared" si="41"/>
        <v>Y</v>
      </c>
      <c r="GN14" s="23" t="str">
        <f t="shared" si="42"/>
        <v>Y</v>
      </c>
      <c r="GO14" s="23" t="str">
        <f t="shared" si="43"/>
        <v>Y</v>
      </c>
      <c r="GP14" s="23" t="str">
        <f t="shared" si="44"/>
        <v>Y</v>
      </c>
      <c r="GQ14" s="23" t="str">
        <f t="shared" si="45"/>
        <v>Y</v>
      </c>
      <c r="GR14" s="23" t="str">
        <f t="shared" si="46"/>
        <v>Y</v>
      </c>
      <c r="GS14" s="23" t="str">
        <f t="shared" si="47"/>
        <v>Y</v>
      </c>
      <c r="GT14" s="23" t="str">
        <f t="shared" si="48"/>
        <v>Y</v>
      </c>
      <c r="GU14" s="23" t="str">
        <f t="shared" si="49"/>
        <v>Y</v>
      </c>
      <c r="GV14" s="23" t="str">
        <f t="shared" si="50"/>
        <v>Y</v>
      </c>
      <c r="GW14" s="23" t="str">
        <f t="shared" si="51"/>
        <v>Y</v>
      </c>
      <c r="GX14" s="23" t="str">
        <f t="shared" si="52"/>
        <v>Y</v>
      </c>
      <c r="GY14" s="23" t="str">
        <f t="shared" si="53"/>
        <v>Y</v>
      </c>
      <c r="GZ14" s="23" t="str">
        <f t="shared" si="54"/>
        <v>Y</v>
      </c>
      <c r="HA14" s="23" t="str">
        <f t="shared" si="55"/>
        <v>Y</v>
      </c>
      <c r="HB14" s="23" t="str">
        <f t="shared" si="56"/>
        <v>Y</v>
      </c>
      <c r="HC14" s="23" t="str">
        <f t="shared" si="57"/>
        <v>Y</v>
      </c>
      <c r="HD14" s="23" t="str">
        <f t="shared" si="58"/>
        <v>Y</v>
      </c>
      <c r="HE14" s="23" t="str">
        <f t="shared" si="59"/>
        <v>Y</v>
      </c>
      <c r="HF14" s="23" t="str">
        <f t="shared" si="60"/>
        <v>Y</v>
      </c>
      <c r="HG14" s="23" t="str">
        <f t="shared" si="61"/>
        <v>Y</v>
      </c>
      <c r="HH14" s="23" t="str">
        <f t="shared" si="62"/>
        <v>Y</v>
      </c>
      <c r="HI14" s="23" t="str">
        <f t="shared" si="63"/>
        <v>Y</v>
      </c>
      <c r="HJ14" s="23" t="str">
        <f t="shared" si="64"/>
        <v>Y</v>
      </c>
      <c r="HK14" s="23" t="str">
        <f t="shared" si="65"/>
        <v>Y</v>
      </c>
      <c r="HL14" s="23" t="str">
        <f t="shared" si="66"/>
        <v>Y</v>
      </c>
      <c r="HM14" s="23" t="str">
        <f t="shared" si="67"/>
        <v>Y</v>
      </c>
      <c r="HN14" s="55" t="str">
        <f t="shared" si="68"/>
        <v>Y</v>
      </c>
      <c r="HO14" s="23"/>
      <c r="HP14" s="55"/>
    </row>
    <row r="15" spans="1:224" ht="30" customHeight="1">
      <c r="A15" s="46" t="s">
        <v>137</v>
      </c>
      <c r="B15" s="52">
        <v>1987</v>
      </c>
      <c r="C15" s="52" t="s">
        <v>66</v>
      </c>
      <c r="D15" s="52" t="s">
        <v>66</v>
      </c>
      <c r="E15" s="56" t="s">
        <v>66</v>
      </c>
      <c r="F15" s="52" t="s">
        <v>66</v>
      </c>
      <c r="G15" s="52" t="s">
        <v>66</v>
      </c>
      <c r="H15" s="52" t="s">
        <v>66</v>
      </c>
      <c r="I15" s="52" t="s">
        <v>66</v>
      </c>
      <c r="J15" s="52" t="s">
        <v>66</v>
      </c>
      <c r="K15" s="52" t="s">
        <v>66</v>
      </c>
      <c r="L15" s="56" t="s">
        <v>66</v>
      </c>
      <c r="M15" s="56" t="s">
        <v>66</v>
      </c>
      <c r="N15" s="56" t="s">
        <v>66</v>
      </c>
      <c r="O15" s="56" t="s">
        <v>66</v>
      </c>
      <c r="P15" s="56" t="s">
        <v>66</v>
      </c>
      <c r="Q15" s="56" t="s">
        <v>66</v>
      </c>
      <c r="R15" s="56" t="s">
        <v>66</v>
      </c>
      <c r="S15" s="56" t="s">
        <v>66</v>
      </c>
      <c r="T15" s="56" t="s">
        <v>66</v>
      </c>
      <c r="U15" s="52">
        <v>0</v>
      </c>
      <c r="V15" s="52">
        <v>0</v>
      </c>
      <c r="W15" s="52">
        <v>268</v>
      </c>
      <c r="X15" s="52">
        <v>268</v>
      </c>
      <c r="Y15" s="52">
        <v>0</v>
      </c>
      <c r="Z15" s="52">
        <v>0</v>
      </c>
      <c r="AA15" s="52">
        <v>0</v>
      </c>
      <c r="AB15" s="52">
        <v>0</v>
      </c>
      <c r="AC15" s="56" t="s">
        <v>88</v>
      </c>
      <c r="AD15" s="56" t="s">
        <v>138</v>
      </c>
      <c r="AE15" s="52" t="s">
        <v>138</v>
      </c>
      <c r="AF15" s="52" t="s">
        <v>100</v>
      </c>
      <c r="AG15" s="52" t="s">
        <v>91</v>
      </c>
      <c r="AH15" s="52" t="s">
        <v>91</v>
      </c>
      <c r="AI15" s="52" t="s">
        <v>92</v>
      </c>
      <c r="AJ15" s="52" t="s">
        <v>92</v>
      </c>
      <c r="AK15" s="52" t="s">
        <v>92</v>
      </c>
      <c r="AL15" s="52" t="s">
        <v>92</v>
      </c>
      <c r="AM15" s="52">
        <v>268</v>
      </c>
      <c r="AN15" s="52">
        <v>268</v>
      </c>
      <c r="AO15" s="52">
        <v>0</v>
      </c>
      <c r="AP15" s="52">
        <v>0</v>
      </c>
      <c r="AQ15" s="52">
        <v>0</v>
      </c>
      <c r="AR15" s="52">
        <v>0</v>
      </c>
      <c r="AS15" s="56" t="s">
        <v>66</v>
      </c>
      <c r="AT15" s="56" t="s">
        <v>66</v>
      </c>
      <c r="AU15" s="56" t="s">
        <v>66</v>
      </c>
      <c r="AV15" s="56" t="s">
        <v>66</v>
      </c>
      <c r="AW15" s="56" t="s">
        <v>66</v>
      </c>
      <c r="AX15" s="56" t="s">
        <v>66</v>
      </c>
      <c r="AY15" s="52">
        <v>268</v>
      </c>
      <c r="AZ15" s="52">
        <v>268</v>
      </c>
      <c r="BA15" s="52">
        <v>15</v>
      </c>
      <c r="BB15" s="52">
        <v>15</v>
      </c>
      <c r="BC15" s="47">
        <f t="shared" si="81"/>
        <v>15</v>
      </c>
      <c r="BD15" s="50">
        <v>15</v>
      </c>
      <c r="BE15" s="50">
        <v>0</v>
      </c>
      <c r="BF15" s="50">
        <v>0</v>
      </c>
      <c r="BG15" s="52" t="s">
        <v>93</v>
      </c>
      <c r="BH15" s="52" t="s">
        <v>93</v>
      </c>
      <c r="BI15" s="52">
        <v>10</v>
      </c>
      <c r="BJ15" s="52">
        <v>10</v>
      </c>
      <c r="BK15" s="52">
        <f>BQ15+BS15</f>
        <v>5</v>
      </c>
      <c r="BL15" s="52">
        <f>SUM(BR15,BT15)</f>
        <v>5</v>
      </c>
      <c r="BM15" s="52">
        <v>3</v>
      </c>
      <c r="BN15" s="52">
        <v>3</v>
      </c>
      <c r="BO15" s="52" t="s">
        <v>94</v>
      </c>
      <c r="BP15" s="52" t="s">
        <v>94</v>
      </c>
      <c r="BQ15" s="52">
        <v>5</v>
      </c>
      <c r="BR15" s="52">
        <v>5</v>
      </c>
      <c r="BS15" s="52">
        <v>0</v>
      </c>
      <c r="BT15" s="52">
        <v>0</v>
      </c>
      <c r="BU15" s="48">
        <v>1</v>
      </c>
      <c r="BV15" s="47">
        <v>1</v>
      </c>
      <c r="BW15" s="48" t="s">
        <v>94</v>
      </c>
      <c r="BX15" s="47" t="s">
        <v>94</v>
      </c>
      <c r="BY15" s="52">
        <v>0</v>
      </c>
      <c r="BZ15" s="52">
        <v>0</v>
      </c>
      <c r="CA15" s="52">
        <v>0</v>
      </c>
      <c r="CB15" s="52">
        <v>0</v>
      </c>
      <c r="CC15" s="52">
        <v>4</v>
      </c>
      <c r="CD15" s="52">
        <v>4</v>
      </c>
      <c r="CE15" s="48" t="s">
        <v>94</v>
      </c>
      <c r="CF15" s="47" t="s">
        <v>94</v>
      </c>
      <c r="CG15" s="48" t="s">
        <v>94</v>
      </c>
      <c r="CH15" s="47" t="s">
        <v>94</v>
      </c>
      <c r="CI15" s="52">
        <v>0</v>
      </c>
      <c r="CJ15" s="52">
        <v>0</v>
      </c>
      <c r="CK15" s="52">
        <v>0</v>
      </c>
      <c r="CL15" s="52">
        <v>0</v>
      </c>
      <c r="CM15" s="52">
        <v>1</v>
      </c>
      <c r="CN15" s="52">
        <v>1</v>
      </c>
      <c r="CO15" s="52">
        <v>1</v>
      </c>
      <c r="CP15" s="52">
        <v>1</v>
      </c>
      <c r="CQ15" s="52">
        <v>0</v>
      </c>
      <c r="CR15" s="52">
        <v>0</v>
      </c>
      <c r="CS15" s="52">
        <v>0</v>
      </c>
      <c r="CT15" s="52">
        <v>0</v>
      </c>
      <c r="CU15" s="52" t="s">
        <v>66</v>
      </c>
      <c r="CV15" s="52" t="s">
        <v>66</v>
      </c>
      <c r="CW15" s="52" t="s">
        <v>95</v>
      </c>
      <c r="CX15" s="52" t="s">
        <v>95</v>
      </c>
      <c r="CY15" s="52">
        <v>0</v>
      </c>
      <c r="CZ15" s="52">
        <v>0</v>
      </c>
      <c r="DA15" s="52" t="s">
        <v>95</v>
      </c>
      <c r="DB15" s="52" t="s">
        <v>95</v>
      </c>
      <c r="DC15" s="52" t="s">
        <v>95</v>
      </c>
      <c r="DD15" s="52" t="s">
        <v>95</v>
      </c>
      <c r="DE15" s="52" t="s">
        <v>95</v>
      </c>
      <c r="DF15" s="52" t="s">
        <v>95</v>
      </c>
      <c r="DG15" s="52">
        <v>0</v>
      </c>
      <c r="DH15" s="52">
        <v>0</v>
      </c>
      <c r="DI15" s="52" t="s">
        <v>96</v>
      </c>
      <c r="DJ15" s="52" t="s">
        <v>96</v>
      </c>
      <c r="DK15" s="52" t="s">
        <v>66</v>
      </c>
      <c r="DL15" s="52" t="s">
        <v>66</v>
      </c>
      <c r="DM15" s="52" t="s">
        <v>95</v>
      </c>
      <c r="DN15" s="52" t="s">
        <v>95</v>
      </c>
      <c r="DO15" s="52" t="s">
        <v>95</v>
      </c>
      <c r="DP15" s="52" t="s">
        <v>95</v>
      </c>
      <c r="DQ15" s="52" t="s">
        <v>66</v>
      </c>
      <c r="DR15" s="56" t="s">
        <v>66</v>
      </c>
      <c r="DS15" s="52" t="s">
        <v>139</v>
      </c>
      <c r="DT15" s="52" t="s">
        <v>139</v>
      </c>
      <c r="DU15" s="52" t="s">
        <v>66</v>
      </c>
      <c r="DV15" s="52" t="s">
        <v>66</v>
      </c>
      <c r="DW15" s="52" t="s">
        <v>97</v>
      </c>
      <c r="DX15" s="52" t="s">
        <v>140</v>
      </c>
      <c r="DY15" s="52" t="s">
        <v>66</v>
      </c>
      <c r="DZ15" s="52" t="s">
        <v>66</v>
      </c>
      <c r="EA15" s="52" t="s">
        <v>66</v>
      </c>
      <c r="EB15" s="52" t="s">
        <v>66</v>
      </c>
      <c r="EC15" s="52">
        <v>1</v>
      </c>
      <c r="ED15" s="52">
        <v>1</v>
      </c>
      <c r="EE15" s="52">
        <v>1</v>
      </c>
      <c r="EF15" s="52">
        <v>1</v>
      </c>
      <c r="EG15" s="52">
        <v>1</v>
      </c>
      <c r="EH15" s="52">
        <v>1</v>
      </c>
      <c r="EI15" s="52">
        <v>1</v>
      </c>
      <c r="EJ15" s="52">
        <v>1</v>
      </c>
      <c r="EK15" s="52">
        <v>1</v>
      </c>
      <c r="EL15" s="52">
        <v>1</v>
      </c>
      <c r="EM15" s="52">
        <v>1</v>
      </c>
      <c r="EN15" s="52">
        <v>1</v>
      </c>
      <c r="EO15" s="52">
        <v>1</v>
      </c>
      <c r="EP15" s="52">
        <v>1</v>
      </c>
      <c r="EQ15" s="52">
        <v>0</v>
      </c>
      <c r="ER15" s="52">
        <v>0</v>
      </c>
      <c r="ES15" s="52">
        <v>1</v>
      </c>
      <c r="ET15" s="52">
        <v>1</v>
      </c>
      <c r="EU15" s="52">
        <v>1</v>
      </c>
      <c r="EV15" s="52">
        <v>1</v>
      </c>
      <c r="EW15" s="47">
        <f t="shared" ref="EW15:EX15" si="95">SUM(EC15,EE15,EG15,EI15,EK15,EM15,EO15,EQ15,ES15,EU15)</f>
        <v>9</v>
      </c>
      <c r="EX15" s="47">
        <f t="shared" si="95"/>
        <v>9</v>
      </c>
      <c r="EY15" s="59" t="str">
        <f t="shared" ref="EY15:EZ15" si="96">A15</f>
        <v>Johnstone</v>
      </c>
      <c r="EZ15" s="59">
        <f t="shared" si="96"/>
        <v>1987</v>
      </c>
      <c r="FA15" s="60" t="str">
        <f t="shared" si="3"/>
        <v>Y</v>
      </c>
      <c r="FB15" s="60" t="str">
        <f t="shared" si="4"/>
        <v>Y</v>
      </c>
      <c r="FC15" s="60" t="str">
        <f t="shared" si="5"/>
        <v>Y</v>
      </c>
      <c r="FD15" s="60" t="str">
        <f t="shared" si="6"/>
        <v>Y</v>
      </c>
      <c r="FE15" s="60" t="str">
        <f t="shared" si="7"/>
        <v>Y</v>
      </c>
      <c r="FF15" s="60" t="str">
        <f t="shared" si="88"/>
        <v>Y</v>
      </c>
      <c r="FG15" s="60" t="str">
        <f t="shared" si="9"/>
        <v>Y</v>
      </c>
      <c r="FH15" s="60" t="str">
        <f t="shared" si="10"/>
        <v>Y</v>
      </c>
      <c r="FI15" s="60" t="str">
        <f t="shared" si="11"/>
        <v>Y</v>
      </c>
      <c r="FJ15" s="60" t="str">
        <f t="shared" si="12"/>
        <v>Y</v>
      </c>
      <c r="FK15" s="60" t="str">
        <f t="shared" si="13"/>
        <v>Y</v>
      </c>
      <c r="FL15" s="60" t="str">
        <f t="shared" si="14"/>
        <v>Y</v>
      </c>
      <c r="FM15" s="60" t="str">
        <f t="shared" si="15"/>
        <v>Y</v>
      </c>
      <c r="FN15" s="60" t="str">
        <f t="shared" si="16"/>
        <v>Y</v>
      </c>
      <c r="FO15" s="60" t="str">
        <f t="shared" si="17"/>
        <v>Y</v>
      </c>
      <c r="FP15" s="60" t="str">
        <f t="shared" si="18"/>
        <v>Y</v>
      </c>
      <c r="FQ15" s="60" t="str">
        <f t="shared" si="19"/>
        <v>Y</v>
      </c>
      <c r="FR15" s="60" t="str">
        <f t="shared" si="20"/>
        <v>Y</v>
      </c>
      <c r="FS15" s="60" t="str">
        <f t="shared" si="21"/>
        <v>Y</v>
      </c>
      <c r="FT15" s="60" t="str">
        <f t="shared" si="22"/>
        <v>Y</v>
      </c>
      <c r="FU15" s="60" t="str">
        <f t="shared" si="23"/>
        <v>Y</v>
      </c>
      <c r="FV15" s="60" t="str">
        <f t="shared" si="24"/>
        <v>Y</v>
      </c>
      <c r="FW15" s="60" t="str">
        <f t="shared" si="25"/>
        <v>Y</v>
      </c>
      <c r="FX15" s="60" t="str">
        <f t="shared" si="26"/>
        <v>Y</v>
      </c>
      <c r="FY15" s="60" t="str">
        <f t="shared" si="27"/>
        <v>Y</v>
      </c>
      <c r="FZ15" s="60" t="str">
        <f t="shared" si="28"/>
        <v>Y</v>
      </c>
      <c r="GA15" s="60" t="str">
        <f t="shared" si="29"/>
        <v>Y</v>
      </c>
      <c r="GB15" s="60" t="str">
        <f t="shared" si="30"/>
        <v>Y</v>
      </c>
      <c r="GC15" s="60" t="str">
        <f t="shared" si="31"/>
        <v>Y</v>
      </c>
      <c r="GD15" s="60" t="str">
        <f t="shared" si="32"/>
        <v>Y</v>
      </c>
      <c r="GE15" s="60" t="str">
        <f t="shared" si="33"/>
        <v>Y</v>
      </c>
      <c r="GF15" s="60" t="str">
        <f t="shared" si="34"/>
        <v>Y</v>
      </c>
      <c r="GG15" s="60" t="str">
        <f t="shared" si="35"/>
        <v>Y</v>
      </c>
      <c r="GH15" s="60" t="str">
        <f t="shared" si="36"/>
        <v>Y</v>
      </c>
      <c r="GI15" s="60" t="str">
        <f t="shared" si="37"/>
        <v>Y</v>
      </c>
      <c r="GJ15" s="60" t="str">
        <f t="shared" si="38"/>
        <v>Y</v>
      </c>
      <c r="GK15" s="60" t="str">
        <f t="shared" si="39"/>
        <v>Y</v>
      </c>
      <c r="GL15" s="60" t="str">
        <f t="shared" si="40"/>
        <v>Y</v>
      </c>
      <c r="GM15" s="60" t="str">
        <f t="shared" si="41"/>
        <v>Y</v>
      </c>
      <c r="GN15" s="60" t="str">
        <f t="shared" si="42"/>
        <v>Y</v>
      </c>
      <c r="GO15" s="60" t="str">
        <f t="shared" si="43"/>
        <v>Y</v>
      </c>
      <c r="GP15" s="60" t="str">
        <f t="shared" si="44"/>
        <v>Y</v>
      </c>
      <c r="GQ15" s="60" t="str">
        <f t="shared" si="45"/>
        <v>Y</v>
      </c>
      <c r="GR15" s="60" t="str">
        <f t="shared" si="46"/>
        <v>Y</v>
      </c>
      <c r="GS15" s="60" t="str">
        <f t="shared" si="47"/>
        <v>Y</v>
      </c>
      <c r="GT15" s="60" t="str">
        <f t="shared" si="48"/>
        <v>Y</v>
      </c>
      <c r="GU15" s="60" t="str">
        <f t="shared" si="49"/>
        <v>Y</v>
      </c>
      <c r="GV15" s="60" t="str">
        <f t="shared" si="50"/>
        <v>Y</v>
      </c>
      <c r="GW15" s="60" t="str">
        <f t="shared" si="51"/>
        <v>Y</v>
      </c>
      <c r="GX15" s="60" t="str">
        <f t="shared" si="52"/>
        <v>Y</v>
      </c>
      <c r="GY15" s="60" t="str">
        <f t="shared" si="53"/>
        <v>Y</v>
      </c>
      <c r="GZ15" s="60" t="str">
        <f t="shared" si="54"/>
        <v>Y</v>
      </c>
      <c r="HA15" s="60" t="str">
        <f t="shared" si="55"/>
        <v>Y</v>
      </c>
      <c r="HB15" s="60" t="str">
        <f t="shared" si="56"/>
        <v>Y</v>
      </c>
      <c r="HC15" s="60" t="str">
        <f t="shared" si="57"/>
        <v>Y</v>
      </c>
      <c r="HD15" s="60" t="str">
        <f t="shared" si="58"/>
        <v>Y</v>
      </c>
      <c r="HE15" s="60" t="str">
        <f t="shared" si="59"/>
        <v>Y</v>
      </c>
      <c r="HF15" s="60" t="str">
        <f t="shared" si="60"/>
        <v>Y</v>
      </c>
      <c r="HG15" s="60" t="str">
        <f t="shared" si="61"/>
        <v>Y</v>
      </c>
      <c r="HH15" s="60" t="str">
        <f t="shared" si="62"/>
        <v>Y</v>
      </c>
      <c r="HI15" s="60" t="str">
        <f t="shared" si="63"/>
        <v>Y</v>
      </c>
      <c r="HJ15" s="60" t="str">
        <f t="shared" si="64"/>
        <v>Y</v>
      </c>
      <c r="HK15" s="60" t="str">
        <f t="shared" si="65"/>
        <v>Y</v>
      </c>
      <c r="HL15" s="60" t="str">
        <f t="shared" si="66"/>
        <v>Y</v>
      </c>
      <c r="HM15" s="60" t="str">
        <f t="shared" si="67"/>
        <v>Y</v>
      </c>
      <c r="HN15" s="60" t="str">
        <f t="shared" si="68"/>
        <v>Y</v>
      </c>
      <c r="HO15" s="62"/>
      <c r="HP15" s="63"/>
    </row>
    <row r="16" spans="1:224" ht="30" customHeight="1">
      <c r="A16" s="46" t="s">
        <v>141</v>
      </c>
      <c r="B16" s="47">
        <v>2020</v>
      </c>
      <c r="C16" s="47">
        <v>134</v>
      </c>
      <c r="D16" s="47">
        <v>134</v>
      </c>
      <c r="E16" s="23">
        <v>78</v>
      </c>
      <c r="F16" s="47">
        <v>78</v>
      </c>
      <c r="G16" s="47" t="s">
        <v>66</v>
      </c>
      <c r="H16" s="47" t="s">
        <v>66</v>
      </c>
      <c r="I16" s="47" t="s">
        <v>66</v>
      </c>
      <c r="J16" s="47" t="s">
        <v>66</v>
      </c>
      <c r="K16" s="47" t="s">
        <v>142</v>
      </c>
      <c r="L16" s="23" t="s">
        <v>142</v>
      </c>
      <c r="M16" s="23">
        <v>5</v>
      </c>
      <c r="N16" s="23">
        <v>5</v>
      </c>
      <c r="O16" s="23">
        <v>203</v>
      </c>
      <c r="P16" s="23">
        <v>203</v>
      </c>
      <c r="Q16" s="23">
        <v>4</v>
      </c>
      <c r="R16" s="23">
        <v>4</v>
      </c>
      <c r="S16" s="23">
        <v>0</v>
      </c>
      <c r="T16" s="23">
        <v>0</v>
      </c>
      <c r="U16" s="47">
        <v>4</v>
      </c>
      <c r="V16" s="47">
        <v>4</v>
      </c>
      <c r="W16" s="47">
        <v>61</v>
      </c>
      <c r="X16" s="47">
        <v>61</v>
      </c>
      <c r="Y16" s="47">
        <v>147</v>
      </c>
      <c r="Z16" s="47">
        <v>147</v>
      </c>
      <c r="AA16" s="47">
        <v>0</v>
      </c>
      <c r="AB16" s="47">
        <v>0</v>
      </c>
      <c r="AC16" s="23" t="s">
        <v>143</v>
      </c>
      <c r="AD16" s="23" t="s">
        <v>138</v>
      </c>
      <c r="AE16" s="47" t="s">
        <v>138</v>
      </c>
      <c r="AF16" s="47" t="s">
        <v>100</v>
      </c>
      <c r="AG16" s="47" t="s">
        <v>91</v>
      </c>
      <c r="AH16" s="47" t="s">
        <v>91</v>
      </c>
      <c r="AI16" s="47" t="s">
        <v>92</v>
      </c>
      <c r="AJ16" s="47" t="s">
        <v>92</v>
      </c>
      <c r="AK16" s="47" t="s">
        <v>91</v>
      </c>
      <c r="AL16" s="47" t="s">
        <v>91</v>
      </c>
      <c r="AM16" s="47">
        <v>112</v>
      </c>
      <c r="AN16" s="47">
        <v>112</v>
      </c>
      <c r="AO16" s="47">
        <v>100</v>
      </c>
      <c r="AP16" s="47">
        <v>100</v>
      </c>
      <c r="AQ16" s="47">
        <v>0</v>
      </c>
      <c r="AR16" s="47">
        <v>0</v>
      </c>
      <c r="AS16" s="48" t="s">
        <v>66</v>
      </c>
      <c r="AT16" s="49" t="s">
        <v>66</v>
      </c>
      <c r="AU16" s="48" t="s">
        <v>66</v>
      </c>
      <c r="AV16" s="49" t="s">
        <v>66</v>
      </c>
      <c r="AW16" s="48">
        <v>2</v>
      </c>
      <c r="AX16" s="49" t="s">
        <v>66</v>
      </c>
      <c r="AY16" s="47">
        <v>212</v>
      </c>
      <c r="AZ16" s="47">
        <v>212</v>
      </c>
      <c r="BA16" s="47">
        <v>1</v>
      </c>
      <c r="BB16" s="47">
        <v>1</v>
      </c>
      <c r="BC16" s="47">
        <f t="shared" si="81"/>
        <v>2</v>
      </c>
      <c r="BD16" s="50">
        <v>1</v>
      </c>
      <c r="BE16" s="50">
        <v>1</v>
      </c>
      <c r="BF16" s="50">
        <v>0</v>
      </c>
      <c r="BG16" s="47" t="s">
        <v>106</v>
      </c>
      <c r="BH16" s="47" t="s">
        <v>106</v>
      </c>
      <c r="BI16" s="47">
        <v>2</v>
      </c>
      <c r="BJ16" s="47">
        <v>2</v>
      </c>
      <c r="BK16" s="47" t="s">
        <v>94</v>
      </c>
      <c r="BL16" s="47" t="s">
        <v>94</v>
      </c>
      <c r="BM16" s="48">
        <v>2</v>
      </c>
      <c r="BN16" s="47">
        <v>2</v>
      </c>
      <c r="BO16" s="48" t="s">
        <v>94</v>
      </c>
      <c r="BP16" s="47" t="s">
        <v>94</v>
      </c>
      <c r="BQ16" s="48" t="s">
        <v>94</v>
      </c>
      <c r="BR16" s="47" t="s">
        <v>94</v>
      </c>
      <c r="BS16" s="48" t="s">
        <v>94</v>
      </c>
      <c r="BT16" s="47" t="s">
        <v>94</v>
      </c>
      <c r="BU16" s="48" t="s">
        <v>94</v>
      </c>
      <c r="BV16" s="47" t="s">
        <v>94</v>
      </c>
      <c r="BW16" s="48" t="s">
        <v>94</v>
      </c>
      <c r="BX16" s="47" t="s">
        <v>94</v>
      </c>
      <c r="BY16" s="48" t="s">
        <v>94</v>
      </c>
      <c r="BZ16" s="47" t="s">
        <v>94</v>
      </c>
      <c r="CA16" s="48" t="s">
        <v>94</v>
      </c>
      <c r="CB16" s="47" t="s">
        <v>94</v>
      </c>
      <c r="CC16" s="48" t="s">
        <v>94</v>
      </c>
      <c r="CD16" s="47" t="s">
        <v>94</v>
      </c>
      <c r="CE16" s="48" t="s">
        <v>94</v>
      </c>
      <c r="CF16" s="47" t="s">
        <v>94</v>
      </c>
      <c r="CG16" s="48" t="s">
        <v>94</v>
      </c>
      <c r="CH16" s="47" t="s">
        <v>94</v>
      </c>
      <c r="CI16" s="48" t="s">
        <v>94</v>
      </c>
      <c r="CJ16" s="47" t="s">
        <v>94</v>
      </c>
      <c r="CK16" s="48" t="s">
        <v>94</v>
      </c>
      <c r="CL16" s="47" t="s">
        <v>94</v>
      </c>
      <c r="CM16" s="48" t="s">
        <v>94</v>
      </c>
      <c r="CN16" s="47" t="s">
        <v>94</v>
      </c>
      <c r="CO16" s="48" t="s">
        <v>94</v>
      </c>
      <c r="CP16" s="47" t="s">
        <v>94</v>
      </c>
      <c r="CQ16" s="48" t="s">
        <v>94</v>
      </c>
      <c r="CR16" s="47" t="s">
        <v>94</v>
      </c>
      <c r="CS16" s="48" t="s">
        <v>94</v>
      </c>
      <c r="CT16" s="47" t="s">
        <v>94</v>
      </c>
      <c r="CU16" s="47" t="s">
        <v>95</v>
      </c>
      <c r="CV16" s="47" t="s">
        <v>95</v>
      </c>
      <c r="CW16" s="47">
        <v>0</v>
      </c>
      <c r="CX16" s="47">
        <v>0</v>
      </c>
      <c r="CY16" s="47">
        <v>0</v>
      </c>
      <c r="CZ16" s="47">
        <v>0</v>
      </c>
      <c r="DA16" s="47" t="s">
        <v>95</v>
      </c>
      <c r="DB16" s="47" t="s">
        <v>95</v>
      </c>
      <c r="DC16" s="47" t="s">
        <v>95</v>
      </c>
      <c r="DD16" s="47" t="s">
        <v>95</v>
      </c>
      <c r="DE16" s="47" t="s">
        <v>96</v>
      </c>
      <c r="DF16" s="47" t="s">
        <v>96</v>
      </c>
      <c r="DG16" s="47">
        <v>0</v>
      </c>
      <c r="DH16" s="47">
        <v>0</v>
      </c>
      <c r="DI16" s="47" t="s">
        <v>96</v>
      </c>
      <c r="DJ16" s="47" t="s">
        <v>96</v>
      </c>
      <c r="DK16" s="47" t="s">
        <v>92</v>
      </c>
      <c r="DL16" s="47" t="s">
        <v>92</v>
      </c>
      <c r="DM16" s="47" t="s">
        <v>95</v>
      </c>
      <c r="DN16" s="47" t="s">
        <v>95</v>
      </c>
      <c r="DO16" s="47" t="s">
        <v>66</v>
      </c>
      <c r="DP16" s="47" t="s">
        <v>66</v>
      </c>
      <c r="DQ16" s="47" t="s">
        <v>66</v>
      </c>
      <c r="DR16" s="23" t="s">
        <v>66</v>
      </c>
      <c r="DS16" s="47" t="s">
        <v>95</v>
      </c>
      <c r="DT16" s="47" t="s">
        <v>95</v>
      </c>
      <c r="DU16" s="47" t="s">
        <v>66</v>
      </c>
      <c r="DV16" s="47" t="s">
        <v>66</v>
      </c>
      <c r="DW16" s="47" t="s">
        <v>97</v>
      </c>
      <c r="DX16" s="47" t="s">
        <v>97</v>
      </c>
      <c r="DY16" s="47" t="s">
        <v>113</v>
      </c>
      <c r="DZ16" s="47" t="s">
        <v>113</v>
      </c>
      <c r="EA16" s="47" t="s">
        <v>102</v>
      </c>
      <c r="EB16" s="47" t="s">
        <v>102</v>
      </c>
      <c r="EC16" s="47">
        <v>1</v>
      </c>
      <c r="ED16" s="47">
        <v>1</v>
      </c>
      <c r="EE16" s="47">
        <v>1</v>
      </c>
      <c r="EF16" s="47">
        <v>1</v>
      </c>
      <c r="EG16" s="47">
        <v>1</v>
      </c>
      <c r="EH16" s="47">
        <v>1</v>
      </c>
      <c r="EI16" s="47">
        <v>1</v>
      </c>
      <c r="EJ16" s="47">
        <v>1</v>
      </c>
      <c r="EK16" s="47">
        <v>1</v>
      </c>
      <c r="EL16" s="47">
        <v>1</v>
      </c>
      <c r="EM16" s="47">
        <v>1</v>
      </c>
      <c r="EN16" s="47">
        <v>1</v>
      </c>
      <c r="EO16" s="47">
        <v>1</v>
      </c>
      <c r="EP16" s="47">
        <v>1</v>
      </c>
      <c r="EQ16" s="47">
        <v>1</v>
      </c>
      <c r="ER16" s="47">
        <v>1</v>
      </c>
      <c r="ES16" s="47">
        <v>1</v>
      </c>
      <c r="ET16" s="47">
        <v>1</v>
      </c>
      <c r="EU16" s="47">
        <v>1</v>
      </c>
      <c r="EV16" s="47">
        <v>1</v>
      </c>
      <c r="EW16" s="47">
        <f t="shared" ref="EW16:EX16" si="97">SUM(EC16,EE16,EG16,EI16,EK16,EM16,EO16,EQ16,ES16,EU16)</f>
        <v>10</v>
      </c>
      <c r="EX16" s="47">
        <f t="shared" si="97"/>
        <v>10</v>
      </c>
      <c r="EY16" s="64" t="str">
        <f t="shared" ref="EY16:EZ16" si="98">A16</f>
        <v>Kelleher</v>
      </c>
      <c r="EZ16" s="65">
        <f t="shared" si="98"/>
        <v>2020</v>
      </c>
      <c r="FA16" s="23" t="str">
        <f t="shared" si="3"/>
        <v>Y</v>
      </c>
      <c r="FB16" s="23" t="str">
        <f t="shared" si="4"/>
        <v>Y</v>
      </c>
      <c r="FC16" s="23" t="str">
        <f t="shared" si="5"/>
        <v>Y</v>
      </c>
      <c r="FD16" s="23" t="str">
        <f t="shared" si="6"/>
        <v>Y</v>
      </c>
      <c r="FE16" s="23" t="str">
        <f t="shared" si="7"/>
        <v>Y</v>
      </c>
      <c r="FF16" s="23" t="str">
        <f t="shared" si="88"/>
        <v>Y</v>
      </c>
      <c r="FG16" s="23" t="str">
        <f t="shared" si="9"/>
        <v>Y</v>
      </c>
      <c r="FH16" s="23" t="str">
        <f t="shared" si="10"/>
        <v>Y</v>
      </c>
      <c r="FI16" s="23" t="str">
        <f t="shared" si="11"/>
        <v>Y</v>
      </c>
      <c r="FJ16" s="23" t="str">
        <f t="shared" si="12"/>
        <v>Y</v>
      </c>
      <c r="FK16" s="23" t="str">
        <f t="shared" si="13"/>
        <v>Y</v>
      </c>
      <c r="FL16" s="23" t="str">
        <f t="shared" si="14"/>
        <v>Y</v>
      </c>
      <c r="FM16" s="23" t="str">
        <f t="shared" si="15"/>
        <v>Y</v>
      </c>
      <c r="FN16" s="23" t="str">
        <f t="shared" si="16"/>
        <v>Y</v>
      </c>
      <c r="FO16" s="23" t="str">
        <f t="shared" si="17"/>
        <v>Y</v>
      </c>
      <c r="FP16" s="23" t="str">
        <f t="shared" si="18"/>
        <v>Y</v>
      </c>
      <c r="FQ16" s="23" t="str">
        <f t="shared" si="19"/>
        <v>Y</v>
      </c>
      <c r="FR16" s="23" t="str">
        <f t="shared" si="20"/>
        <v>Y</v>
      </c>
      <c r="FS16" s="23" t="str">
        <f t="shared" si="21"/>
        <v>Y</v>
      </c>
      <c r="FT16" s="23" t="str">
        <f t="shared" si="22"/>
        <v>Y</v>
      </c>
      <c r="FU16" s="23" t="str">
        <f t="shared" si="23"/>
        <v>Y</v>
      </c>
      <c r="FV16" s="23" t="str">
        <f t="shared" si="24"/>
        <v>Y</v>
      </c>
      <c r="FW16" s="23" t="str">
        <f t="shared" si="25"/>
        <v>Y</v>
      </c>
      <c r="FX16" s="23" t="str">
        <f t="shared" si="26"/>
        <v>Y</v>
      </c>
      <c r="FY16" s="23" t="str">
        <f t="shared" si="27"/>
        <v>Y</v>
      </c>
      <c r="FZ16" s="23" t="str">
        <f t="shared" si="28"/>
        <v>Y</v>
      </c>
      <c r="GA16" s="23" t="str">
        <f t="shared" si="29"/>
        <v>Y</v>
      </c>
      <c r="GB16" s="23" t="str">
        <f t="shared" si="30"/>
        <v>Y</v>
      </c>
      <c r="GC16" s="23" t="str">
        <f t="shared" si="31"/>
        <v>Y</v>
      </c>
      <c r="GD16" s="23" t="str">
        <f t="shared" si="32"/>
        <v>Y</v>
      </c>
      <c r="GE16" s="23" t="str">
        <f t="shared" si="33"/>
        <v>Y</v>
      </c>
      <c r="GF16" s="23" t="str">
        <f t="shared" si="34"/>
        <v>Y</v>
      </c>
      <c r="GG16" s="23" t="str">
        <f t="shared" si="35"/>
        <v>Y</v>
      </c>
      <c r="GH16" s="23" t="str">
        <f t="shared" si="36"/>
        <v>Y</v>
      </c>
      <c r="GI16" s="23" t="str">
        <f t="shared" si="37"/>
        <v>Y</v>
      </c>
      <c r="GJ16" s="23" t="str">
        <f t="shared" si="38"/>
        <v>Y</v>
      </c>
      <c r="GK16" s="23" t="str">
        <f t="shared" si="39"/>
        <v>Y</v>
      </c>
      <c r="GL16" s="23" t="str">
        <f t="shared" si="40"/>
        <v>Y</v>
      </c>
      <c r="GM16" s="23" t="str">
        <f t="shared" si="41"/>
        <v>Y</v>
      </c>
      <c r="GN16" s="23" t="str">
        <f t="shared" si="42"/>
        <v>Y</v>
      </c>
      <c r="GO16" s="23" t="str">
        <f t="shared" si="43"/>
        <v>Y</v>
      </c>
      <c r="GP16" s="23" t="str">
        <f t="shared" si="44"/>
        <v>Y</v>
      </c>
      <c r="GQ16" s="23" t="str">
        <f t="shared" si="45"/>
        <v>Y</v>
      </c>
      <c r="GR16" s="23" t="str">
        <f t="shared" si="46"/>
        <v>Y</v>
      </c>
      <c r="GS16" s="23" t="str">
        <f t="shared" si="47"/>
        <v>Y</v>
      </c>
      <c r="GT16" s="23" t="str">
        <f t="shared" si="48"/>
        <v>Y</v>
      </c>
      <c r="GU16" s="23" t="str">
        <f t="shared" si="49"/>
        <v>Y</v>
      </c>
      <c r="GV16" s="23" t="str">
        <f t="shared" si="50"/>
        <v>Y</v>
      </c>
      <c r="GW16" s="23" t="str">
        <f t="shared" si="51"/>
        <v>Y</v>
      </c>
      <c r="GX16" s="23" t="str">
        <f t="shared" si="52"/>
        <v>Y</v>
      </c>
      <c r="GY16" s="23" t="str">
        <f t="shared" si="53"/>
        <v>Y</v>
      </c>
      <c r="GZ16" s="23" t="str">
        <f t="shared" si="54"/>
        <v>Y</v>
      </c>
      <c r="HA16" s="23" t="str">
        <f t="shared" si="55"/>
        <v>Y</v>
      </c>
      <c r="HB16" s="23" t="str">
        <f t="shared" si="56"/>
        <v>Y</v>
      </c>
      <c r="HC16" s="23" t="str">
        <f t="shared" si="57"/>
        <v>Y</v>
      </c>
      <c r="HD16" s="23" t="str">
        <f t="shared" si="58"/>
        <v>Y</v>
      </c>
      <c r="HE16" s="23" t="str">
        <f t="shared" si="59"/>
        <v>Y</v>
      </c>
      <c r="HF16" s="23" t="str">
        <f t="shared" si="60"/>
        <v>Y</v>
      </c>
      <c r="HG16" s="23" t="str">
        <f t="shared" si="61"/>
        <v>Y</v>
      </c>
      <c r="HH16" s="23" t="str">
        <f t="shared" si="62"/>
        <v>Y</v>
      </c>
      <c r="HI16" s="23" t="str">
        <f t="shared" si="63"/>
        <v>Y</v>
      </c>
      <c r="HJ16" s="23" t="str">
        <f t="shared" si="64"/>
        <v>Y</v>
      </c>
      <c r="HK16" s="23" t="str">
        <f t="shared" si="65"/>
        <v>Y</v>
      </c>
      <c r="HL16" s="23" t="str">
        <f t="shared" si="66"/>
        <v>Y</v>
      </c>
      <c r="HM16" s="23" t="str">
        <f t="shared" si="67"/>
        <v>Y</v>
      </c>
      <c r="HN16" s="55" t="str">
        <f t="shared" si="68"/>
        <v>Y</v>
      </c>
      <c r="HO16" s="23"/>
      <c r="HP16" s="55"/>
    </row>
    <row r="17" spans="1:224" ht="30" customHeight="1">
      <c r="A17" s="46" t="s">
        <v>144</v>
      </c>
      <c r="B17" s="52">
        <v>2011</v>
      </c>
      <c r="C17" s="52">
        <v>95</v>
      </c>
      <c r="D17" s="52">
        <v>95</v>
      </c>
      <c r="E17" s="56">
        <v>60</v>
      </c>
      <c r="F17" s="56">
        <v>60</v>
      </c>
      <c r="G17" s="52" t="s">
        <v>66</v>
      </c>
      <c r="H17" s="52" t="s">
        <v>66</v>
      </c>
      <c r="I17" s="52" t="s">
        <v>66</v>
      </c>
      <c r="J17" s="52" t="s">
        <v>66</v>
      </c>
      <c r="K17" s="52">
        <v>29.8</v>
      </c>
      <c r="L17" s="52">
        <v>29.8</v>
      </c>
      <c r="M17" s="56" t="s">
        <v>66</v>
      </c>
      <c r="N17" s="56" t="s">
        <v>66</v>
      </c>
      <c r="O17" s="56" t="s">
        <v>66</v>
      </c>
      <c r="P17" s="56" t="s">
        <v>66</v>
      </c>
      <c r="Q17" s="56" t="s">
        <v>66</v>
      </c>
      <c r="R17" s="56" t="s">
        <v>66</v>
      </c>
      <c r="S17" s="56" t="s">
        <v>66</v>
      </c>
      <c r="T17" s="56" t="s">
        <v>66</v>
      </c>
      <c r="U17" s="52">
        <v>0</v>
      </c>
      <c r="V17" s="52">
        <v>0</v>
      </c>
      <c r="W17" s="52">
        <v>155</v>
      </c>
      <c r="X17" s="52">
        <v>155</v>
      </c>
      <c r="Y17" s="52">
        <v>0</v>
      </c>
      <c r="Z17" s="52">
        <v>0</v>
      </c>
      <c r="AA17" s="52" t="s">
        <v>66</v>
      </c>
      <c r="AB17" s="52" t="s">
        <v>66</v>
      </c>
      <c r="AC17" s="56" t="s">
        <v>88</v>
      </c>
      <c r="AD17" s="56" t="s">
        <v>99</v>
      </c>
      <c r="AE17" s="52" t="s">
        <v>99</v>
      </c>
      <c r="AF17" s="52" t="s">
        <v>100</v>
      </c>
      <c r="AG17" s="52" t="s">
        <v>91</v>
      </c>
      <c r="AH17" s="52" t="s">
        <v>91</v>
      </c>
      <c r="AI17" s="52" t="s">
        <v>92</v>
      </c>
      <c r="AJ17" s="52" t="s">
        <v>92</v>
      </c>
      <c r="AK17" s="52" t="s">
        <v>92</v>
      </c>
      <c r="AL17" s="52" t="s">
        <v>92</v>
      </c>
      <c r="AM17" s="52">
        <v>155</v>
      </c>
      <c r="AN17" s="52">
        <v>155</v>
      </c>
      <c r="AO17" s="52">
        <v>0</v>
      </c>
      <c r="AP17" s="52">
        <v>0</v>
      </c>
      <c r="AQ17" s="52">
        <v>0</v>
      </c>
      <c r="AR17" s="52">
        <v>0</v>
      </c>
      <c r="AS17" s="56" t="s">
        <v>66</v>
      </c>
      <c r="AT17" s="56" t="s">
        <v>66</v>
      </c>
      <c r="AU17" s="56" t="s">
        <v>66</v>
      </c>
      <c r="AV17" s="56" t="s">
        <v>66</v>
      </c>
      <c r="AW17" s="56" t="s">
        <v>66</v>
      </c>
      <c r="AX17" s="56" t="s">
        <v>66</v>
      </c>
      <c r="AY17" s="52">
        <v>155</v>
      </c>
      <c r="AZ17" s="52">
        <v>155</v>
      </c>
      <c r="BA17" s="52">
        <v>5</v>
      </c>
      <c r="BB17" s="52">
        <v>5</v>
      </c>
      <c r="BC17" s="47">
        <f t="shared" si="81"/>
        <v>5</v>
      </c>
      <c r="BD17" s="50">
        <v>4</v>
      </c>
      <c r="BE17" s="50">
        <v>1</v>
      </c>
      <c r="BF17" s="50">
        <v>0</v>
      </c>
      <c r="BG17" s="52" t="s">
        <v>93</v>
      </c>
      <c r="BH17" s="52" t="s">
        <v>93</v>
      </c>
      <c r="BI17" s="52">
        <v>5</v>
      </c>
      <c r="BJ17" s="52">
        <v>5</v>
      </c>
      <c r="BK17" s="52" t="s">
        <v>94</v>
      </c>
      <c r="BL17" s="52" t="s">
        <v>94</v>
      </c>
      <c r="BM17" s="52" t="s">
        <v>94</v>
      </c>
      <c r="BN17" s="52" t="s">
        <v>94</v>
      </c>
      <c r="BO17" s="52" t="s">
        <v>94</v>
      </c>
      <c r="BP17" s="52" t="s">
        <v>94</v>
      </c>
      <c r="BQ17" s="52" t="s">
        <v>94</v>
      </c>
      <c r="BR17" s="52" t="s">
        <v>94</v>
      </c>
      <c r="BS17" s="52" t="s">
        <v>94</v>
      </c>
      <c r="BT17" s="52" t="s">
        <v>94</v>
      </c>
      <c r="BU17" s="52" t="s">
        <v>94</v>
      </c>
      <c r="BV17" s="52" t="s">
        <v>94</v>
      </c>
      <c r="BW17" s="52" t="s">
        <v>94</v>
      </c>
      <c r="BX17" s="52" t="s">
        <v>94</v>
      </c>
      <c r="BY17" s="52" t="s">
        <v>94</v>
      </c>
      <c r="BZ17" s="52" t="s">
        <v>94</v>
      </c>
      <c r="CA17" s="52" t="s">
        <v>94</v>
      </c>
      <c r="CB17" s="52" t="s">
        <v>94</v>
      </c>
      <c r="CC17" s="52">
        <v>2</v>
      </c>
      <c r="CD17" s="52">
        <v>2</v>
      </c>
      <c r="CE17" s="52">
        <v>0</v>
      </c>
      <c r="CF17" s="52">
        <v>0</v>
      </c>
      <c r="CG17" s="52">
        <v>1</v>
      </c>
      <c r="CH17" s="52">
        <v>1</v>
      </c>
      <c r="CI17" s="52" t="s">
        <v>94</v>
      </c>
      <c r="CJ17" s="52" t="s">
        <v>94</v>
      </c>
      <c r="CK17" s="52" t="s">
        <v>94</v>
      </c>
      <c r="CL17" s="52" t="s">
        <v>94</v>
      </c>
      <c r="CM17" s="52" t="s">
        <v>94</v>
      </c>
      <c r="CN17" s="52" t="s">
        <v>94</v>
      </c>
      <c r="CO17" s="52" t="s">
        <v>94</v>
      </c>
      <c r="CP17" s="52" t="s">
        <v>94</v>
      </c>
      <c r="CQ17" s="52">
        <v>2</v>
      </c>
      <c r="CR17" s="52">
        <v>2</v>
      </c>
      <c r="CS17" s="52" t="s">
        <v>94</v>
      </c>
      <c r="CT17" s="52" t="s">
        <v>94</v>
      </c>
      <c r="CU17" s="52" t="s">
        <v>66</v>
      </c>
      <c r="CV17" s="52" t="s">
        <v>66</v>
      </c>
      <c r="CW17" s="52" t="s">
        <v>66</v>
      </c>
      <c r="CX17" s="52" t="s">
        <v>66</v>
      </c>
      <c r="CY17" s="52" t="s">
        <v>66</v>
      </c>
      <c r="CZ17" s="52" t="s">
        <v>66</v>
      </c>
      <c r="DA17" s="52" t="s">
        <v>66</v>
      </c>
      <c r="DB17" s="52" t="s">
        <v>66</v>
      </c>
      <c r="DC17" s="52" t="s">
        <v>96</v>
      </c>
      <c r="DD17" s="52" t="s">
        <v>96</v>
      </c>
      <c r="DE17" s="52" t="s">
        <v>66</v>
      </c>
      <c r="DF17" s="52" t="s">
        <v>66</v>
      </c>
      <c r="DG17" s="52" t="s">
        <v>66</v>
      </c>
      <c r="DH17" s="52" t="s">
        <v>66</v>
      </c>
      <c r="DI17" s="52" t="s">
        <v>96</v>
      </c>
      <c r="DJ17" s="52" t="s">
        <v>96</v>
      </c>
      <c r="DK17" s="52" t="s">
        <v>92</v>
      </c>
      <c r="DL17" s="52" t="s">
        <v>92</v>
      </c>
      <c r="DM17" s="52" t="s">
        <v>66</v>
      </c>
      <c r="DN17" s="52" t="s">
        <v>66</v>
      </c>
      <c r="DO17" s="52" t="s">
        <v>66</v>
      </c>
      <c r="DP17" s="52" t="s">
        <v>66</v>
      </c>
      <c r="DQ17" s="52" t="s">
        <v>66</v>
      </c>
      <c r="DR17" s="56" t="s">
        <v>66</v>
      </c>
      <c r="DS17" s="52" t="s">
        <v>66</v>
      </c>
      <c r="DT17" s="52" t="s">
        <v>66</v>
      </c>
      <c r="DU17" s="52" t="s">
        <v>66</v>
      </c>
      <c r="DV17" s="52" t="s">
        <v>66</v>
      </c>
      <c r="DW17" s="52" t="s">
        <v>97</v>
      </c>
      <c r="DX17" s="52" t="s">
        <v>145</v>
      </c>
      <c r="DY17" s="52" t="s">
        <v>66</v>
      </c>
      <c r="DZ17" s="52" t="s">
        <v>66</v>
      </c>
      <c r="EA17" s="52" t="s">
        <v>108</v>
      </c>
      <c r="EB17" s="52" t="s">
        <v>108</v>
      </c>
      <c r="EC17" s="52">
        <v>1</v>
      </c>
      <c r="ED17" s="52">
        <v>1</v>
      </c>
      <c r="EE17" s="52">
        <v>1</v>
      </c>
      <c r="EF17" s="52">
        <v>1</v>
      </c>
      <c r="EG17" s="52">
        <v>1</v>
      </c>
      <c r="EH17" s="52">
        <v>1</v>
      </c>
      <c r="EI17" s="52">
        <v>1</v>
      </c>
      <c r="EJ17" s="52">
        <v>1</v>
      </c>
      <c r="EK17" s="52">
        <v>1</v>
      </c>
      <c r="EL17" s="52">
        <v>1</v>
      </c>
      <c r="EM17" s="52">
        <v>1</v>
      </c>
      <c r="EN17" s="52">
        <v>1</v>
      </c>
      <c r="EO17" s="52">
        <v>1</v>
      </c>
      <c r="EP17" s="52">
        <v>1</v>
      </c>
      <c r="EQ17" s="52">
        <v>1</v>
      </c>
      <c r="ER17" s="52">
        <v>1</v>
      </c>
      <c r="ES17" s="52">
        <v>1</v>
      </c>
      <c r="ET17" s="52">
        <v>1</v>
      </c>
      <c r="EU17" s="52">
        <v>1</v>
      </c>
      <c r="EV17" s="52">
        <v>1</v>
      </c>
      <c r="EW17" s="47">
        <f t="shared" ref="EW17:EX17" si="99">SUM(EC17,EE17,EG17,EI17,EK17,EM17,EO17,EQ17,ES17,EU17)</f>
        <v>10</v>
      </c>
      <c r="EX17" s="47">
        <f t="shared" si="99"/>
        <v>10</v>
      </c>
      <c r="EY17" s="69" t="str">
        <f t="shared" ref="EY17:EZ17" si="100">A17</f>
        <v>Kranaster</v>
      </c>
      <c r="EZ17" s="69">
        <f t="shared" si="100"/>
        <v>2011</v>
      </c>
      <c r="FA17" s="60" t="str">
        <f t="shared" si="3"/>
        <v>Y</v>
      </c>
      <c r="FB17" s="60" t="str">
        <f t="shared" si="4"/>
        <v>Y</v>
      </c>
      <c r="FC17" s="60" t="str">
        <f t="shared" si="5"/>
        <v>Y</v>
      </c>
      <c r="FD17" s="60" t="str">
        <f t="shared" si="6"/>
        <v>Y</v>
      </c>
      <c r="FE17" s="60" t="str">
        <f t="shared" si="7"/>
        <v>Y</v>
      </c>
      <c r="FF17" s="60" t="str">
        <f t="shared" si="88"/>
        <v>Y</v>
      </c>
      <c r="FG17" s="60" t="str">
        <f t="shared" si="9"/>
        <v>Y</v>
      </c>
      <c r="FH17" s="60" t="str">
        <f t="shared" si="10"/>
        <v>Y</v>
      </c>
      <c r="FI17" s="60" t="str">
        <f t="shared" si="11"/>
        <v>Y</v>
      </c>
      <c r="FJ17" s="60" t="str">
        <f t="shared" si="12"/>
        <v>Y</v>
      </c>
      <c r="FK17" s="60" t="str">
        <f t="shared" si="13"/>
        <v>Y</v>
      </c>
      <c r="FL17" s="60" t="str">
        <f t="shared" si="14"/>
        <v>Y</v>
      </c>
      <c r="FM17" s="60" t="str">
        <f t="shared" si="15"/>
        <v>Y</v>
      </c>
      <c r="FN17" s="60" t="str">
        <f t="shared" si="16"/>
        <v>Y</v>
      </c>
      <c r="FO17" s="60" t="str">
        <f t="shared" si="17"/>
        <v>Y</v>
      </c>
      <c r="FP17" s="60" t="str">
        <f t="shared" si="18"/>
        <v>Y</v>
      </c>
      <c r="FQ17" s="60" t="str">
        <f t="shared" si="19"/>
        <v>Y</v>
      </c>
      <c r="FR17" s="60" t="str">
        <f t="shared" si="20"/>
        <v>Y</v>
      </c>
      <c r="FS17" s="60" t="str">
        <f t="shared" si="21"/>
        <v>Y</v>
      </c>
      <c r="FT17" s="60" t="str">
        <f t="shared" si="22"/>
        <v>Y</v>
      </c>
      <c r="FU17" s="60" t="str">
        <f t="shared" si="23"/>
        <v>Y</v>
      </c>
      <c r="FV17" s="60" t="str">
        <f t="shared" si="24"/>
        <v>Y</v>
      </c>
      <c r="FW17" s="60" t="str">
        <f t="shared" si="25"/>
        <v>Y</v>
      </c>
      <c r="FX17" s="60" t="str">
        <f t="shared" si="26"/>
        <v>Y</v>
      </c>
      <c r="FY17" s="61" t="str">
        <f t="shared" si="27"/>
        <v>Y</v>
      </c>
      <c r="FZ17" s="60" t="str">
        <f t="shared" si="28"/>
        <v>Y</v>
      </c>
      <c r="GA17" s="60" t="str">
        <f t="shared" si="29"/>
        <v>Y</v>
      </c>
      <c r="GB17" s="60" t="str">
        <f t="shared" si="30"/>
        <v>Y</v>
      </c>
      <c r="GC17" s="60" t="str">
        <f t="shared" si="31"/>
        <v>Y</v>
      </c>
      <c r="GD17" s="60" t="str">
        <f t="shared" si="32"/>
        <v>Y</v>
      </c>
      <c r="GE17" s="60" t="str">
        <f t="shared" si="33"/>
        <v>Y</v>
      </c>
      <c r="GF17" s="60" t="str">
        <f t="shared" si="34"/>
        <v>Y</v>
      </c>
      <c r="GG17" s="60" t="str">
        <f t="shared" si="35"/>
        <v>Y</v>
      </c>
      <c r="GH17" s="60" t="str">
        <f t="shared" si="36"/>
        <v>Y</v>
      </c>
      <c r="GI17" s="60" t="str">
        <f t="shared" si="37"/>
        <v>Y</v>
      </c>
      <c r="GJ17" s="60" t="str">
        <f t="shared" si="38"/>
        <v>Y</v>
      </c>
      <c r="GK17" s="60" t="str">
        <f t="shared" si="39"/>
        <v>Y</v>
      </c>
      <c r="GL17" s="60" t="str">
        <f t="shared" si="40"/>
        <v>Y</v>
      </c>
      <c r="GM17" s="60" t="str">
        <f t="shared" si="41"/>
        <v>Y</v>
      </c>
      <c r="GN17" s="60" t="str">
        <f t="shared" si="42"/>
        <v>Y</v>
      </c>
      <c r="GO17" s="60" t="str">
        <f t="shared" si="43"/>
        <v>Y</v>
      </c>
      <c r="GP17" s="60" t="str">
        <f t="shared" si="44"/>
        <v>Y</v>
      </c>
      <c r="GQ17" s="60" t="str">
        <f t="shared" si="45"/>
        <v>Y</v>
      </c>
      <c r="GR17" s="60" t="str">
        <f t="shared" si="46"/>
        <v>Y</v>
      </c>
      <c r="GS17" s="60" t="str">
        <f t="shared" si="47"/>
        <v>Y</v>
      </c>
      <c r="GT17" s="60" t="str">
        <f t="shared" si="48"/>
        <v>Y</v>
      </c>
      <c r="GU17" s="60" t="str">
        <f t="shared" si="49"/>
        <v>Y</v>
      </c>
      <c r="GV17" s="60" t="str">
        <f t="shared" si="50"/>
        <v>Y</v>
      </c>
      <c r="GW17" s="60" t="str">
        <f t="shared" si="51"/>
        <v>Y</v>
      </c>
      <c r="GX17" s="60" t="str">
        <f t="shared" si="52"/>
        <v>Y</v>
      </c>
      <c r="GY17" s="60" t="str">
        <f t="shared" si="53"/>
        <v>Y</v>
      </c>
      <c r="GZ17" s="60" t="str">
        <f t="shared" si="54"/>
        <v>Y</v>
      </c>
      <c r="HA17" s="60" t="str">
        <f t="shared" si="55"/>
        <v>Y</v>
      </c>
      <c r="HB17" s="60" t="str">
        <f t="shared" si="56"/>
        <v>Y</v>
      </c>
      <c r="HC17" s="60" t="str">
        <f t="shared" si="57"/>
        <v>Y</v>
      </c>
      <c r="HD17" s="60" t="str">
        <f t="shared" si="58"/>
        <v>Y</v>
      </c>
      <c r="HE17" s="60" t="str">
        <f t="shared" si="59"/>
        <v>Y</v>
      </c>
      <c r="HF17" s="60" t="str">
        <f t="shared" si="60"/>
        <v>Y</v>
      </c>
      <c r="HG17" s="60" t="str">
        <f t="shared" si="61"/>
        <v>Y</v>
      </c>
      <c r="HH17" s="60" t="str">
        <f t="shared" si="62"/>
        <v>Y</v>
      </c>
      <c r="HI17" s="60" t="str">
        <f t="shared" si="63"/>
        <v>Y</v>
      </c>
      <c r="HJ17" s="60" t="str">
        <f t="shared" si="64"/>
        <v>Y</v>
      </c>
      <c r="HK17" s="60" t="str">
        <f t="shared" si="65"/>
        <v>Y</v>
      </c>
      <c r="HL17" s="60" t="str">
        <f t="shared" si="66"/>
        <v>Y</v>
      </c>
      <c r="HM17" s="60" t="str">
        <f t="shared" si="67"/>
        <v>Y</v>
      </c>
      <c r="HN17" s="60" t="str">
        <f t="shared" si="68"/>
        <v>Y</v>
      </c>
      <c r="HO17" s="62"/>
      <c r="HP17" s="63"/>
    </row>
    <row r="18" spans="1:224" ht="30" customHeight="1">
      <c r="A18" s="46" t="s">
        <v>146</v>
      </c>
      <c r="B18" s="47">
        <v>2012</v>
      </c>
      <c r="C18" s="47">
        <v>54</v>
      </c>
      <c r="D18" s="47">
        <v>54</v>
      </c>
      <c r="E18" s="23">
        <v>31</v>
      </c>
      <c r="F18" s="47">
        <v>31</v>
      </c>
      <c r="G18" s="47" t="s">
        <v>66</v>
      </c>
      <c r="H18" s="47" t="s">
        <v>66</v>
      </c>
      <c r="I18" s="47" t="s">
        <v>66</v>
      </c>
      <c r="J18" s="47" t="s">
        <v>66</v>
      </c>
      <c r="K18" s="47" t="s">
        <v>66</v>
      </c>
      <c r="L18" s="23" t="s">
        <v>66</v>
      </c>
      <c r="M18" s="23" t="s">
        <v>66</v>
      </c>
      <c r="N18" s="23" t="s">
        <v>66</v>
      </c>
      <c r="O18" s="23" t="s">
        <v>66</v>
      </c>
      <c r="P18" s="23" t="s">
        <v>66</v>
      </c>
      <c r="Q18" s="23" t="s">
        <v>66</v>
      </c>
      <c r="R18" s="23" t="s">
        <v>66</v>
      </c>
      <c r="S18" s="23" t="s">
        <v>66</v>
      </c>
      <c r="T18" s="23" t="s">
        <v>66</v>
      </c>
      <c r="U18" s="47">
        <v>85</v>
      </c>
      <c r="V18" s="47">
        <v>85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23" t="s">
        <v>104</v>
      </c>
      <c r="AD18" s="23" t="s">
        <v>111</v>
      </c>
      <c r="AE18" s="47" t="s">
        <v>111</v>
      </c>
      <c r="AF18" s="47" t="s">
        <v>112</v>
      </c>
      <c r="AG18" s="47" t="s">
        <v>92</v>
      </c>
      <c r="AH18" s="47" t="s">
        <v>92</v>
      </c>
      <c r="AI18" s="47" t="s">
        <v>91</v>
      </c>
      <c r="AJ18" s="47" t="s">
        <v>91</v>
      </c>
      <c r="AK18" s="47" t="s">
        <v>92</v>
      </c>
      <c r="AL18" s="47" t="s">
        <v>92</v>
      </c>
      <c r="AM18" s="47">
        <v>85</v>
      </c>
      <c r="AN18" s="47">
        <v>85</v>
      </c>
      <c r="AO18" s="47">
        <v>0</v>
      </c>
      <c r="AP18" s="47">
        <v>0</v>
      </c>
      <c r="AQ18" s="47">
        <v>0</v>
      </c>
      <c r="AR18" s="47">
        <v>0</v>
      </c>
      <c r="AS18" s="48" t="s">
        <v>66</v>
      </c>
      <c r="AT18" s="49" t="s">
        <v>66</v>
      </c>
      <c r="AU18" s="48" t="s">
        <v>66</v>
      </c>
      <c r="AV18" s="49" t="s">
        <v>66</v>
      </c>
      <c r="AW18" s="48" t="s">
        <v>66</v>
      </c>
      <c r="AX18" s="49" t="s">
        <v>66</v>
      </c>
      <c r="AY18" s="47">
        <v>85</v>
      </c>
      <c r="AZ18" s="47">
        <v>85</v>
      </c>
      <c r="BA18" s="47">
        <v>2</v>
      </c>
      <c r="BB18" s="47">
        <v>2</v>
      </c>
      <c r="BC18" s="47">
        <f t="shared" si="81"/>
        <v>2</v>
      </c>
      <c r="BD18" s="50">
        <v>2</v>
      </c>
      <c r="BE18" s="50">
        <v>0</v>
      </c>
      <c r="BF18" s="50">
        <v>0</v>
      </c>
      <c r="BG18" s="47" t="s">
        <v>106</v>
      </c>
      <c r="BH18" s="47" t="s">
        <v>106</v>
      </c>
      <c r="BI18" s="47">
        <v>2</v>
      </c>
      <c r="BJ18" s="47">
        <v>2</v>
      </c>
      <c r="BK18" s="47" t="s">
        <v>94</v>
      </c>
      <c r="BL18" s="47" t="s">
        <v>94</v>
      </c>
      <c r="BM18" s="48">
        <v>2</v>
      </c>
      <c r="BN18" s="47">
        <v>2</v>
      </c>
      <c r="BO18" s="48" t="s">
        <v>94</v>
      </c>
      <c r="BP18" s="47" t="s">
        <v>94</v>
      </c>
      <c r="BQ18" s="48" t="s">
        <v>94</v>
      </c>
      <c r="BR18" s="47" t="s">
        <v>94</v>
      </c>
      <c r="BS18" s="48" t="s">
        <v>94</v>
      </c>
      <c r="BT18" s="47" t="s">
        <v>94</v>
      </c>
      <c r="BU18" s="48" t="s">
        <v>94</v>
      </c>
      <c r="BV18" s="47" t="s">
        <v>94</v>
      </c>
      <c r="BW18" s="48" t="s">
        <v>94</v>
      </c>
      <c r="BX18" s="47" t="s">
        <v>94</v>
      </c>
      <c r="BY18" s="48" t="s">
        <v>94</v>
      </c>
      <c r="BZ18" s="47" t="s">
        <v>94</v>
      </c>
      <c r="CA18" s="48" t="s">
        <v>94</v>
      </c>
      <c r="CB18" s="47" t="s">
        <v>94</v>
      </c>
      <c r="CC18" s="48" t="s">
        <v>94</v>
      </c>
      <c r="CD18" s="47" t="s">
        <v>94</v>
      </c>
      <c r="CE18" s="48" t="s">
        <v>94</v>
      </c>
      <c r="CF18" s="47" t="s">
        <v>94</v>
      </c>
      <c r="CG18" s="48" t="s">
        <v>94</v>
      </c>
      <c r="CH18" s="47" t="s">
        <v>94</v>
      </c>
      <c r="CI18" s="48" t="s">
        <v>94</v>
      </c>
      <c r="CJ18" s="47" t="s">
        <v>94</v>
      </c>
      <c r="CK18" s="48" t="s">
        <v>94</v>
      </c>
      <c r="CL18" s="47" t="s">
        <v>94</v>
      </c>
      <c r="CM18" s="48" t="s">
        <v>94</v>
      </c>
      <c r="CN18" s="47" t="s">
        <v>94</v>
      </c>
      <c r="CO18" s="48" t="s">
        <v>94</v>
      </c>
      <c r="CP18" s="47" t="s">
        <v>94</v>
      </c>
      <c r="CQ18" s="48" t="s">
        <v>94</v>
      </c>
      <c r="CR18" s="47" t="s">
        <v>94</v>
      </c>
      <c r="CS18" s="48" t="s">
        <v>94</v>
      </c>
      <c r="CT18" s="47" t="s">
        <v>94</v>
      </c>
      <c r="CU18" s="47" t="s">
        <v>120</v>
      </c>
      <c r="CV18" s="47" t="s">
        <v>120</v>
      </c>
      <c r="CW18" s="47" t="s">
        <v>66</v>
      </c>
      <c r="CX18" s="47" t="s">
        <v>66</v>
      </c>
      <c r="CY18" s="47" t="s">
        <v>120</v>
      </c>
      <c r="CZ18" s="47" t="s">
        <v>120</v>
      </c>
      <c r="DA18" s="47" t="s">
        <v>66</v>
      </c>
      <c r="DB18" s="47" t="s">
        <v>66</v>
      </c>
      <c r="DC18" s="47" t="s">
        <v>66</v>
      </c>
      <c r="DD18" s="47" t="s">
        <v>66</v>
      </c>
      <c r="DE18" s="47" t="s">
        <v>120</v>
      </c>
      <c r="DF18" s="47" t="s">
        <v>120</v>
      </c>
      <c r="DG18" s="47" t="s">
        <v>66</v>
      </c>
      <c r="DH18" s="47" t="s">
        <v>66</v>
      </c>
      <c r="DI18" s="47" t="s">
        <v>66</v>
      </c>
      <c r="DJ18" s="47" t="s">
        <v>66</v>
      </c>
      <c r="DK18" s="47" t="s">
        <v>66</v>
      </c>
      <c r="DL18" s="67" t="s">
        <v>66</v>
      </c>
      <c r="DM18" s="47" t="s">
        <v>120</v>
      </c>
      <c r="DN18" s="47" t="s">
        <v>120</v>
      </c>
      <c r="DO18" s="47" t="s">
        <v>66</v>
      </c>
      <c r="DP18" s="47" t="s">
        <v>66</v>
      </c>
      <c r="DQ18" s="47" t="s">
        <v>66</v>
      </c>
      <c r="DR18" s="23" t="s">
        <v>66</v>
      </c>
      <c r="DS18" s="47" t="s">
        <v>95</v>
      </c>
      <c r="DT18" s="47" t="s">
        <v>95</v>
      </c>
      <c r="DU18" s="47" t="s">
        <v>66</v>
      </c>
      <c r="DV18" s="47" t="s">
        <v>66</v>
      </c>
      <c r="DW18" s="47" t="s">
        <v>97</v>
      </c>
      <c r="DX18" s="47" t="s">
        <v>97</v>
      </c>
      <c r="DY18" s="47" t="s">
        <v>147</v>
      </c>
      <c r="DZ18" s="47" t="s">
        <v>147</v>
      </c>
      <c r="EA18" s="47" t="s">
        <v>108</v>
      </c>
      <c r="EB18" s="47" t="s">
        <v>108</v>
      </c>
      <c r="EC18" s="47">
        <v>1</v>
      </c>
      <c r="ED18" s="47">
        <v>1</v>
      </c>
      <c r="EE18" s="47">
        <v>1</v>
      </c>
      <c r="EF18" s="47">
        <v>1</v>
      </c>
      <c r="EG18" s="47">
        <v>1</v>
      </c>
      <c r="EH18" s="47">
        <v>1</v>
      </c>
      <c r="EI18" s="47">
        <v>1</v>
      </c>
      <c r="EJ18" s="47">
        <v>1</v>
      </c>
      <c r="EK18" s="47">
        <v>1</v>
      </c>
      <c r="EL18" s="47">
        <v>1</v>
      </c>
      <c r="EM18" s="47">
        <v>1</v>
      </c>
      <c r="EN18" s="47">
        <v>1</v>
      </c>
      <c r="EO18" s="47">
        <v>1</v>
      </c>
      <c r="EP18" s="47">
        <v>1</v>
      </c>
      <c r="EQ18" s="47">
        <v>1</v>
      </c>
      <c r="ER18" s="47">
        <v>1</v>
      </c>
      <c r="ES18" s="47">
        <v>1</v>
      </c>
      <c r="ET18" s="47">
        <v>1</v>
      </c>
      <c r="EU18" s="47">
        <v>1</v>
      </c>
      <c r="EV18" s="47">
        <v>1</v>
      </c>
      <c r="EW18" s="47">
        <f t="shared" ref="EW18:EX18" si="101">SUM(EC18,EE18,EG18,EI18,EK18,EM18,EO18,EQ18,ES18,EU18)</f>
        <v>10</v>
      </c>
      <c r="EX18" s="47">
        <f t="shared" si="101"/>
        <v>10</v>
      </c>
      <c r="EY18" s="53" t="str">
        <f t="shared" ref="EY18:EZ18" si="102">A18</f>
        <v>Mantovani</v>
      </c>
      <c r="EZ18" s="54">
        <f t="shared" si="102"/>
        <v>2012</v>
      </c>
      <c r="FA18" s="23" t="str">
        <f t="shared" si="3"/>
        <v>Y</v>
      </c>
      <c r="FB18" s="23" t="str">
        <f t="shared" si="4"/>
        <v>Y</v>
      </c>
      <c r="FC18" s="23" t="str">
        <f t="shared" si="5"/>
        <v>Y</v>
      </c>
      <c r="FD18" s="23" t="str">
        <f t="shared" si="6"/>
        <v>Y</v>
      </c>
      <c r="FE18" s="23" t="str">
        <f t="shared" si="7"/>
        <v>Y</v>
      </c>
      <c r="FF18" s="23" t="str">
        <f t="shared" si="88"/>
        <v>Y</v>
      </c>
      <c r="FG18" s="23" t="str">
        <f t="shared" si="9"/>
        <v>Y</v>
      </c>
      <c r="FH18" s="23" t="str">
        <f t="shared" si="10"/>
        <v>Y</v>
      </c>
      <c r="FI18" s="23" t="str">
        <f t="shared" si="11"/>
        <v>Y</v>
      </c>
      <c r="FJ18" s="23" t="str">
        <f t="shared" si="12"/>
        <v>Y</v>
      </c>
      <c r="FK18" s="23" t="str">
        <f t="shared" si="13"/>
        <v>Y</v>
      </c>
      <c r="FL18" s="23" t="str">
        <f t="shared" si="14"/>
        <v>Y</v>
      </c>
      <c r="FM18" s="23" t="str">
        <f t="shared" si="15"/>
        <v>Y</v>
      </c>
      <c r="FN18" s="23" t="str">
        <f t="shared" si="16"/>
        <v>Y</v>
      </c>
      <c r="FO18" s="23" t="str">
        <f t="shared" si="17"/>
        <v>Y</v>
      </c>
      <c r="FP18" s="23" t="str">
        <f t="shared" si="18"/>
        <v>Y</v>
      </c>
      <c r="FQ18" s="23" t="str">
        <f t="shared" si="19"/>
        <v>Y</v>
      </c>
      <c r="FR18" s="23" t="str">
        <f t="shared" si="20"/>
        <v>Y</v>
      </c>
      <c r="FS18" s="23" t="str">
        <f t="shared" si="21"/>
        <v>Y</v>
      </c>
      <c r="FT18" s="23" t="str">
        <f t="shared" si="22"/>
        <v>Y</v>
      </c>
      <c r="FU18" s="23" t="str">
        <f t="shared" si="23"/>
        <v>Y</v>
      </c>
      <c r="FV18" s="23" t="str">
        <f t="shared" si="24"/>
        <v>Y</v>
      </c>
      <c r="FW18" s="23" t="str">
        <f t="shared" si="25"/>
        <v>Y</v>
      </c>
      <c r="FX18" s="23" t="str">
        <f t="shared" si="26"/>
        <v>Y</v>
      </c>
      <c r="FY18" s="23" t="str">
        <f t="shared" si="27"/>
        <v>Y</v>
      </c>
      <c r="FZ18" s="23" t="str">
        <f t="shared" si="28"/>
        <v>Y</v>
      </c>
      <c r="GA18" s="23" t="str">
        <f t="shared" si="29"/>
        <v>Y</v>
      </c>
      <c r="GB18" s="23" t="str">
        <f t="shared" si="30"/>
        <v>Y</v>
      </c>
      <c r="GC18" s="23" t="str">
        <f t="shared" si="31"/>
        <v>Y</v>
      </c>
      <c r="GD18" s="23" t="str">
        <f t="shared" si="32"/>
        <v>Y</v>
      </c>
      <c r="GE18" s="23" t="str">
        <f t="shared" si="33"/>
        <v>Y</v>
      </c>
      <c r="GF18" s="23" t="str">
        <f t="shared" si="34"/>
        <v>Y</v>
      </c>
      <c r="GG18" s="23" t="str">
        <f t="shared" si="35"/>
        <v>Y</v>
      </c>
      <c r="GH18" s="23" t="str">
        <f t="shared" si="36"/>
        <v>Y</v>
      </c>
      <c r="GI18" s="23" t="str">
        <f t="shared" si="37"/>
        <v>Y</v>
      </c>
      <c r="GJ18" s="23" t="str">
        <f t="shared" si="38"/>
        <v>Y</v>
      </c>
      <c r="GK18" s="23" t="str">
        <f t="shared" si="39"/>
        <v>Y</v>
      </c>
      <c r="GL18" s="23" t="str">
        <f t="shared" si="40"/>
        <v>Y</v>
      </c>
      <c r="GM18" s="23" t="str">
        <f t="shared" si="41"/>
        <v>Y</v>
      </c>
      <c r="GN18" s="23" t="str">
        <f t="shared" si="42"/>
        <v>Y</v>
      </c>
      <c r="GO18" s="23" t="str">
        <f t="shared" si="43"/>
        <v>Y</v>
      </c>
      <c r="GP18" s="23" t="str">
        <f t="shared" si="44"/>
        <v>Y</v>
      </c>
      <c r="GQ18" s="23" t="str">
        <f t="shared" si="45"/>
        <v>Y</v>
      </c>
      <c r="GR18" s="23" t="str">
        <f t="shared" si="46"/>
        <v>Y</v>
      </c>
      <c r="GS18" s="23" t="str">
        <f t="shared" si="47"/>
        <v>Y</v>
      </c>
      <c r="GT18" s="23" t="str">
        <f t="shared" si="48"/>
        <v>Y</v>
      </c>
      <c r="GU18" s="23" t="str">
        <f t="shared" si="49"/>
        <v>Y</v>
      </c>
      <c r="GV18" s="23" t="str">
        <f t="shared" si="50"/>
        <v>Y</v>
      </c>
      <c r="GW18" s="23" t="str">
        <f t="shared" si="51"/>
        <v>Y</v>
      </c>
      <c r="GX18" s="23" t="str">
        <f t="shared" si="52"/>
        <v>Y</v>
      </c>
      <c r="GY18" s="23" t="str">
        <f t="shared" si="53"/>
        <v>Y</v>
      </c>
      <c r="GZ18" s="23" t="str">
        <f t="shared" si="54"/>
        <v>Y</v>
      </c>
      <c r="HA18" s="23" t="str">
        <f t="shared" si="55"/>
        <v>Y</v>
      </c>
      <c r="HB18" s="23" t="str">
        <f t="shared" si="56"/>
        <v>Y</v>
      </c>
      <c r="HC18" s="23" t="str">
        <f t="shared" si="57"/>
        <v>Y</v>
      </c>
      <c r="HD18" s="23" t="str">
        <f t="shared" si="58"/>
        <v>Y</v>
      </c>
      <c r="HE18" s="23" t="str">
        <f t="shared" si="59"/>
        <v>Y</v>
      </c>
      <c r="HF18" s="23" t="str">
        <f t="shared" si="60"/>
        <v>Y</v>
      </c>
      <c r="HG18" s="23" t="str">
        <f t="shared" si="61"/>
        <v>Y</v>
      </c>
      <c r="HH18" s="23" t="str">
        <f t="shared" si="62"/>
        <v>Y</v>
      </c>
      <c r="HI18" s="23" t="str">
        <f t="shared" si="63"/>
        <v>Y</v>
      </c>
      <c r="HJ18" s="23" t="str">
        <f t="shared" si="64"/>
        <v>Y</v>
      </c>
      <c r="HK18" s="23" t="str">
        <f t="shared" si="65"/>
        <v>Y</v>
      </c>
      <c r="HL18" s="23" t="str">
        <f t="shared" si="66"/>
        <v>Y</v>
      </c>
      <c r="HM18" s="23" t="str">
        <f t="shared" si="67"/>
        <v>Y</v>
      </c>
      <c r="HN18" s="55" t="str">
        <f t="shared" si="68"/>
        <v>Y</v>
      </c>
      <c r="HO18" s="23"/>
      <c r="HP18" s="55"/>
    </row>
    <row r="19" spans="1:224" ht="30" customHeight="1">
      <c r="A19" s="46" t="s">
        <v>148</v>
      </c>
      <c r="B19" s="47">
        <v>2020</v>
      </c>
      <c r="C19" s="47">
        <v>119</v>
      </c>
      <c r="D19" s="47">
        <v>119</v>
      </c>
      <c r="E19" s="23">
        <v>81</v>
      </c>
      <c r="F19" s="47">
        <v>81</v>
      </c>
      <c r="G19" s="47" t="s">
        <v>66</v>
      </c>
      <c r="H19" s="47" t="s">
        <v>66</v>
      </c>
      <c r="I19" s="47" t="s">
        <v>66</v>
      </c>
      <c r="J19" s="47" t="s">
        <v>66</v>
      </c>
      <c r="K19" s="47">
        <v>47</v>
      </c>
      <c r="L19" s="23">
        <v>47</v>
      </c>
      <c r="M19" s="23">
        <v>0</v>
      </c>
      <c r="N19" s="23">
        <v>0</v>
      </c>
      <c r="O19" s="23">
        <v>200</v>
      </c>
      <c r="P19" s="23">
        <v>200</v>
      </c>
      <c r="Q19" s="23">
        <v>0</v>
      </c>
      <c r="R19" s="23">
        <v>0</v>
      </c>
      <c r="S19" s="23">
        <v>0</v>
      </c>
      <c r="T19" s="23">
        <v>0</v>
      </c>
      <c r="U19" s="47">
        <v>0</v>
      </c>
      <c r="V19" s="47">
        <v>0</v>
      </c>
      <c r="W19" s="47">
        <v>200</v>
      </c>
      <c r="X19" s="47">
        <v>200</v>
      </c>
      <c r="Y19" s="47">
        <v>0</v>
      </c>
      <c r="Z19" s="47">
        <v>0</v>
      </c>
      <c r="AA19" s="47">
        <v>0</v>
      </c>
      <c r="AB19" s="47">
        <v>0</v>
      </c>
      <c r="AC19" s="23" t="s">
        <v>88</v>
      </c>
      <c r="AD19" s="23" t="s">
        <v>149</v>
      </c>
      <c r="AE19" s="47" t="s">
        <v>149</v>
      </c>
      <c r="AF19" s="47" t="s">
        <v>100</v>
      </c>
      <c r="AG19" s="47" t="s">
        <v>92</v>
      </c>
      <c r="AH19" s="47" t="s">
        <v>92</v>
      </c>
      <c r="AI19" s="47" t="s">
        <v>91</v>
      </c>
      <c r="AJ19" s="47" t="s">
        <v>91</v>
      </c>
      <c r="AK19" s="47" t="s">
        <v>91</v>
      </c>
      <c r="AL19" s="47" t="s">
        <v>91</v>
      </c>
      <c r="AM19" s="47" t="s">
        <v>66</v>
      </c>
      <c r="AN19" s="47" t="s">
        <v>66</v>
      </c>
      <c r="AO19" s="47" t="s">
        <v>66</v>
      </c>
      <c r="AP19" s="47" t="s">
        <v>66</v>
      </c>
      <c r="AQ19" s="47" t="s">
        <v>66</v>
      </c>
      <c r="AR19" s="47" t="s">
        <v>66</v>
      </c>
      <c r="AS19" s="48" t="s">
        <v>66</v>
      </c>
      <c r="AT19" s="49" t="s">
        <v>66</v>
      </c>
      <c r="AU19" s="48" t="s">
        <v>66</v>
      </c>
      <c r="AV19" s="49" t="s">
        <v>66</v>
      </c>
      <c r="AW19" s="48" t="s">
        <v>66</v>
      </c>
      <c r="AX19" s="49" t="s">
        <v>66</v>
      </c>
      <c r="AY19" s="47">
        <v>200</v>
      </c>
      <c r="AZ19" s="47">
        <v>200</v>
      </c>
      <c r="BA19" s="47">
        <v>50</v>
      </c>
      <c r="BB19" s="47">
        <v>50</v>
      </c>
      <c r="BC19" s="47">
        <f t="shared" si="81"/>
        <v>50</v>
      </c>
      <c r="BD19" s="50">
        <v>43</v>
      </c>
      <c r="BE19" s="50">
        <v>7</v>
      </c>
      <c r="BF19" s="50">
        <v>0</v>
      </c>
      <c r="BG19" s="47" t="s">
        <v>93</v>
      </c>
      <c r="BH19" s="47" t="s">
        <v>93</v>
      </c>
      <c r="BI19" s="47">
        <f>BM19+BO19+BU19+BW19+BY19+CA19+CC19+CE19+CG19+CI19+CO19</f>
        <v>50</v>
      </c>
      <c r="BJ19" s="47">
        <f>SUM(BN19,BP19,BV19,BX19,BZ19,CB19,CD19,CF19,CH19,CJ19,CP19,CR19)</f>
        <v>50</v>
      </c>
      <c r="BK19" s="47">
        <f>BQ19+BS19</f>
        <v>0</v>
      </c>
      <c r="BL19" s="47">
        <v>0</v>
      </c>
      <c r="BM19" s="48">
        <v>1</v>
      </c>
      <c r="BN19" s="47">
        <v>1</v>
      </c>
      <c r="BO19" s="48">
        <v>0</v>
      </c>
      <c r="BP19" s="47">
        <v>0</v>
      </c>
      <c r="BQ19" s="48">
        <v>0</v>
      </c>
      <c r="BR19" s="47">
        <v>0</v>
      </c>
      <c r="BS19" s="48">
        <v>0</v>
      </c>
      <c r="BT19" s="47">
        <v>0</v>
      </c>
      <c r="BU19" s="48">
        <v>4</v>
      </c>
      <c r="BV19" s="47">
        <v>4</v>
      </c>
      <c r="BW19" s="48">
        <v>7</v>
      </c>
      <c r="BX19" s="47">
        <v>7</v>
      </c>
      <c r="BY19" s="48">
        <v>0</v>
      </c>
      <c r="BZ19" s="47">
        <v>0</v>
      </c>
      <c r="CA19" s="48">
        <v>0</v>
      </c>
      <c r="CB19" s="47">
        <v>0</v>
      </c>
      <c r="CC19" s="48">
        <v>0</v>
      </c>
      <c r="CD19" s="47">
        <v>0</v>
      </c>
      <c r="CE19" s="48">
        <v>19</v>
      </c>
      <c r="CF19" s="47">
        <v>19</v>
      </c>
      <c r="CG19" s="48">
        <v>0</v>
      </c>
      <c r="CH19" s="47">
        <v>0</v>
      </c>
      <c r="CI19" s="48">
        <v>19</v>
      </c>
      <c r="CJ19" s="47">
        <v>19</v>
      </c>
      <c r="CK19" s="48">
        <v>0</v>
      </c>
      <c r="CL19" s="47">
        <v>0</v>
      </c>
      <c r="CM19" s="48">
        <v>0</v>
      </c>
      <c r="CN19" s="47">
        <v>0</v>
      </c>
      <c r="CO19" s="48">
        <v>0</v>
      </c>
      <c r="CP19" s="47">
        <v>0</v>
      </c>
      <c r="CQ19" s="48">
        <v>0</v>
      </c>
      <c r="CR19" s="47">
        <v>0</v>
      </c>
      <c r="CS19" s="48">
        <v>0</v>
      </c>
      <c r="CT19" s="47">
        <v>0</v>
      </c>
      <c r="CU19" s="47" t="s">
        <v>66</v>
      </c>
      <c r="CV19" s="47" t="s">
        <v>66</v>
      </c>
      <c r="CW19" s="47" t="s">
        <v>96</v>
      </c>
      <c r="CX19" s="47" t="s">
        <v>96</v>
      </c>
      <c r="CY19" s="47">
        <v>0</v>
      </c>
      <c r="CZ19" s="47">
        <v>0</v>
      </c>
      <c r="DA19" s="47" t="s">
        <v>96</v>
      </c>
      <c r="DB19" s="47" t="s">
        <v>96</v>
      </c>
      <c r="DC19" s="47">
        <v>0</v>
      </c>
      <c r="DD19" s="47">
        <v>0</v>
      </c>
      <c r="DE19" s="47" t="s">
        <v>96</v>
      </c>
      <c r="DF19" s="47" t="s">
        <v>96</v>
      </c>
      <c r="DG19" s="47" t="s">
        <v>96</v>
      </c>
      <c r="DH19" s="47" t="s">
        <v>96</v>
      </c>
      <c r="DI19" s="47" t="s">
        <v>96</v>
      </c>
      <c r="DJ19" s="47" t="s">
        <v>96</v>
      </c>
      <c r="DK19" s="47" t="s">
        <v>66</v>
      </c>
      <c r="DL19" s="67" t="s">
        <v>66</v>
      </c>
      <c r="DM19" s="47" t="s">
        <v>66</v>
      </c>
      <c r="DN19" s="47" t="s">
        <v>66</v>
      </c>
      <c r="DO19" s="47" t="s">
        <v>96</v>
      </c>
      <c r="DP19" s="47" t="s">
        <v>96</v>
      </c>
      <c r="DQ19" s="47" t="s">
        <v>66</v>
      </c>
      <c r="DR19" s="23" t="s">
        <v>66</v>
      </c>
      <c r="DS19" s="47" t="s">
        <v>66</v>
      </c>
      <c r="DT19" s="47" t="s">
        <v>66</v>
      </c>
      <c r="DU19" s="47" t="s">
        <v>66</v>
      </c>
      <c r="DV19" s="47" t="s">
        <v>66</v>
      </c>
      <c r="DW19" s="47" t="s">
        <v>97</v>
      </c>
      <c r="DX19" s="47" t="s">
        <v>97</v>
      </c>
      <c r="DY19" s="47" t="s">
        <v>147</v>
      </c>
      <c r="DZ19" s="47" t="s">
        <v>147</v>
      </c>
      <c r="EA19" s="47" t="s">
        <v>150</v>
      </c>
      <c r="EB19" s="47" t="s">
        <v>150</v>
      </c>
      <c r="EC19" s="47">
        <v>1</v>
      </c>
      <c r="ED19" s="47">
        <v>1</v>
      </c>
      <c r="EE19" s="47">
        <v>1</v>
      </c>
      <c r="EF19" s="47">
        <v>1</v>
      </c>
      <c r="EG19" s="47">
        <v>1</v>
      </c>
      <c r="EH19" s="47">
        <v>1</v>
      </c>
      <c r="EI19" s="47">
        <v>1</v>
      </c>
      <c r="EJ19" s="47">
        <v>1</v>
      </c>
      <c r="EK19" s="47">
        <v>1</v>
      </c>
      <c r="EL19" s="47">
        <v>1</v>
      </c>
      <c r="EM19" s="47">
        <v>1</v>
      </c>
      <c r="EN19" s="47">
        <v>1</v>
      </c>
      <c r="EO19" s="47">
        <v>1</v>
      </c>
      <c r="EP19" s="47">
        <v>1</v>
      </c>
      <c r="EQ19" s="47">
        <v>1</v>
      </c>
      <c r="ER19" s="47">
        <v>1</v>
      </c>
      <c r="ES19" s="47">
        <v>1</v>
      </c>
      <c r="ET19" s="47">
        <v>1</v>
      </c>
      <c r="EU19" s="47">
        <v>1</v>
      </c>
      <c r="EV19" s="47">
        <v>1</v>
      </c>
      <c r="EW19" s="47">
        <f t="shared" ref="EW19:EX19" si="103">SUM(EC19,EE19,EG19,EI19,EK19,EM19,EO19,EQ19,ES19,EU19)</f>
        <v>10</v>
      </c>
      <c r="EX19" s="47">
        <f t="shared" si="103"/>
        <v>10</v>
      </c>
      <c r="EY19" s="64" t="str">
        <f t="shared" ref="EY19:EZ19" si="104">A19</f>
        <v>Marques</v>
      </c>
      <c r="EZ19" s="65">
        <f t="shared" si="104"/>
        <v>2020</v>
      </c>
      <c r="FA19" s="23" t="str">
        <f t="shared" si="3"/>
        <v>Y</v>
      </c>
      <c r="FB19" s="23" t="str">
        <f t="shared" si="4"/>
        <v>Y</v>
      </c>
      <c r="FC19" s="23" t="str">
        <f t="shared" si="5"/>
        <v>Y</v>
      </c>
      <c r="FD19" s="23" t="str">
        <f t="shared" si="6"/>
        <v>Y</v>
      </c>
      <c r="FE19" s="23" t="str">
        <f t="shared" si="7"/>
        <v>Y</v>
      </c>
      <c r="FF19" s="23" t="str">
        <f t="shared" si="88"/>
        <v>Y</v>
      </c>
      <c r="FG19" s="23" t="str">
        <f t="shared" si="9"/>
        <v>Y</v>
      </c>
      <c r="FH19" s="23" t="str">
        <f t="shared" si="10"/>
        <v>Y</v>
      </c>
      <c r="FI19" s="23" t="str">
        <f t="shared" si="11"/>
        <v>Y</v>
      </c>
      <c r="FJ19" s="23" t="str">
        <f t="shared" si="12"/>
        <v>Y</v>
      </c>
      <c r="FK19" s="23" t="str">
        <f t="shared" si="13"/>
        <v>Y</v>
      </c>
      <c r="FL19" s="23" t="str">
        <f t="shared" si="14"/>
        <v>Y</v>
      </c>
      <c r="FM19" s="23" t="str">
        <f t="shared" si="15"/>
        <v>Y</v>
      </c>
      <c r="FN19" s="23" t="str">
        <f t="shared" si="16"/>
        <v>Y</v>
      </c>
      <c r="FO19" s="23" t="str">
        <f t="shared" si="17"/>
        <v>Y</v>
      </c>
      <c r="FP19" s="23" t="str">
        <f t="shared" si="18"/>
        <v>Y</v>
      </c>
      <c r="FQ19" s="23" t="str">
        <f t="shared" si="19"/>
        <v>Y</v>
      </c>
      <c r="FR19" s="23" t="str">
        <f t="shared" si="20"/>
        <v>Y</v>
      </c>
      <c r="FS19" s="23" t="str">
        <f t="shared" si="21"/>
        <v>Y</v>
      </c>
      <c r="FT19" s="23" t="str">
        <f t="shared" si="22"/>
        <v>Y</v>
      </c>
      <c r="FU19" s="23" t="str">
        <f t="shared" si="23"/>
        <v>Y</v>
      </c>
      <c r="FV19" s="23" t="str">
        <f t="shared" si="24"/>
        <v>Y</v>
      </c>
      <c r="FW19" s="23" t="str">
        <f t="shared" si="25"/>
        <v>Y</v>
      </c>
      <c r="FX19" s="23" t="str">
        <f t="shared" si="26"/>
        <v>Y</v>
      </c>
      <c r="FY19" s="23" t="str">
        <f t="shared" si="27"/>
        <v>Y</v>
      </c>
      <c r="FZ19" s="23" t="str">
        <f t="shared" si="28"/>
        <v>Y</v>
      </c>
      <c r="GA19" s="23" t="str">
        <f t="shared" si="29"/>
        <v>Y</v>
      </c>
      <c r="GB19" s="23" t="str">
        <f t="shared" si="30"/>
        <v>Y</v>
      </c>
      <c r="GC19" s="23" t="str">
        <f t="shared" si="31"/>
        <v>Y</v>
      </c>
      <c r="GD19" s="23" t="str">
        <f t="shared" si="32"/>
        <v>Y</v>
      </c>
      <c r="GE19" s="23" t="str">
        <f t="shared" si="33"/>
        <v>Y</v>
      </c>
      <c r="GF19" s="23" t="str">
        <f t="shared" si="34"/>
        <v>Y</v>
      </c>
      <c r="GG19" s="23" t="str">
        <f t="shared" si="35"/>
        <v>Y</v>
      </c>
      <c r="GH19" s="23" t="str">
        <f t="shared" si="36"/>
        <v>Y</v>
      </c>
      <c r="GI19" s="23" t="str">
        <f t="shared" si="37"/>
        <v>Y</v>
      </c>
      <c r="GJ19" s="23" t="str">
        <f t="shared" si="38"/>
        <v>Y</v>
      </c>
      <c r="GK19" s="23" t="str">
        <f t="shared" si="39"/>
        <v>Y</v>
      </c>
      <c r="GL19" s="23" t="str">
        <f t="shared" si="40"/>
        <v>Y</v>
      </c>
      <c r="GM19" s="23" t="str">
        <f t="shared" si="41"/>
        <v>Y</v>
      </c>
      <c r="GN19" s="23" t="str">
        <f t="shared" si="42"/>
        <v>Y</v>
      </c>
      <c r="GO19" s="23" t="str">
        <f t="shared" si="43"/>
        <v>Y</v>
      </c>
      <c r="GP19" s="23" t="str">
        <f t="shared" si="44"/>
        <v>Y</v>
      </c>
      <c r="GQ19" s="23" t="str">
        <f t="shared" si="45"/>
        <v>Y</v>
      </c>
      <c r="GR19" s="23" t="str">
        <f t="shared" si="46"/>
        <v>Y</v>
      </c>
      <c r="GS19" s="23" t="str">
        <f t="shared" si="47"/>
        <v>Y</v>
      </c>
      <c r="GT19" s="23" t="str">
        <f t="shared" si="48"/>
        <v>Y</v>
      </c>
      <c r="GU19" s="23" t="str">
        <f t="shared" si="49"/>
        <v>Y</v>
      </c>
      <c r="GV19" s="23" t="str">
        <f t="shared" si="50"/>
        <v>Y</v>
      </c>
      <c r="GW19" s="23" t="str">
        <f t="shared" si="51"/>
        <v>Y</v>
      </c>
      <c r="GX19" s="23" t="str">
        <f t="shared" si="52"/>
        <v>Y</v>
      </c>
      <c r="GY19" s="23" t="str">
        <f t="shared" si="53"/>
        <v>Y</v>
      </c>
      <c r="GZ19" s="23" t="str">
        <f t="shared" si="54"/>
        <v>Y</v>
      </c>
      <c r="HA19" s="23" t="str">
        <f t="shared" si="55"/>
        <v>Y</v>
      </c>
      <c r="HB19" s="23" t="str">
        <f t="shared" si="56"/>
        <v>Y</v>
      </c>
      <c r="HC19" s="23" t="str">
        <f t="shared" si="57"/>
        <v>Y</v>
      </c>
      <c r="HD19" s="23" t="str">
        <f t="shared" si="58"/>
        <v>Y</v>
      </c>
      <c r="HE19" s="23" t="str">
        <f t="shared" si="59"/>
        <v>Y</v>
      </c>
      <c r="HF19" s="23" t="str">
        <f t="shared" si="60"/>
        <v>Y</v>
      </c>
      <c r="HG19" s="23" t="str">
        <f t="shared" si="61"/>
        <v>Y</v>
      </c>
      <c r="HH19" s="23" t="str">
        <f t="shared" si="62"/>
        <v>Y</v>
      </c>
      <c r="HI19" s="23" t="str">
        <f t="shared" si="63"/>
        <v>Y</v>
      </c>
      <c r="HJ19" s="23" t="str">
        <f t="shared" si="64"/>
        <v>Y</v>
      </c>
      <c r="HK19" s="23" t="str">
        <f t="shared" si="65"/>
        <v>Y</v>
      </c>
      <c r="HL19" s="23" t="str">
        <f t="shared" si="66"/>
        <v>Y</v>
      </c>
      <c r="HM19" s="23" t="str">
        <f t="shared" si="67"/>
        <v>Y</v>
      </c>
      <c r="HN19" s="55" t="str">
        <f t="shared" si="68"/>
        <v>Y</v>
      </c>
      <c r="HO19" s="23"/>
      <c r="HP19" s="55"/>
    </row>
    <row r="20" spans="1:224" ht="30" customHeight="1">
      <c r="A20" s="46" t="s">
        <v>151</v>
      </c>
      <c r="B20" s="47">
        <v>2017</v>
      </c>
      <c r="C20" s="47">
        <v>43</v>
      </c>
      <c r="D20" s="47">
        <v>43</v>
      </c>
      <c r="E20" s="23">
        <v>5</v>
      </c>
      <c r="F20" s="47">
        <v>5</v>
      </c>
      <c r="G20" s="47" t="s">
        <v>66</v>
      </c>
      <c r="H20" s="47" t="s">
        <v>66</v>
      </c>
      <c r="I20" s="47" t="s">
        <v>66</v>
      </c>
      <c r="J20" s="47" t="s">
        <v>66</v>
      </c>
      <c r="K20" s="47">
        <v>25.6</v>
      </c>
      <c r="L20" s="23">
        <v>25.6</v>
      </c>
      <c r="M20" s="23" t="s">
        <v>66</v>
      </c>
      <c r="N20" s="23" t="s">
        <v>66</v>
      </c>
      <c r="O20" s="23" t="s">
        <v>66</v>
      </c>
      <c r="P20" s="23" t="s">
        <v>66</v>
      </c>
      <c r="Q20" s="23" t="s">
        <v>66</v>
      </c>
      <c r="R20" s="23" t="s">
        <v>66</v>
      </c>
      <c r="S20" s="23" t="s">
        <v>66</v>
      </c>
      <c r="T20" s="23" t="s">
        <v>66</v>
      </c>
      <c r="U20" s="47">
        <v>0</v>
      </c>
      <c r="V20" s="47">
        <v>0</v>
      </c>
      <c r="W20" s="47">
        <v>48</v>
      </c>
      <c r="X20" s="47">
        <v>48</v>
      </c>
      <c r="Y20" s="47">
        <v>0</v>
      </c>
      <c r="Z20" s="47">
        <v>0</v>
      </c>
      <c r="AA20" s="47">
        <v>0</v>
      </c>
      <c r="AB20" s="47">
        <v>0</v>
      </c>
      <c r="AC20" s="23" t="s">
        <v>88</v>
      </c>
      <c r="AD20" s="23" t="s">
        <v>152</v>
      </c>
      <c r="AE20" s="47" t="s">
        <v>152</v>
      </c>
      <c r="AF20" s="47" t="s">
        <v>100</v>
      </c>
      <c r="AG20" s="47" t="s">
        <v>91</v>
      </c>
      <c r="AH20" s="47" t="s">
        <v>91</v>
      </c>
      <c r="AI20" s="47" t="s">
        <v>92</v>
      </c>
      <c r="AJ20" s="47" t="s">
        <v>92</v>
      </c>
      <c r="AK20" s="47" t="s">
        <v>92</v>
      </c>
      <c r="AL20" s="47" t="s">
        <v>92</v>
      </c>
      <c r="AM20" s="47">
        <v>48</v>
      </c>
      <c r="AN20" s="47">
        <v>48</v>
      </c>
      <c r="AO20" s="47">
        <v>0</v>
      </c>
      <c r="AP20" s="47">
        <v>0</v>
      </c>
      <c r="AQ20" s="47">
        <v>0</v>
      </c>
      <c r="AR20" s="47">
        <v>0</v>
      </c>
      <c r="AS20" s="48" t="s">
        <v>66</v>
      </c>
      <c r="AT20" s="49" t="s">
        <v>66</v>
      </c>
      <c r="AU20" s="48" t="s">
        <v>66</v>
      </c>
      <c r="AV20" s="49" t="s">
        <v>66</v>
      </c>
      <c r="AW20" s="48" t="s">
        <v>66</v>
      </c>
      <c r="AX20" s="49" t="s">
        <v>66</v>
      </c>
      <c r="AY20" s="47">
        <v>48</v>
      </c>
      <c r="AZ20" s="47">
        <v>48</v>
      </c>
      <c r="BA20" s="47">
        <v>23</v>
      </c>
      <c r="BB20" s="47">
        <v>23</v>
      </c>
      <c r="BC20" s="47">
        <f t="shared" si="81"/>
        <v>23</v>
      </c>
      <c r="BD20" s="50">
        <v>23</v>
      </c>
      <c r="BE20" s="50">
        <v>0</v>
      </c>
      <c r="BF20" s="50">
        <v>0</v>
      </c>
      <c r="BG20" s="47" t="s">
        <v>106</v>
      </c>
      <c r="BH20" s="47" t="s">
        <v>106</v>
      </c>
      <c r="BI20" s="47" t="s">
        <v>94</v>
      </c>
      <c r="BJ20" s="47" t="s">
        <v>94</v>
      </c>
      <c r="BK20" s="47">
        <v>23</v>
      </c>
      <c r="BL20" s="47">
        <v>23</v>
      </c>
      <c r="BM20" s="48" t="s">
        <v>94</v>
      </c>
      <c r="BN20" s="47" t="s">
        <v>94</v>
      </c>
      <c r="BO20" s="48" t="s">
        <v>94</v>
      </c>
      <c r="BP20" s="47" t="s">
        <v>94</v>
      </c>
      <c r="BQ20" s="48">
        <v>23</v>
      </c>
      <c r="BR20" s="47">
        <v>23</v>
      </c>
      <c r="BS20" s="48" t="s">
        <v>94</v>
      </c>
      <c r="BT20" s="47" t="s">
        <v>94</v>
      </c>
      <c r="BU20" s="48" t="s">
        <v>94</v>
      </c>
      <c r="BV20" s="47" t="s">
        <v>94</v>
      </c>
      <c r="BW20" s="48" t="s">
        <v>94</v>
      </c>
      <c r="BX20" s="47" t="s">
        <v>94</v>
      </c>
      <c r="BY20" s="48" t="s">
        <v>94</v>
      </c>
      <c r="BZ20" s="47" t="s">
        <v>94</v>
      </c>
      <c r="CA20" s="48" t="s">
        <v>94</v>
      </c>
      <c r="CB20" s="47" t="s">
        <v>94</v>
      </c>
      <c r="CC20" s="48" t="s">
        <v>94</v>
      </c>
      <c r="CD20" s="47" t="s">
        <v>94</v>
      </c>
      <c r="CE20" s="48" t="s">
        <v>94</v>
      </c>
      <c r="CF20" s="47" t="s">
        <v>94</v>
      </c>
      <c r="CG20" s="48" t="s">
        <v>94</v>
      </c>
      <c r="CH20" s="47" t="s">
        <v>94</v>
      </c>
      <c r="CI20" s="48" t="s">
        <v>94</v>
      </c>
      <c r="CJ20" s="47" t="s">
        <v>94</v>
      </c>
      <c r="CK20" s="48" t="s">
        <v>94</v>
      </c>
      <c r="CL20" s="47" t="s">
        <v>94</v>
      </c>
      <c r="CM20" s="48" t="s">
        <v>94</v>
      </c>
      <c r="CN20" s="47" t="s">
        <v>94</v>
      </c>
      <c r="CO20" s="48" t="s">
        <v>94</v>
      </c>
      <c r="CP20" s="47" t="s">
        <v>94</v>
      </c>
      <c r="CQ20" s="48" t="s">
        <v>94</v>
      </c>
      <c r="CR20" s="47" t="s">
        <v>94</v>
      </c>
      <c r="CS20" s="48" t="s">
        <v>94</v>
      </c>
      <c r="CT20" s="47" t="s">
        <v>94</v>
      </c>
      <c r="CU20" s="47" t="s">
        <v>66</v>
      </c>
      <c r="CV20" s="47" t="s">
        <v>66</v>
      </c>
      <c r="CW20" s="47" t="s">
        <v>66</v>
      </c>
      <c r="CX20" s="47" t="s">
        <v>66</v>
      </c>
      <c r="CY20" s="47" t="s">
        <v>66</v>
      </c>
      <c r="CZ20" s="47" t="s">
        <v>66</v>
      </c>
      <c r="DA20" s="47" t="s">
        <v>66</v>
      </c>
      <c r="DB20" s="47" t="s">
        <v>66</v>
      </c>
      <c r="DC20" s="47" t="s">
        <v>66</v>
      </c>
      <c r="DD20" s="47" t="s">
        <v>66</v>
      </c>
      <c r="DE20" s="47" t="s">
        <v>66</v>
      </c>
      <c r="DF20" s="47" t="s">
        <v>66</v>
      </c>
      <c r="DG20" s="47" t="s">
        <v>95</v>
      </c>
      <c r="DH20" s="47" t="s">
        <v>95</v>
      </c>
      <c r="DI20" s="47" t="s">
        <v>96</v>
      </c>
      <c r="DJ20" s="47" t="s">
        <v>96</v>
      </c>
      <c r="DK20" s="47" t="s">
        <v>66</v>
      </c>
      <c r="DL20" s="47" t="s">
        <v>66</v>
      </c>
      <c r="DM20" s="47" t="s">
        <v>66</v>
      </c>
      <c r="DN20" s="47" t="s">
        <v>66</v>
      </c>
      <c r="DO20" s="47" t="s">
        <v>66</v>
      </c>
      <c r="DP20" s="47" t="s">
        <v>66</v>
      </c>
      <c r="DQ20" s="47" t="s">
        <v>66</v>
      </c>
      <c r="DR20" s="23" t="s">
        <v>66</v>
      </c>
      <c r="DS20" s="47" t="s">
        <v>66</v>
      </c>
      <c r="DT20" s="47" t="s">
        <v>66</v>
      </c>
      <c r="DU20" s="47" t="s">
        <v>66</v>
      </c>
      <c r="DV20" s="47" t="s">
        <v>66</v>
      </c>
      <c r="DW20" s="47" t="s">
        <v>97</v>
      </c>
      <c r="DX20" s="47" t="s">
        <v>140</v>
      </c>
      <c r="DY20" s="47" t="s">
        <v>153</v>
      </c>
      <c r="DZ20" s="47" t="s">
        <v>153</v>
      </c>
      <c r="EA20" s="47" t="s">
        <v>108</v>
      </c>
      <c r="EB20" s="47" t="s">
        <v>108</v>
      </c>
      <c r="EC20" s="47">
        <v>1</v>
      </c>
      <c r="ED20" s="47">
        <v>1</v>
      </c>
      <c r="EE20" s="47">
        <v>0</v>
      </c>
      <c r="EF20" s="47">
        <v>0</v>
      </c>
      <c r="EG20" s="47">
        <v>1</v>
      </c>
      <c r="EH20" s="47">
        <v>1</v>
      </c>
      <c r="EI20" s="47">
        <v>1</v>
      </c>
      <c r="EJ20" s="47">
        <v>1</v>
      </c>
      <c r="EK20" s="47">
        <v>1</v>
      </c>
      <c r="EL20" s="47">
        <v>1</v>
      </c>
      <c r="EM20" s="47">
        <v>1</v>
      </c>
      <c r="EN20" s="47">
        <v>1</v>
      </c>
      <c r="EO20" s="47">
        <v>1</v>
      </c>
      <c r="EP20" s="47">
        <v>1</v>
      </c>
      <c r="EQ20" s="47">
        <v>1</v>
      </c>
      <c r="ER20" s="47">
        <v>1</v>
      </c>
      <c r="ES20" s="47">
        <v>1</v>
      </c>
      <c r="ET20" s="47">
        <v>1</v>
      </c>
      <c r="EU20" s="47">
        <v>1</v>
      </c>
      <c r="EV20" s="47">
        <v>1</v>
      </c>
      <c r="EW20" s="47">
        <f t="shared" ref="EW20:EX20" si="105">SUM(EC20,EE20,EG20,EI20,EK20,EM20,EO20,EQ20,ES20,EU20)</f>
        <v>9</v>
      </c>
      <c r="EX20" s="47">
        <f t="shared" si="105"/>
        <v>9</v>
      </c>
      <c r="EY20" s="64" t="str">
        <f t="shared" ref="EY20:EZ20" si="106">A20</f>
        <v>Mauri</v>
      </c>
      <c r="EZ20" s="65">
        <f t="shared" si="106"/>
        <v>2017</v>
      </c>
      <c r="FA20" s="23" t="str">
        <f t="shared" si="3"/>
        <v>Y</v>
      </c>
      <c r="FB20" s="23" t="str">
        <f t="shared" si="4"/>
        <v>Y</v>
      </c>
      <c r="FC20" s="23" t="str">
        <f t="shared" si="5"/>
        <v>Y</v>
      </c>
      <c r="FD20" s="23" t="str">
        <f t="shared" si="6"/>
        <v>Y</v>
      </c>
      <c r="FE20" s="23" t="str">
        <f t="shared" si="7"/>
        <v>Y</v>
      </c>
      <c r="FF20" s="23" t="str">
        <f t="shared" si="88"/>
        <v>Y</v>
      </c>
      <c r="FG20" s="23" t="str">
        <f t="shared" si="9"/>
        <v>Y</v>
      </c>
      <c r="FH20" s="23" t="str">
        <f t="shared" si="10"/>
        <v>Y</v>
      </c>
      <c r="FI20" s="23" t="str">
        <f t="shared" si="11"/>
        <v>Y</v>
      </c>
      <c r="FJ20" s="23" t="str">
        <f t="shared" si="12"/>
        <v>Y</v>
      </c>
      <c r="FK20" s="23" t="str">
        <f t="shared" si="13"/>
        <v>Y</v>
      </c>
      <c r="FL20" s="23" t="str">
        <f t="shared" si="14"/>
        <v>Y</v>
      </c>
      <c r="FM20" s="23" t="str">
        <f t="shared" si="15"/>
        <v>Y</v>
      </c>
      <c r="FN20" s="23" t="str">
        <f t="shared" si="16"/>
        <v>Y</v>
      </c>
      <c r="FO20" s="23" t="str">
        <f t="shared" si="17"/>
        <v>Y</v>
      </c>
      <c r="FP20" s="23" t="str">
        <f t="shared" si="18"/>
        <v>Y</v>
      </c>
      <c r="FQ20" s="23" t="str">
        <f t="shared" si="19"/>
        <v>Y</v>
      </c>
      <c r="FR20" s="23" t="str">
        <f t="shared" si="20"/>
        <v>Y</v>
      </c>
      <c r="FS20" s="23" t="str">
        <f t="shared" si="21"/>
        <v>Y</v>
      </c>
      <c r="FT20" s="23" t="str">
        <f t="shared" si="22"/>
        <v>Y</v>
      </c>
      <c r="FU20" s="23" t="str">
        <f t="shared" si="23"/>
        <v>Y</v>
      </c>
      <c r="FV20" s="23" t="str">
        <f t="shared" si="24"/>
        <v>Y</v>
      </c>
      <c r="FW20" s="23" t="str">
        <f t="shared" si="25"/>
        <v>Y</v>
      </c>
      <c r="FX20" s="23" t="str">
        <f t="shared" si="26"/>
        <v>Y</v>
      </c>
      <c r="FY20" s="23" t="str">
        <f t="shared" si="27"/>
        <v>Y</v>
      </c>
      <c r="FZ20" s="23" t="str">
        <f t="shared" si="28"/>
        <v>Y</v>
      </c>
      <c r="GA20" s="23" t="str">
        <f t="shared" si="29"/>
        <v>Y</v>
      </c>
      <c r="GB20" s="23" t="str">
        <f t="shared" si="30"/>
        <v>Y</v>
      </c>
      <c r="GC20" s="23" t="str">
        <f t="shared" si="31"/>
        <v>Y</v>
      </c>
      <c r="GD20" s="23" t="str">
        <f t="shared" si="32"/>
        <v>Y</v>
      </c>
      <c r="GE20" s="23" t="str">
        <f t="shared" si="33"/>
        <v>Y</v>
      </c>
      <c r="GF20" s="23" t="str">
        <f t="shared" si="34"/>
        <v>Y</v>
      </c>
      <c r="GG20" s="23" t="str">
        <f t="shared" si="35"/>
        <v>Y</v>
      </c>
      <c r="GH20" s="23" t="str">
        <f t="shared" si="36"/>
        <v>Y</v>
      </c>
      <c r="GI20" s="23" t="str">
        <f t="shared" si="37"/>
        <v>Y</v>
      </c>
      <c r="GJ20" s="23" t="str">
        <f t="shared" si="38"/>
        <v>Y</v>
      </c>
      <c r="GK20" s="23" t="str">
        <f t="shared" si="39"/>
        <v>Y</v>
      </c>
      <c r="GL20" s="23" t="str">
        <f t="shared" si="40"/>
        <v>Y</v>
      </c>
      <c r="GM20" s="23" t="str">
        <f t="shared" si="41"/>
        <v>Y</v>
      </c>
      <c r="GN20" s="23" t="str">
        <f t="shared" si="42"/>
        <v>Y</v>
      </c>
      <c r="GO20" s="23" t="str">
        <f t="shared" si="43"/>
        <v>Y</v>
      </c>
      <c r="GP20" s="23" t="str">
        <f t="shared" si="44"/>
        <v>Y</v>
      </c>
      <c r="GQ20" s="23" t="str">
        <f t="shared" si="45"/>
        <v>Y</v>
      </c>
      <c r="GR20" s="23" t="str">
        <f t="shared" si="46"/>
        <v>Y</v>
      </c>
      <c r="GS20" s="23" t="str">
        <f t="shared" si="47"/>
        <v>Y</v>
      </c>
      <c r="GT20" s="23" t="str">
        <f t="shared" si="48"/>
        <v>Y</v>
      </c>
      <c r="GU20" s="23" t="str">
        <f t="shared" si="49"/>
        <v>Y</v>
      </c>
      <c r="GV20" s="23" t="str">
        <f t="shared" si="50"/>
        <v>Y</v>
      </c>
      <c r="GW20" s="23" t="str">
        <f t="shared" si="51"/>
        <v>Y</v>
      </c>
      <c r="GX20" s="23" t="str">
        <f t="shared" si="52"/>
        <v>Y</v>
      </c>
      <c r="GY20" s="23" t="str">
        <f t="shared" si="53"/>
        <v>Y</v>
      </c>
      <c r="GZ20" s="23" t="str">
        <f t="shared" si="54"/>
        <v>Y</v>
      </c>
      <c r="HA20" s="23" t="str">
        <f t="shared" si="55"/>
        <v>Y</v>
      </c>
      <c r="HB20" s="23" t="str">
        <f t="shared" si="56"/>
        <v>Y</v>
      </c>
      <c r="HC20" s="23" t="str">
        <f t="shared" si="57"/>
        <v>Y</v>
      </c>
      <c r="HD20" s="23" t="str">
        <f t="shared" si="58"/>
        <v>Y</v>
      </c>
      <c r="HE20" s="23" t="str">
        <f t="shared" si="59"/>
        <v>Y</v>
      </c>
      <c r="HF20" s="23" t="str">
        <f t="shared" si="60"/>
        <v>Y</v>
      </c>
      <c r="HG20" s="23" t="str">
        <f t="shared" si="61"/>
        <v>Y</v>
      </c>
      <c r="HH20" s="23" t="str">
        <f t="shared" si="62"/>
        <v>Y</v>
      </c>
      <c r="HI20" s="23" t="str">
        <f t="shared" si="63"/>
        <v>Y</v>
      </c>
      <c r="HJ20" s="23" t="str">
        <f t="shared" si="64"/>
        <v>Y</v>
      </c>
      <c r="HK20" s="23" t="str">
        <f t="shared" si="65"/>
        <v>Y</v>
      </c>
      <c r="HL20" s="23" t="str">
        <f t="shared" si="66"/>
        <v>Y</v>
      </c>
      <c r="HM20" s="23" t="str">
        <f t="shared" si="67"/>
        <v>Y</v>
      </c>
      <c r="HN20" s="55" t="str">
        <f t="shared" si="68"/>
        <v>Y</v>
      </c>
      <c r="HO20" s="23"/>
      <c r="HP20" s="55"/>
    </row>
    <row r="21" spans="1:224" ht="30" customHeight="1">
      <c r="A21" s="70" t="s">
        <v>154</v>
      </c>
      <c r="B21" s="71" t="s">
        <v>155</v>
      </c>
      <c r="C21" s="71" t="s">
        <v>66</v>
      </c>
      <c r="D21" s="71" t="s">
        <v>66</v>
      </c>
      <c r="E21" s="72" t="s">
        <v>66</v>
      </c>
      <c r="F21" s="71" t="s">
        <v>66</v>
      </c>
      <c r="G21" s="71">
        <v>47.9</v>
      </c>
      <c r="H21" s="71">
        <v>47.9</v>
      </c>
      <c r="I21" s="71">
        <v>60.16</v>
      </c>
      <c r="J21" s="71">
        <v>60.16</v>
      </c>
      <c r="K21" s="71" t="s">
        <v>66</v>
      </c>
      <c r="L21" s="72" t="s">
        <v>66</v>
      </c>
      <c r="M21" s="72" t="s">
        <v>66</v>
      </c>
      <c r="N21" s="72" t="s">
        <v>66</v>
      </c>
      <c r="O21" s="72" t="s">
        <v>66</v>
      </c>
      <c r="P21" s="72" t="s">
        <v>66</v>
      </c>
      <c r="Q21" s="72" t="s">
        <v>66</v>
      </c>
      <c r="R21" s="72" t="s">
        <v>66</v>
      </c>
      <c r="S21" s="72" t="s">
        <v>66</v>
      </c>
      <c r="T21" s="72" t="s">
        <v>66</v>
      </c>
      <c r="U21" s="71" t="s">
        <v>66</v>
      </c>
      <c r="V21" s="71" t="s">
        <v>66</v>
      </c>
      <c r="W21" s="71">
        <v>18297</v>
      </c>
      <c r="X21" s="71">
        <v>18297</v>
      </c>
      <c r="Y21" s="71" t="s">
        <v>66</v>
      </c>
      <c r="Z21" s="71" t="s">
        <v>66</v>
      </c>
      <c r="AA21" s="71" t="s">
        <v>66</v>
      </c>
      <c r="AB21" s="71" t="s">
        <v>66</v>
      </c>
      <c r="AC21" s="23" t="s">
        <v>143</v>
      </c>
      <c r="AD21" s="72" t="s">
        <v>138</v>
      </c>
      <c r="AE21" s="71" t="s">
        <v>138</v>
      </c>
      <c r="AF21" s="47" t="s">
        <v>100</v>
      </c>
      <c r="AG21" s="71" t="s">
        <v>92</v>
      </c>
      <c r="AH21" s="71" t="s">
        <v>92</v>
      </c>
      <c r="AI21" s="71" t="s">
        <v>91</v>
      </c>
      <c r="AJ21" s="71" t="s">
        <v>91</v>
      </c>
      <c r="AK21" s="71" t="s">
        <v>91</v>
      </c>
      <c r="AL21" s="71" t="s">
        <v>91</v>
      </c>
      <c r="AM21" s="71" t="s">
        <v>66</v>
      </c>
      <c r="AN21" s="71" t="s">
        <v>66</v>
      </c>
      <c r="AO21" s="71" t="s">
        <v>66</v>
      </c>
      <c r="AP21" s="71" t="s">
        <v>66</v>
      </c>
      <c r="AQ21" s="71" t="s">
        <v>66</v>
      </c>
      <c r="AR21" s="71" t="s">
        <v>66</v>
      </c>
      <c r="AS21" s="73" t="s">
        <v>66</v>
      </c>
      <c r="AT21" s="74" t="s">
        <v>66</v>
      </c>
      <c r="AU21" s="73" t="s">
        <v>66</v>
      </c>
      <c r="AV21" s="74" t="s">
        <v>66</v>
      </c>
      <c r="AW21" s="73" t="s">
        <v>66</v>
      </c>
      <c r="AX21" s="74" t="s">
        <v>66</v>
      </c>
      <c r="AY21" s="71">
        <v>18297</v>
      </c>
      <c r="AZ21" s="71">
        <v>18297</v>
      </c>
      <c r="BA21" s="71">
        <v>553</v>
      </c>
      <c r="BB21" s="71">
        <v>553</v>
      </c>
      <c r="BC21" s="47">
        <f t="shared" si="81"/>
        <v>553</v>
      </c>
      <c r="BD21" s="47">
        <v>553</v>
      </c>
      <c r="BE21" s="47">
        <v>0</v>
      </c>
      <c r="BF21" s="47">
        <v>0</v>
      </c>
      <c r="BG21" s="71" t="s">
        <v>93</v>
      </c>
      <c r="BH21" s="71" t="s">
        <v>93</v>
      </c>
      <c r="BI21" s="71" t="s">
        <v>66</v>
      </c>
      <c r="BJ21" s="71" t="s">
        <v>66</v>
      </c>
      <c r="BK21" s="71" t="s">
        <v>66</v>
      </c>
      <c r="BL21" s="71" t="s">
        <v>66</v>
      </c>
      <c r="BM21" s="73">
        <v>5</v>
      </c>
      <c r="BN21" s="71">
        <v>5</v>
      </c>
      <c r="BO21" s="73" t="s">
        <v>66</v>
      </c>
      <c r="BP21" s="71" t="s">
        <v>66</v>
      </c>
      <c r="BQ21" s="73" t="s">
        <v>66</v>
      </c>
      <c r="BR21" s="71" t="s">
        <v>66</v>
      </c>
      <c r="BS21" s="73" t="s">
        <v>66</v>
      </c>
      <c r="BT21" s="71" t="s">
        <v>66</v>
      </c>
      <c r="BU21" s="73">
        <v>6</v>
      </c>
      <c r="BV21" s="71">
        <v>6</v>
      </c>
      <c r="BW21" s="73" t="s">
        <v>66</v>
      </c>
      <c r="BX21" s="71" t="s">
        <v>66</v>
      </c>
      <c r="BY21" s="73">
        <v>1</v>
      </c>
      <c r="BZ21" s="71">
        <v>1</v>
      </c>
      <c r="CA21" s="73" t="s">
        <v>66</v>
      </c>
      <c r="CB21" s="71">
        <v>0</v>
      </c>
      <c r="CC21" s="73">
        <v>12</v>
      </c>
      <c r="CD21" s="71">
        <v>12</v>
      </c>
      <c r="CE21" s="73">
        <v>33</v>
      </c>
      <c r="CF21" s="71">
        <v>33</v>
      </c>
      <c r="CG21" s="73">
        <v>4</v>
      </c>
      <c r="CH21" s="71">
        <v>4</v>
      </c>
      <c r="CI21" s="73">
        <v>21</v>
      </c>
      <c r="CJ21" s="71">
        <v>21</v>
      </c>
      <c r="CK21" s="73" t="s">
        <v>66</v>
      </c>
      <c r="CL21" s="71">
        <v>0</v>
      </c>
      <c r="CM21" s="73">
        <v>17</v>
      </c>
      <c r="CN21" s="71">
        <v>17</v>
      </c>
      <c r="CO21" s="73" t="s">
        <v>66</v>
      </c>
      <c r="CP21" s="71">
        <v>0</v>
      </c>
      <c r="CQ21" s="73" t="s">
        <v>66</v>
      </c>
      <c r="CR21" s="71" t="s">
        <v>66</v>
      </c>
      <c r="CS21" s="73">
        <v>454</v>
      </c>
      <c r="CT21" s="71">
        <v>454</v>
      </c>
      <c r="CU21" s="71" t="s">
        <v>66</v>
      </c>
      <c r="CV21" s="71" t="s">
        <v>66</v>
      </c>
      <c r="CW21" s="71" t="s">
        <v>66</v>
      </c>
      <c r="CX21" s="71" t="s">
        <v>66</v>
      </c>
      <c r="CY21" s="71" t="s">
        <v>66</v>
      </c>
      <c r="CZ21" s="71" t="s">
        <v>66</v>
      </c>
      <c r="DA21" s="71" t="s">
        <v>66</v>
      </c>
      <c r="DB21" s="71" t="s">
        <v>66</v>
      </c>
      <c r="DC21" s="71" t="s">
        <v>66</v>
      </c>
      <c r="DD21" s="71" t="s">
        <v>66</v>
      </c>
      <c r="DE21" s="71" t="s">
        <v>66</v>
      </c>
      <c r="DF21" s="71" t="s">
        <v>66</v>
      </c>
      <c r="DG21" s="71" t="s">
        <v>66</v>
      </c>
      <c r="DH21" s="71" t="s">
        <v>66</v>
      </c>
      <c r="DI21" s="71" t="s">
        <v>66</v>
      </c>
      <c r="DJ21" s="71" t="s">
        <v>66</v>
      </c>
      <c r="DK21" s="71" t="s">
        <v>66</v>
      </c>
      <c r="DL21" s="71" t="s">
        <v>66</v>
      </c>
      <c r="DM21" s="71" t="s">
        <v>66</v>
      </c>
      <c r="DN21" s="71" t="s">
        <v>66</v>
      </c>
      <c r="DO21" s="71" t="s">
        <v>66</v>
      </c>
      <c r="DP21" s="71" t="s">
        <v>66</v>
      </c>
      <c r="DQ21" s="71" t="s">
        <v>66</v>
      </c>
      <c r="DR21" s="72" t="s">
        <v>66</v>
      </c>
      <c r="DS21" s="71" t="s">
        <v>66</v>
      </c>
      <c r="DT21" s="71" t="s">
        <v>66</v>
      </c>
      <c r="DU21" s="71" t="s">
        <v>66</v>
      </c>
      <c r="DV21" s="71" t="s">
        <v>66</v>
      </c>
      <c r="DW21" s="71" t="s">
        <v>66</v>
      </c>
      <c r="DX21" s="71" t="s">
        <v>66</v>
      </c>
      <c r="DY21" s="71" t="s">
        <v>66</v>
      </c>
      <c r="DZ21" s="71" t="s">
        <v>66</v>
      </c>
      <c r="EA21" s="71" t="s">
        <v>66</v>
      </c>
      <c r="EB21" s="71" t="s">
        <v>66</v>
      </c>
      <c r="EC21" s="71">
        <v>1</v>
      </c>
      <c r="ED21" s="71">
        <v>1</v>
      </c>
      <c r="EE21" s="71">
        <v>1</v>
      </c>
      <c r="EF21" s="71">
        <v>1</v>
      </c>
      <c r="EG21" s="71">
        <v>1</v>
      </c>
      <c r="EH21" s="71">
        <v>1</v>
      </c>
      <c r="EI21" s="71">
        <v>1</v>
      </c>
      <c r="EJ21" s="71">
        <v>1</v>
      </c>
      <c r="EK21" s="71">
        <v>1</v>
      </c>
      <c r="EL21" s="71">
        <v>1</v>
      </c>
      <c r="EM21" s="71">
        <v>1</v>
      </c>
      <c r="EN21" s="71">
        <v>1</v>
      </c>
      <c r="EO21" s="71">
        <v>0</v>
      </c>
      <c r="EP21" s="71">
        <v>0</v>
      </c>
      <c r="EQ21" s="71">
        <v>1</v>
      </c>
      <c r="ER21" s="71">
        <v>1</v>
      </c>
      <c r="ES21" s="71">
        <v>1</v>
      </c>
      <c r="ET21" s="71">
        <v>1</v>
      </c>
      <c r="EU21" s="71">
        <v>1</v>
      </c>
      <c r="EV21" s="71">
        <v>1</v>
      </c>
      <c r="EW21" s="47">
        <f t="shared" ref="EW21:EX21" si="107">SUM(EC21,EE21,EG21,EI21,EK21,EM21,EO21,EQ21,ES21,EU21)</f>
        <v>9</v>
      </c>
      <c r="EX21" s="47">
        <f t="shared" si="107"/>
        <v>9</v>
      </c>
      <c r="EY21" s="53" t="str">
        <f t="shared" ref="EY21:EZ21" si="108">A21</f>
        <v>Misselbrook</v>
      </c>
      <c r="EZ21" s="54" t="str">
        <f t="shared" si="108"/>
        <v>2017 </v>
      </c>
      <c r="FA21" s="23" t="str">
        <f t="shared" si="3"/>
        <v>Y</v>
      </c>
      <c r="FB21" s="23" t="str">
        <f t="shared" si="4"/>
        <v>Y</v>
      </c>
      <c r="FC21" s="23" t="str">
        <f t="shared" si="5"/>
        <v>Y</v>
      </c>
      <c r="FD21" s="23" t="str">
        <f t="shared" si="6"/>
        <v>Y</v>
      </c>
      <c r="FE21" s="23" t="str">
        <f t="shared" si="7"/>
        <v>Y</v>
      </c>
      <c r="FF21" s="23" t="str">
        <f t="shared" si="88"/>
        <v>Y</v>
      </c>
      <c r="FG21" s="23" t="str">
        <f t="shared" si="9"/>
        <v>Y</v>
      </c>
      <c r="FH21" s="23" t="str">
        <f t="shared" si="10"/>
        <v>Y</v>
      </c>
      <c r="FI21" s="23" t="str">
        <f t="shared" si="11"/>
        <v>Y</v>
      </c>
      <c r="FJ21" s="23" t="str">
        <f t="shared" si="12"/>
        <v>Y</v>
      </c>
      <c r="FK21" s="23" t="str">
        <f t="shared" si="13"/>
        <v>Y</v>
      </c>
      <c r="FL21" s="23" t="str">
        <f t="shared" si="14"/>
        <v>Y</v>
      </c>
      <c r="FM21" s="23" t="str">
        <f t="shared" si="15"/>
        <v>Y</v>
      </c>
      <c r="FN21" s="23" t="str">
        <f t="shared" si="16"/>
        <v>Y</v>
      </c>
      <c r="FO21" s="23" t="str">
        <f t="shared" si="17"/>
        <v>Y</v>
      </c>
      <c r="FP21" s="23" t="str">
        <f t="shared" si="18"/>
        <v>Y</v>
      </c>
      <c r="FQ21" s="23" t="str">
        <f t="shared" si="19"/>
        <v>Y</v>
      </c>
      <c r="FR21" s="23" t="str">
        <f t="shared" si="20"/>
        <v>Y</v>
      </c>
      <c r="FS21" s="23" t="str">
        <f t="shared" si="21"/>
        <v>Y</v>
      </c>
      <c r="FT21" s="23" t="str">
        <f t="shared" si="22"/>
        <v>Y</v>
      </c>
      <c r="FU21" s="23" t="str">
        <f t="shared" si="23"/>
        <v>Y</v>
      </c>
      <c r="FV21" s="23" t="str">
        <f t="shared" si="24"/>
        <v>Y</v>
      </c>
      <c r="FW21" s="23" t="str">
        <f t="shared" si="25"/>
        <v>Y</v>
      </c>
      <c r="FX21" s="23" t="str">
        <f t="shared" si="26"/>
        <v>Y</v>
      </c>
      <c r="FY21" s="23" t="str">
        <f t="shared" si="27"/>
        <v>Y</v>
      </c>
      <c r="FZ21" s="23" t="str">
        <f t="shared" si="28"/>
        <v>Y</v>
      </c>
      <c r="GA21" s="23" t="str">
        <f t="shared" si="29"/>
        <v>Y</v>
      </c>
      <c r="GB21" s="23" t="str">
        <f t="shared" si="30"/>
        <v>Y</v>
      </c>
      <c r="GC21" s="23" t="str">
        <f t="shared" si="31"/>
        <v>Y</v>
      </c>
      <c r="GD21" s="23" t="str">
        <f t="shared" si="32"/>
        <v>Y</v>
      </c>
      <c r="GE21" s="23" t="str">
        <f t="shared" si="33"/>
        <v>Y</v>
      </c>
      <c r="GF21" s="23" t="str">
        <f t="shared" si="34"/>
        <v>N</v>
      </c>
      <c r="GG21" s="23" t="str">
        <f t="shared" si="35"/>
        <v>Y</v>
      </c>
      <c r="GH21" s="23" t="str">
        <f t="shared" si="36"/>
        <v>Y</v>
      </c>
      <c r="GI21" s="23" t="str">
        <f t="shared" si="37"/>
        <v>Y</v>
      </c>
      <c r="GJ21" s="23" t="str">
        <f t="shared" si="38"/>
        <v>Y</v>
      </c>
      <c r="GK21" s="23" t="str">
        <f t="shared" si="39"/>
        <v>N</v>
      </c>
      <c r="GL21" s="23" t="str">
        <f t="shared" si="40"/>
        <v>Y</v>
      </c>
      <c r="GM21" s="23" t="str">
        <f t="shared" si="41"/>
        <v>N</v>
      </c>
      <c r="GN21" s="23" t="str">
        <f t="shared" si="42"/>
        <v>Y</v>
      </c>
      <c r="GO21" s="23" t="str">
        <f t="shared" si="43"/>
        <v>Y</v>
      </c>
      <c r="GP21" s="23" t="str">
        <f t="shared" si="44"/>
        <v>Y</v>
      </c>
      <c r="GQ21" s="23" t="str">
        <f t="shared" si="45"/>
        <v>Y</v>
      </c>
      <c r="GR21" s="23" t="str">
        <f t="shared" si="46"/>
        <v>Y</v>
      </c>
      <c r="GS21" s="23" t="str">
        <f t="shared" si="47"/>
        <v>Y</v>
      </c>
      <c r="GT21" s="23" t="str">
        <f t="shared" si="48"/>
        <v>Y</v>
      </c>
      <c r="GU21" s="23" t="str">
        <f t="shared" si="49"/>
        <v>Y</v>
      </c>
      <c r="GV21" s="23" t="str">
        <f t="shared" si="50"/>
        <v>Y</v>
      </c>
      <c r="GW21" s="23" t="str">
        <f t="shared" si="51"/>
        <v>Y</v>
      </c>
      <c r="GX21" s="23" t="str">
        <f t="shared" si="52"/>
        <v>Y</v>
      </c>
      <c r="GY21" s="23" t="str">
        <f t="shared" si="53"/>
        <v>Y</v>
      </c>
      <c r="GZ21" s="23" t="str">
        <f t="shared" si="54"/>
        <v>Y</v>
      </c>
      <c r="HA21" s="23" t="str">
        <f t="shared" si="55"/>
        <v>Y</v>
      </c>
      <c r="HB21" s="23" t="str">
        <f t="shared" si="56"/>
        <v>Y</v>
      </c>
      <c r="HC21" s="23" t="str">
        <f t="shared" si="57"/>
        <v>Y</v>
      </c>
      <c r="HD21" s="23" t="str">
        <f t="shared" si="58"/>
        <v>Y</v>
      </c>
      <c r="HE21" s="23" t="str">
        <f t="shared" si="59"/>
        <v>Y</v>
      </c>
      <c r="HF21" s="23" t="str">
        <f t="shared" si="60"/>
        <v>Y</v>
      </c>
      <c r="HG21" s="23" t="str">
        <f t="shared" si="61"/>
        <v>Y</v>
      </c>
      <c r="HH21" s="23" t="str">
        <f t="shared" si="62"/>
        <v>Y</v>
      </c>
      <c r="HI21" s="23" t="str">
        <f t="shared" si="63"/>
        <v>Y</v>
      </c>
      <c r="HJ21" s="23" t="str">
        <f t="shared" si="64"/>
        <v>Y</v>
      </c>
      <c r="HK21" s="23" t="str">
        <f t="shared" si="65"/>
        <v>Y</v>
      </c>
      <c r="HL21" s="23" t="str">
        <f t="shared" si="66"/>
        <v>Y</v>
      </c>
      <c r="HM21" s="23" t="str">
        <f t="shared" si="67"/>
        <v>Y</v>
      </c>
      <c r="HN21" s="55" t="str">
        <f t="shared" si="68"/>
        <v>Y</v>
      </c>
      <c r="HO21" s="72"/>
      <c r="HP21" s="75"/>
    </row>
    <row r="22" spans="1:224" ht="30" customHeight="1">
      <c r="A22" s="47" t="s">
        <v>156</v>
      </c>
      <c r="B22" s="52">
        <v>2022</v>
      </c>
      <c r="C22" s="52">
        <v>65</v>
      </c>
      <c r="D22" s="56">
        <v>65</v>
      </c>
      <c r="E22" s="56">
        <v>65</v>
      </c>
      <c r="F22" s="56">
        <v>65</v>
      </c>
      <c r="G22" s="56" t="s">
        <v>66</v>
      </c>
      <c r="H22" s="56" t="s">
        <v>66</v>
      </c>
      <c r="I22" s="56" t="s">
        <v>66</v>
      </c>
      <c r="J22" s="56" t="s">
        <v>66</v>
      </c>
      <c r="K22" s="52">
        <v>15</v>
      </c>
      <c r="L22" s="56">
        <v>15</v>
      </c>
      <c r="M22" s="56">
        <v>60</v>
      </c>
      <c r="N22" s="56">
        <v>60</v>
      </c>
      <c r="O22" s="56">
        <v>41</v>
      </c>
      <c r="P22" s="56">
        <v>41</v>
      </c>
      <c r="Q22" s="56">
        <v>8</v>
      </c>
      <c r="R22" s="56">
        <v>8</v>
      </c>
      <c r="S22" s="56">
        <v>22</v>
      </c>
      <c r="T22" s="56">
        <v>22</v>
      </c>
      <c r="U22" s="52">
        <v>131</v>
      </c>
      <c r="V22" s="56">
        <v>131</v>
      </c>
      <c r="W22" s="52">
        <v>0</v>
      </c>
      <c r="X22" s="56">
        <v>0</v>
      </c>
      <c r="Y22" s="52">
        <v>0</v>
      </c>
      <c r="Z22" s="56">
        <v>0</v>
      </c>
      <c r="AA22" s="52">
        <v>0</v>
      </c>
      <c r="AB22" s="56">
        <v>0</v>
      </c>
      <c r="AC22" s="56" t="s">
        <v>157</v>
      </c>
      <c r="AD22" s="56" t="s">
        <v>105</v>
      </c>
      <c r="AE22" s="56" t="s">
        <v>105</v>
      </c>
      <c r="AF22" s="52" t="s">
        <v>90</v>
      </c>
      <c r="AG22" s="52" t="s">
        <v>92</v>
      </c>
      <c r="AH22" s="56" t="s">
        <v>92</v>
      </c>
      <c r="AI22" s="52" t="s">
        <v>91</v>
      </c>
      <c r="AJ22" s="56" t="s">
        <v>91</v>
      </c>
      <c r="AK22" s="52" t="s">
        <v>92</v>
      </c>
      <c r="AL22" s="56" t="s">
        <v>92</v>
      </c>
      <c r="AM22" s="56">
        <v>131</v>
      </c>
      <c r="AN22" s="56">
        <v>131</v>
      </c>
      <c r="AO22" s="52">
        <v>0</v>
      </c>
      <c r="AP22" s="56">
        <v>0</v>
      </c>
      <c r="AQ22" s="52">
        <v>0</v>
      </c>
      <c r="AR22" s="56">
        <v>0</v>
      </c>
      <c r="AS22" s="56" t="s">
        <v>66</v>
      </c>
      <c r="AT22" s="56" t="s">
        <v>66</v>
      </c>
      <c r="AU22" s="56" t="s">
        <v>66</v>
      </c>
      <c r="AV22" s="56" t="s">
        <v>66</v>
      </c>
      <c r="AW22" s="56" t="s">
        <v>66</v>
      </c>
      <c r="AX22" s="56" t="s">
        <v>66</v>
      </c>
      <c r="AY22" s="52">
        <v>131</v>
      </c>
      <c r="AZ22" s="56">
        <v>131</v>
      </c>
      <c r="BA22" s="52">
        <v>2</v>
      </c>
      <c r="BB22" s="56">
        <v>2</v>
      </c>
      <c r="BC22" s="47">
        <f t="shared" si="81"/>
        <v>2</v>
      </c>
      <c r="BD22" s="76">
        <v>2</v>
      </c>
      <c r="BE22" s="58">
        <v>0</v>
      </c>
      <c r="BF22" s="58">
        <v>0</v>
      </c>
      <c r="BG22" s="52" t="s">
        <v>93</v>
      </c>
      <c r="BH22" s="56" t="s">
        <v>93</v>
      </c>
      <c r="BI22" s="52">
        <v>1</v>
      </c>
      <c r="BJ22" s="56">
        <v>1</v>
      </c>
      <c r="BK22" s="56">
        <v>1</v>
      </c>
      <c r="BL22" s="56">
        <v>1</v>
      </c>
      <c r="BM22" s="52">
        <v>1</v>
      </c>
      <c r="BN22" s="56">
        <v>1</v>
      </c>
      <c r="BO22" s="56">
        <v>0</v>
      </c>
      <c r="BP22" s="56">
        <v>0</v>
      </c>
      <c r="BQ22" s="52">
        <v>1</v>
      </c>
      <c r="BR22" s="56">
        <v>1</v>
      </c>
      <c r="BS22" s="56">
        <v>0</v>
      </c>
      <c r="BT22" s="56">
        <v>0</v>
      </c>
      <c r="BU22" s="56">
        <v>0</v>
      </c>
      <c r="BV22" s="56">
        <v>0</v>
      </c>
      <c r="BW22" s="56">
        <v>0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56">
        <v>0</v>
      </c>
      <c r="CG22" s="56">
        <v>0</v>
      </c>
      <c r="CH22" s="56">
        <v>0</v>
      </c>
      <c r="CI22" s="56">
        <v>0</v>
      </c>
      <c r="CJ22" s="56">
        <v>0</v>
      </c>
      <c r="CK22" s="56">
        <v>0</v>
      </c>
      <c r="CL22" s="56">
        <v>0</v>
      </c>
      <c r="CM22" s="56">
        <v>0</v>
      </c>
      <c r="CN22" s="56">
        <v>0</v>
      </c>
      <c r="CO22" s="56">
        <v>0</v>
      </c>
      <c r="CP22" s="56">
        <v>0</v>
      </c>
      <c r="CQ22" s="56">
        <v>0</v>
      </c>
      <c r="CR22" s="56">
        <v>0</v>
      </c>
      <c r="CS22" s="52">
        <v>0</v>
      </c>
      <c r="CT22" s="56">
        <v>0</v>
      </c>
      <c r="CU22" s="52" t="s">
        <v>95</v>
      </c>
      <c r="CV22" s="56" t="s">
        <v>95</v>
      </c>
      <c r="CW22" s="52" t="s">
        <v>95</v>
      </c>
      <c r="CX22" s="56" t="s">
        <v>95</v>
      </c>
      <c r="CY22" s="52" t="s">
        <v>66</v>
      </c>
      <c r="CZ22" s="56" t="s">
        <v>66</v>
      </c>
      <c r="DA22" s="52" t="s">
        <v>95</v>
      </c>
      <c r="DB22" s="56" t="s">
        <v>95</v>
      </c>
      <c r="DC22" s="52" t="s">
        <v>95</v>
      </c>
      <c r="DD22" s="56" t="s">
        <v>95</v>
      </c>
      <c r="DE22" s="52" t="s">
        <v>95</v>
      </c>
      <c r="DF22" s="56" t="s">
        <v>95</v>
      </c>
      <c r="DG22" s="52" t="s">
        <v>95</v>
      </c>
      <c r="DH22" s="56" t="s">
        <v>95</v>
      </c>
      <c r="DI22" s="52" t="s">
        <v>158</v>
      </c>
      <c r="DJ22" s="56" t="s">
        <v>66</v>
      </c>
      <c r="DK22" s="52" t="s">
        <v>66</v>
      </c>
      <c r="DL22" s="56" t="s">
        <v>66</v>
      </c>
      <c r="DM22" s="52" t="s">
        <v>95</v>
      </c>
      <c r="DN22" s="56" t="s">
        <v>95</v>
      </c>
      <c r="DO22" s="52" t="s">
        <v>95</v>
      </c>
      <c r="DP22" s="56" t="s">
        <v>95</v>
      </c>
      <c r="DQ22" s="52" t="s">
        <v>158</v>
      </c>
      <c r="DR22" s="56" t="s">
        <v>66</v>
      </c>
      <c r="DS22" s="52" t="s">
        <v>66</v>
      </c>
      <c r="DT22" s="56" t="s">
        <v>66</v>
      </c>
      <c r="DU22" s="52" t="s">
        <v>66</v>
      </c>
      <c r="DV22" s="56" t="s">
        <v>66</v>
      </c>
      <c r="DW22" s="52" t="s">
        <v>97</v>
      </c>
      <c r="DX22" s="52" t="s">
        <v>140</v>
      </c>
      <c r="DY22" s="52" t="s">
        <v>66</v>
      </c>
      <c r="DZ22" s="56" t="s">
        <v>66</v>
      </c>
      <c r="EA22" s="52" t="s">
        <v>102</v>
      </c>
      <c r="EB22" s="56" t="s">
        <v>159</v>
      </c>
      <c r="EC22" s="52">
        <v>1</v>
      </c>
      <c r="ED22" s="56">
        <v>1</v>
      </c>
      <c r="EE22" s="52">
        <v>1</v>
      </c>
      <c r="EF22" s="56">
        <v>1</v>
      </c>
      <c r="EG22" s="52">
        <v>1</v>
      </c>
      <c r="EH22" s="56">
        <v>1</v>
      </c>
      <c r="EI22" s="52">
        <v>1</v>
      </c>
      <c r="EJ22" s="56">
        <v>1</v>
      </c>
      <c r="EK22" s="52">
        <v>1</v>
      </c>
      <c r="EL22" s="56">
        <v>1</v>
      </c>
      <c r="EM22" s="52">
        <v>1</v>
      </c>
      <c r="EN22" s="56">
        <v>1</v>
      </c>
      <c r="EO22" s="52">
        <v>1</v>
      </c>
      <c r="EP22" s="56">
        <v>1</v>
      </c>
      <c r="EQ22" s="52">
        <v>1</v>
      </c>
      <c r="ER22" s="56">
        <v>1</v>
      </c>
      <c r="ES22" s="52">
        <v>1</v>
      </c>
      <c r="ET22" s="56">
        <v>1</v>
      </c>
      <c r="EU22" s="52">
        <v>1</v>
      </c>
      <c r="EV22" s="56">
        <v>1</v>
      </c>
      <c r="EW22" s="47">
        <f t="shared" ref="EW22:EX22" si="109">SUM(EC22,EE22,EG22,EI22,EK22,EM22,EO22,EQ22,ES22,EU22)</f>
        <v>10</v>
      </c>
      <c r="EX22" s="47">
        <f t="shared" si="109"/>
        <v>10</v>
      </c>
      <c r="EY22" s="59" t="str">
        <f t="shared" ref="EY22:EZ22" si="110">A22</f>
        <v>Muhrer</v>
      </c>
      <c r="EZ22" s="59">
        <f t="shared" si="110"/>
        <v>2022</v>
      </c>
      <c r="FA22" s="60" t="str">
        <f t="shared" si="3"/>
        <v>Y</v>
      </c>
      <c r="FB22" s="60" t="str">
        <f t="shared" si="4"/>
        <v>Y</v>
      </c>
      <c r="FC22" s="60" t="str">
        <f t="shared" si="5"/>
        <v>Y</v>
      </c>
      <c r="FD22" s="60" t="str">
        <f t="shared" si="6"/>
        <v>Y</v>
      </c>
      <c r="FE22" s="60" t="str">
        <f t="shared" si="7"/>
        <v>Y</v>
      </c>
      <c r="FF22" s="60" t="str">
        <f t="shared" si="88"/>
        <v>Y</v>
      </c>
      <c r="FG22" s="60" t="str">
        <f t="shared" si="9"/>
        <v>Y</v>
      </c>
      <c r="FH22" s="60" t="str">
        <f t="shared" si="10"/>
        <v>Y</v>
      </c>
      <c r="FI22" s="60" t="str">
        <f t="shared" si="11"/>
        <v>Y</v>
      </c>
      <c r="FJ22" s="60" t="str">
        <f t="shared" si="12"/>
        <v>Y</v>
      </c>
      <c r="FK22" s="60" t="str">
        <f t="shared" si="13"/>
        <v>Y</v>
      </c>
      <c r="FL22" s="60" t="str">
        <f t="shared" si="14"/>
        <v>Y</v>
      </c>
      <c r="FM22" s="60" t="str">
        <f t="shared" si="15"/>
        <v>Y</v>
      </c>
      <c r="FN22" s="60" t="str">
        <f t="shared" si="16"/>
        <v>Y</v>
      </c>
      <c r="FO22" s="60" t="str">
        <f t="shared" si="17"/>
        <v>Y</v>
      </c>
      <c r="FP22" s="60" t="str">
        <f t="shared" si="18"/>
        <v>Y</v>
      </c>
      <c r="FQ22" s="60" t="str">
        <f t="shared" si="19"/>
        <v>Y</v>
      </c>
      <c r="FR22" s="60" t="str">
        <f t="shared" si="20"/>
        <v>Y</v>
      </c>
      <c r="FS22" s="60" t="str">
        <f t="shared" si="21"/>
        <v>Y</v>
      </c>
      <c r="FT22" s="60" t="str">
        <f t="shared" si="22"/>
        <v>Y</v>
      </c>
      <c r="FU22" s="60" t="str">
        <f t="shared" si="23"/>
        <v>Y</v>
      </c>
      <c r="FV22" s="60" t="str">
        <f t="shared" si="24"/>
        <v>Y</v>
      </c>
      <c r="FW22" s="60" t="str">
        <f t="shared" si="25"/>
        <v>Y</v>
      </c>
      <c r="FX22" s="60" t="str">
        <f t="shared" si="26"/>
        <v>Y</v>
      </c>
      <c r="FY22" s="60" t="str">
        <f t="shared" si="27"/>
        <v>Y</v>
      </c>
      <c r="FZ22" s="60" t="str">
        <f t="shared" si="28"/>
        <v>Y</v>
      </c>
      <c r="GA22" s="60" t="str">
        <f t="shared" si="29"/>
        <v>Y</v>
      </c>
      <c r="GB22" s="60" t="str">
        <f t="shared" si="30"/>
        <v>Y</v>
      </c>
      <c r="GC22" s="60" t="str">
        <f t="shared" si="31"/>
        <v>Y</v>
      </c>
      <c r="GD22" s="60" t="str">
        <f t="shared" si="32"/>
        <v>Y</v>
      </c>
      <c r="GE22" s="60" t="str">
        <f t="shared" si="33"/>
        <v>Y</v>
      </c>
      <c r="GF22" s="60" t="str">
        <f t="shared" si="34"/>
        <v>Y</v>
      </c>
      <c r="GG22" s="60" t="str">
        <f t="shared" si="35"/>
        <v>Y</v>
      </c>
      <c r="GH22" s="60" t="str">
        <f t="shared" si="36"/>
        <v>Y</v>
      </c>
      <c r="GI22" s="60" t="str">
        <f t="shared" si="37"/>
        <v>Y</v>
      </c>
      <c r="GJ22" s="60" t="str">
        <f t="shared" si="38"/>
        <v>Y</v>
      </c>
      <c r="GK22" s="60" t="str">
        <f t="shared" si="39"/>
        <v>Y</v>
      </c>
      <c r="GL22" s="60" t="str">
        <f t="shared" si="40"/>
        <v>Y</v>
      </c>
      <c r="GM22" s="60" t="str">
        <f t="shared" si="41"/>
        <v>Y</v>
      </c>
      <c r="GN22" s="60" t="str">
        <f t="shared" si="42"/>
        <v>Y</v>
      </c>
      <c r="GO22" s="60" t="str">
        <f t="shared" si="43"/>
        <v>Y</v>
      </c>
      <c r="GP22" s="60" t="str">
        <f t="shared" si="44"/>
        <v>Y</v>
      </c>
      <c r="GQ22" s="60" t="str">
        <f t="shared" si="45"/>
        <v>Y</v>
      </c>
      <c r="GR22" s="60" t="str">
        <f t="shared" si="46"/>
        <v>Y</v>
      </c>
      <c r="GS22" s="60" t="str">
        <f t="shared" si="47"/>
        <v>Y</v>
      </c>
      <c r="GT22" s="60" t="str">
        <f t="shared" si="48"/>
        <v>Y</v>
      </c>
      <c r="GU22" s="60" t="str">
        <f t="shared" si="49"/>
        <v>Y</v>
      </c>
      <c r="GV22" s="60" t="str">
        <f t="shared" si="50"/>
        <v>Y</v>
      </c>
      <c r="GW22" s="60" t="str">
        <f t="shared" si="51"/>
        <v>Y</v>
      </c>
      <c r="GX22" s="60" t="str">
        <f t="shared" si="52"/>
        <v>Y</v>
      </c>
      <c r="GY22" s="60" t="str">
        <f t="shared" si="53"/>
        <v>Y</v>
      </c>
      <c r="GZ22" s="60" t="str">
        <f t="shared" si="54"/>
        <v>Y</v>
      </c>
      <c r="HA22" s="60" t="str">
        <f t="shared" si="55"/>
        <v>Y</v>
      </c>
      <c r="HB22" s="60" t="str">
        <f t="shared" si="56"/>
        <v>Y</v>
      </c>
      <c r="HC22" s="60" t="str">
        <f t="shared" si="57"/>
        <v>Y</v>
      </c>
      <c r="HD22" s="60" t="str">
        <f t="shared" si="58"/>
        <v>Y</v>
      </c>
      <c r="HE22" s="60" t="str">
        <f t="shared" si="59"/>
        <v>Y</v>
      </c>
      <c r="HF22" s="60" t="str">
        <f t="shared" si="60"/>
        <v>Y</v>
      </c>
      <c r="HG22" s="60" t="str">
        <f t="shared" si="61"/>
        <v>Y</v>
      </c>
      <c r="HH22" s="60" t="str">
        <f t="shared" si="62"/>
        <v>Y</v>
      </c>
      <c r="HI22" s="60" t="str">
        <f t="shared" si="63"/>
        <v>Y</v>
      </c>
      <c r="HJ22" s="60" t="str">
        <f t="shared" si="64"/>
        <v>Y</v>
      </c>
      <c r="HK22" s="60" t="str">
        <f t="shared" si="65"/>
        <v>Y</v>
      </c>
      <c r="HL22" s="60" t="str">
        <f t="shared" si="66"/>
        <v>Y</v>
      </c>
      <c r="HM22" s="60" t="str">
        <f t="shared" si="67"/>
        <v>Y</v>
      </c>
      <c r="HN22" s="60" t="str">
        <f t="shared" si="68"/>
        <v>Y</v>
      </c>
      <c r="HO22" s="62"/>
      <c r="HP22" s="62"/>
    </row>
    <row r="23" spans="1:224" ht="30" customHeight="1">
      <c r="A23" s="77" t="s">
        <v>160</v>
      </c>
      <c r="B23" s="78">
        <v>2021</v>
      </c>
      <c r="C23" s="78">
        <v>249</v>
      </c>
      <c r="D23" s="78">
        <v>249</v>
      </c>
      <c r="E23" s="79">
        <v>183</v>
      </c>
      <c r="F23" s="78">
        <v>183</v>
      </c>
      <c r="G23" s="78" t="s">
        <v>66</v>
      </c>
      <c r="H23" s="78" t="s">
        <v>66</v>
      </c>
      <c r="I23" s="78" t="s">
        <v>66</v>
      </c>
      <c r="J23" s="78" t="s">
        <v>66</v>
      </c>
      <c r="K23" s="78">
        <v>38.299999999999997</v>
      </c>
      <c r="L23" s="79">
        <v>38.299999999999997</v>
      </c>
      <c r="M23" s="79" t="s">
        <v>66</v>
      </c>
      <c r="N23" s="79" t="s">
        <v>66</v>
      </c>
      <c r="O23" s="79" t="s">
        <v>66</v>
      </c>
      <c r="P23" s="79" t="s">
        <v>66</v>
      </c>
      <c r="Q23" s="79" t="s">
        <v>66</v>
      </c>
      <c r="R23" s="79" t="s">
        <v>66</v>
      </c>
      <c r="S23" s="79" t="s">
        <v>66</v>
      </c>
      <c r="T23" s="79" t="s">
        <v>66</v>
      </c>
      <c r="U23" s="78">
        <v>0</v>
      </c>
      <c r="V23" s="78">
        <v>0</v>
      </c>
      <c r="W23" s="78">
        <v>8</v>
      </c>
      <c r="X23" s="78">
        <v>8</v>
      </c>
      <c r="Y23" s="78">
        <v>424</v>
      </c>
      <c r="Z23" s="78">
        <v>424</v>
      </c>
      <c r="AA23" s="78">
        <v>0</v>
      </c>
      <c r="AB23" s="78">
        <v>0</v>
      </c>
      <c r="AC23" s="79" t="s">
        <v>143</v>
      </c>
      <c r="AD23" s="79" t="s">
        <v>161</v>
      </c>
      <c r="AE23" s="78" t="s">
        <v>161</v>
      </c>
      <c r="AF23" s="78" t="s">
        <v>100</v>
      </c>
      <c r="AG23" s="78" t="s">
        <v>91</v>
      </c>
      <c r="AH23" s="78" t="s">
        <v>91</v>
      </c>
      <c r="AI23" s="78" t="s">
        <v>92</v>
      </c>
      <c r="AJ23" s="78" t="s">
        <v>92</v>
      </c>
      <c r="AK23" s="78" t="s">
        <v>92</v>
      </c>
      <c r="AL23" s="78" t="s">
        <v>92</v>
      </c>
      <c r="AM23" s="78">
        <v>432</v>
      </c>
      <c r="AN23" s="78">
        <v>432</v>
      </c>
      <c r="AO23" s="78">
        <v>0</v>
      </c>
      <c r="AP23" s="78">
        <v>0</v>
      </c>
      <c r="AQ23" s="78">
        <v>0</v>
      </c>
      <c r="AR23" s="78">
        <v>0</v>
      </c>
      <c r="AS23" s="48" t="s">
        <v>66</v>
      </c>
      <c r="AT23" s="49" t="s">
        <v>66</v>
      </c>
      <c r="AU23" s="48" t="s">
        <v>66</v>
      </c>
      <c r="AV23" s="49" t="s">
        <v>66</v>
      </c>
      <c r="AW23" s="48" t="s">
        <v>66</v>
      </c>
      <c r="AX23" s="49" t="s">
        <v>66</v>
      </c>
      <c r="AY23" s="78">
        <v>432</v>
      </c>
      <c r="AZ23" s="78">
        <v>432</v>
      </c>
      <c r="BA23" s="78">
        <v>38</v>
      </c>
      <c r="BB23" s="78">
        <v>38</v>
      </c>
      <c r="BC23" s="47">
        <f t="shared" si="81"/>
        <v>38</v>
      </c>
      <c r="BD23" s="80">
        <v>38</v>
      </c>
      <c r="BE23" s="80">
        <v>0</v>
      </c>
      <c r="BF23" s="80">
        <v>0</v>
      </c>
      <c r="BG23" s="78" t="s">
        <v>93</v>
      </c>
      <c r="BH23" s="78" t="s">
        <v>93</v>
      </c>
      <c r="BI23" s="78">
        <v>13</v>
      </c>
      <c r="BJ23" s="78">
        <v>13</v>
      </c>
      <c r="BK23" s="78">
        <v>25</v>
      </c>
      <c r="BL23" s="78">
        <v>25</v>
      </c>
      <c r="BM23" s="48" t="s">
        <v>94</v>
      </c>
      <c r="BN23" s="78" t="s">
        <v>94</v>
      </c>
      <c r="BO23" s="48" t="s">
        <v>94</v>
      </c>
      <c r="BP23" s="78" t="s">
        <v>94</v>
      </c>
      <c r="BQ23" s="48">
        <v>25</v>
      </c>
      <c r="BR23" s="78">
        <v>25</v>
      </c>
      <c r="BS23" s="48" t="s">
        <v>94</v>
      </c>
      <c r="BT23" s="78" t="s">
        <v>94</v>
      </c>
      <c r="BU23" s="48" t="s">
        <v>94</v>
      </c>
      <c r="BV23" s="78" t="s">
        <v>94</v>
      </c>
      <c r="BW23" s="48" t="s">
        <v>94</v>
      </c>
      <c r="BX23" s="78" t="s">
        <v>94</v>
      </c>
      <c r="BY23" s="48" t="s">
        <v>94</v>
      </c>
      <c r="BZ23" s="78" t="s">
        <v>94</v>
      </c>
      <c r="CA23" s="48" t="s">
        <v>94</v>
      </c>
      <c r="CB23" s="78" t="s">
        <v>94</v>
      </c>
      <c r="CC23" s="48" t="s">
        <v>94</v>
      </c>
      <c r="CD23" s="78" t="s">
        <v>94</v>
      </c>
      <c r="CE23" s="48" t="s">
        <v>94</v>
      </c>
      <c r="CF23" s="78" t="s">
        <v>94</v>
      </c>
      <c r="CG23" s="48" t="s">
        <v>94</v>
      </c>
      <c r="CH23" s="78" t="s">
        <v>94</v>
      </c>
      <c r="CI23" s="48" t="s">
        <v>94</v>
      </c>
      <c r="CJ23" s="78" t="s">
        <v>94</v>
      </c>
      <c r="CK23" s="48" t="s">
        <v>94</v>
      </c>
      <c r="CL23" s="78" t="s">
        <v>94</v>
      </c>
      <c r="CM23" s="48" t="s">
        <v>94</v>
      </c>
      <c r="CN23" s="78" t="s">
        <v>94</v>
      </c>
      <c r="CO23" s="48" t="s">
        <v>94</v>
      </c>
      <c r="CP23" s="78" t="s">
        <v>94</v>
      </c>
      <c r="CQ23" s="48" t="s">
        <v>94</v>
      </c>
      <c r="CR23" s="78" t="s">
        <v>94</v>
      </c>
      <c r="CS23" s="48">
        <v>13</v>
      </c>
      <c r="CT23" s="78">
        <v>13</v>
      </c>
      <c r="CU23" s="78" t="s">
        <v>66</v>
      </c>
      <c r="CV23" s="78" t="s">
        <v>66</v>
      </c>
      <c r="CW23" s="78" t="s">
        <v>66</v>
      </c>
      <c r="CX23" s="78" t="s">
        <v>66</v>
      </c>
      <c r="CY23" s="78" t="s">
        <v>66</v>
      </c>
      <c r="CZ23" s="78" t="s">
        <v>66</v>
      </c>
      <c r="DA23" s="78" t="s">
        <v>66</v>
      </c>
      <c r="DB23" s="78" t="s">
        <v>66</v>
      </c>
      <c r="DC23" s="78" t="s">
        <v>66</v>
      </c>
      <c r="DD23" s="78" t="s">
        <v>66</v>
      </c>
      <c r="DE23" s="78" t="s">
        <v>66</v>
      </c>
      <c r="DF23" s="78" t="s">
        <v>66</v>
      </c>
      <c r="DG23" s="78" t="s">
        <v>66</v>
      </c>
      <c r="DH23" s="78" t="s">
        <v>66</v>
      </c>
      <c r="DI23" s="78" t="s">
        <v>96</v>
      </c>
      <c r="DJ23" s="78" t="s">
        <v>96</v>
      </c>
      <c r="DK23" s="78" t="s">
        <v>92</v>
      </c>
      <c r="DL23" s="78" t="s">
        <v>92</v>
      </c>
      <c r="DM23" s="78" t="s">
        <v>96</v>
      </c>
      <c r="DN23" s="78" t="s">
        <v>96</v>
      </c>
      <c r="DO23" s="78" t="s">
        <v>96</v>
      </c>
      <c r="DP23" s="78" t="s">
        <v>96</v>
      </c>
      <c r="DQ23" s="78" t="s">
        <v>92</v>
      </c>
      <c r="DR23" s="79" t="s">
        <v>92</v>
      </c>
      <c r="DS23" s="78" t="s">
        <v>66</v>
      </c>
      <c r="DT23" s="78" t="s">
        <v>66</v>
      </c>
      <c r="DU23" s="78" t="s">
        <v>66</v>
      </c>
      <c r="DV23" s="78" t="s">
        <v>66</v>
      </c>
      <c r="DW23" s="78" t="s">
        <v>97</v>
      </c>
      <c r="DX23" s="78" t="s">
        <v>140</v>
      </c>
      <c r="DY23" s="78" t="s">
        <v>113</v>
      </c>
      <c r="DZ23" s="78" t="s">
        <v>113</v>
      </c>
      <c r="EA23" s="78" t="s">
        <v>108</v>
      </c>
      <c r="EB23" s="78" t="s">
        <v>108</v>
      </c>
      <c r="EC23" s="78">
        <v>1</v>
      </c>
      <c r="ED23" s="78">
        <v>1</v>
      </c>
      <c r="EE23" s="78">
        <v>1</v>
      </c>
      <c r="EF23" s="78">
        <v>1</v>
      </c>
      <c r="EG23" s="78">
        <v>1</v>
      </c>
      <c r="EH23" s="78">
        <v>1</v>
      </c>
      <c r="EI23" s="78">
        <v>1</v>
      </c>
      <c r="EJ23" s="78">
        <v>1</v>
      </c>
      <c r="EK23" s="78">
        <v>1</v>
      </c>
      <c r="EL23" s="78">
        <v>1</v>
      </c>
      <c r="EM23" s="78">
        <v>1</v>
      </c>
      <c r="EN23" s="78">
        <v>1</v>
      </c>
      <c r="EO23" s="78">
        <v>1</v>
      </c>
      <c r="EP23" s="78">
        <v>1</v>
      </c>
      <c r="EQ23" s="78">
        <v>1</v>
      </c>
      <c r="ER23" s="78">
        <v>1</v>
      </c>
      <c r="ES23" s="78">
        <v>1</v>
      </c>
      <c r="ET23" s="78">
        <v>1</v>
      </c>
      <c r="EU23" s="78">
        <v>1</v>
      </c>
      <c r="EV23" s="78">
        <v>1</v>
      </c>
      <c r="EW23" s="47">
        <f t="shared" ref="EW23:EX23" si="111">SUM(EC23,EE23,EG23,EI23,EK23,EM23,EO23,EQ23,ES23,EU23)</f>
        <v>10</v>
      </c>
      <c r="EX23" s="47">
        <f t="shared" si="111"/>
        <v>10</v>
      </c>
      <c r="EY23" s="64" t="str">
        <f t="shared" ref="EY23:EZ23" si="112">A23</f>
        <v>Nkire</v>
      </c>
      <c r="EZ23" s="65">
        <f t="shared" si="112"/>
        <v>2021</v>
      </c>
      <c r="FA23" s="23" t="str">
        <f t="shared" si="3"/>
        <v>Y</v>
      </c>
      <c r="FB23" s="23" t="str">
        <f t="shared" si="4"/>
        <v>Y</v>
      </c>
      <c r="FC23" s="23" t="str">
        <f t="shared" si="5"/>
        <v>Y</v>
      </c>
      <c r="FD23" s="23" t="str">
        <f t="shared" si="6"/>
        <v>Y</v>
      </c>
      <c r="FE23" s="23" t="str">
        <f t="shared" si="7"/>
        <v>Y</v>
      </c>
      <c r="FF23" s="23" t="str">
        <f t="shared" si="88"/>
        <v>Y</v>
      </c>
      <c r="FG23" s="23" t="str">
        <f t="shared" si="9"/>
        <v>Y</v>
      </c>
      <c r="FH23" s="23" t="str">
        <f t="shared" si="10"/>
        <v>Y</v>
      </c>
      <c r="FI23" s="23" t="str">
        <f t="shared" si="11"/>
        <v>Y</v>
      </c>
      <c r="FJ23" s="23" t="str">
        <f t="shared" si="12"/>
        <v>Y</v>
      </c>
      <c r="FK23" s="23" t="str">
        <f t="shared" si="13"/>
        <v>Y</v>
      </c>
      <c r="FL23" s="23" t="str">
        <f t="shared" si="14"/>
        <v>Y</v>
      </c>
      <c r="FM23" s="23" t="str">
        <f t="shared" si="15"/>
        <v>Y</v>
      </c>
      <c r="FN23" s="23" t="str">
        <f t="shared" si="16"/>
        <v>Y</v>
      </c>
      <c r="FO23" s="23" t="str">
        <f t="shared" si="17"/>
        <v>Y</v>
      </c>
      <c r="FP23" s="23" t="str">
        <f t="shared" si="18"/>
        <v>Y</v>
      </c>
      <c r="FQ23" s="23" t="str">
        <f t="shared" si="19"/>
        <v>Y</v>
      </c>
      <c r="FR23" s="23" t="str">
        <f t="shared" si="20"/>
        <v>Y</v>
      </c>
      <c r="FS23" s="23" t="str">
        <f t="shared" si="21"/>
        <v>Y</v>
      </c>
      <c r="FT23" s="23" t="str">
        <f t="shared" si="22"/>
        <v>Y</v>
      </c>
      <c r="FU23" s="23" t="str">
        <f t="shared" si="23"/>
        <v>Y</v>
      </c>
      <c r="FV23" s="23" t="str">
        <f t="shared" si="24"/>
        <v>Y</v>
      </c>
      <c r="FW23" s="23" t="str">
        <f t="shared" si="25"/>
        <v>Y</v>
      </c>
      <c r="FX23" s="23" t="str">
        <f t="shared" si="26"/>
        <v>Y</v>
      </c>
      <c r="FY23" s="23" t="str">
        <f t="shared" si="27"/>
        <v>Y</v>
      </c>
      <c r="FZ23" s="23" t="str">
        <f t="shared" si="28"/>
        <v>Y</v>
      </c>
      <c r="GA23" s="23" t="str">
        <f t="shared" si="29"/>
        <v>Y</v>
      </c>
      <c r="GB23" s="23" t="str">
        <f t="shared" si="30"/>
        <v>Y</v>
      </c>
      <c r="GC23" s="23" t="str">
        <f t="shared" si="31"/>
        <v>Y</v>
      </c>
      <c r="GD23" s="23" t="str">
        <f t="shared" si="32"/>
        <v>Y</v>
      </c>
      <c r="GE23" s="23" t="str">
        <f t="shared" si="33"/>
        <v>Y</v>
      </c>
      <c r="GF23" s="23" t="str">
        <f t="shared" si="34"/>
        <v>Y</v>
      </c>
      <c r="GG23" s="23" t="str">
        <f t="shared" si="35"/>
        <v>Y</v>
      </c>
      <c r="GH23" s="23" t="str">
        <f t="shared" si="36"/>
        <v>Y</v>
      </c>
      <c r="GI23" s="23" t="str">
        <f t="shared" si="37"/>
        <v>Y</v>
      </c>
      <c r="GJ23" s="23" t="str">
        <f t="shared" si="38"/>
        <v>Y</v>
      </c>
      <c r="GK23" s="23" t="str">
        <f t="shared" si="39"/>
        <v>Y</v>
      </c>
      <c r="GL23" s="23" t="str">
        <f t="shared" si="40"/>
        <v>Y</v>
      </c>
      <c r="GM23" s="23" t="str">
        <f t="shared" si="41"/>
        <v>Y</v>
      </c>
      <c r="GN23" s="23" t="str">
        <f t="shared" si="42"/>
        <v>Y</v>
      </c>
      <c r="GO23" s="23" t="str">
        <f t="shared" si="43"/>
        <v>Y</v>
      </c>
      <c r="GP23" s="23" t="str">
        <f t="shared" si="44"/>
        <v>Y</v>
      </c>
      <c r="GQ23" s="23" t="str">
        <f t="shared" si="45"/>
        <v>Y</v>
      </c>
      <c r="GR23" s="23" t="str">
        <f t="shared" si="46"/>
        <v>Y</v>
      </c>
      <c r="GS23" s="23" t="str">
        <f t="shared" si="47"/>
        <v>Y</v>
      </c>
      <c r="GT23" s="23" t="str">
        <f t="shared" si="48"/>
        <v>Y</v>
      </c>
      <c r="GU23" s="23" t="str">
        <f t="shared" si="49"/>
        <v>Y</v>
      </c>
      <c r="GV23" s="23" t="str">
        <f t="shared" si="50"/>
        <v>Y</v>
      </c>
      <c r="GW23" s="23" t="str">
        <f t="shared" si="51"/>
        <v>Y</v>
      </c>
      <c r="GX23" s="23" t="str">
        <f t="shared" si="52"/>
        <v>Y</v>
      </c>
      <c r="GY23" s="23" t="str">
        <f t="shared" si="53"/>
        <v>Y</v>
      </c>
      <c r="GZ23" s="23" t="str">
        <f t="shared" si="54"/>
        <v>Y</v>
      </c>
      <c r="HA23" s="23" t="str">
        <f t="shared" si="55"/>
        <v>Y</v>
      </c>
      <c r="HB23" s="23" t="str">
        <f t="shared" si="56"/>
        <v>Y</v>
      </c>
      <c r="HC23" s="23" t="str">
        <f t="shared" si="57"/>
        <v>Y</v>
      </c>
      <c r="HD23" s="23" t="str">
        <f t="shared" si="58"/>
        <v>Y</v>
      </c>
      <c r="HE23" s="23" t="str">
        <f t="shared" si="59"/>
        <v>Y</v>
      </c>
      <c r="HF23" s="23" t="str">
        <f t="shared" si="60"/>
        <v>Y</v>
      </c>
      <c r="HG23" s="23" t="str">
        <f t="shared" si="61"/>
        <v>Y</v>
      </c>
      <c r="HH23" s="23" t="str">
        <f t="shared" si="62"/>
        <v>Y</v>
      </c>
      <c r="HI23" s="23" t="str">
        <f t="shared" si="63"/>
        <v>Y</v>
      </c>
      <c r="HJ23" s="23" t="str">
        <f t="shared" si="64"/>
        <v>Y</v>
      </c>
      <c r="HK23" s="23" t="str">
        <f t="shared" si="65"/>
        <v>Y</v>
      </c>
      <c r="HL23" s="23" t="str">
        <f t="shared" si="66"/>
        <v>Y</v>
      </c>
      <c r="HM23" s="23" t="str">
        <f t="shared" si="67"/>
        <v>Y</v>
      </c>
      <c r="HN23" s="55" t="str">
        <f t="shared" si="68"/>
        <v>Y</v>
      </c>
      <c r="HO23" s="79">
        <v>1</v>
      </c>
      <c r="HP23" s="81">
        <v>1</v>
      </c>
    </row>
    <row r="24" spans="1:224" ht="30" customHeight="1">
      <c r="A24" s="46" t="s">
        <v>162</v>
      </c>
      <c r="B24" s="47">
        <v>2016</v>
      </c>
      <c r="C24" s="47">
        <v>204</v>
      </c>
      <c r="D24" s="47">
        <v>204</v>
      </c>
      <c r="E24" s="23">
        <v>202</v>
      </c>
      <c r="F24" s="47">
        <v>202</v>
      </c>
      <c r="G24" s="47" t="s">
        <v>66</v>
      </c>
      <c r="H24" s="47" t="s">
        <v>66</v>
      </c>
      <c r="I24" s="47" t="s">
        <v>66</v>
      </c>
      <c r="J24" s="47" t="s">
        <v>66</v>
      </c>
      <c r="K24" s="47">
        <v>15.9</v>
      </c>
      <c r="L24" s="23">
        <v>15.9</v>
      </c>
      <c r="M24" s="23">
        <v>364</v>
      </c>
      <c r="N24" s="23">
        <v>364</v>
      </c>
      <c r="O24" s="23" t="s">
        <v>66</v>
      </c>
      <c r="P24" s="23" t="s">
        <v>66</v>
      </c>
      <c r="Q24" s="23" t="s">
        <v>66</v>
      </c>
      <c r="R24" s="23" t="s">
        <v>66</v>
      </c>
      <c r="S24" s="23">
        <v>45</v>
      </c>
      <c r="T24" s="23">
        <v>45</v>
      </c>
      <c r="U24" s="47">
        <v>0</v>
      </c>
      <c r="V24" s="47">
        <v>0</v>
      </c>
      <c r="W24" s="47">
        <v>409</v>
      </c>
      <c r="X24" s="47">
        <v>409</v>
      </c>
      <c r="Y24" s="47">
        <v>0</v>
      </c>
      <c r="Z24" s="47">
        <v>0</v>
      </c>
      <c r="AA24" s="47">
        <v>0</v>
      </c>
      <c r="AB24" s="47">
        <v>0</v>
      </c>
      <c r="AC24" s="23" t="s">
        <v>88</v>
      </c>
      <c r="AD24" s="23" t="s">
        <v>163</v>
      </c>
      <c r="AE24" s="47" t="s">
        <v>163</v>
      </c>
      <c r="AF24" s="47" t="s">
        <v>119</v>
      </c>
      <c r="AG24" s="47" t="s">
        <v>92</v>
      </c>
      <c r="AH24" s="47" t="s">
        <v>92</v>
      </c>
      <c r="AI24" s="47" t="s">
        <v>91</v>
      </c>
      <c r="AJ24" s="47" t="s">
        <v>91</v>
      </c>
      <c r="AK24" s="47" t="s">
        <v>66</v>
      </c>
      <c r="AL24" s="47" t="s">
        <v>66</v>
      </c>
      <c r="AM24" s="47" t="s">
        <v>66</v>
      </c>
      <c r="AN24" s="47" t="s">
        <v>66</v>
      </c>
      <c r="AO24" s="47" t="s">
        <v>66</v>
      </c>
      <c r="AP24" s="47" t="s">
        <v>66</v>
      </c>
      <c r="AQ24" s="47" t="s">
        <v>66</v>
      </c>
      <c r="AR24" s="47" t="s">
        <v>66</v>
      </c>
      <c r="AS24" s="48" t="s">
        <v>66</v>
      </c>
      <c r="AT24" s="49" t="s">
        <v>66</v>
      </c>
      <c r="AU24" s="48" t="s">
        <v>66</v>
      </c>
      <c r="AV24" s="49" t="s">
        <v>66</v>
      </c>
      <c r="AW24" s="48" t="s">
        <v>66</v>
      </c>
      <c r="AX24" s="49" t="s">
        <v>66</v>
      </c>
      <c r="AY24" s="47">
        <v>409</v>
      </c>
      <c r="AZ24" s="47">
        <v>409</v>
      </c>
      <c r="BA24" s="47">
        <v>32</v>
      </c>
      <c r="BB24" s="47">
        <v>32</v>
      </c>
      <c r="BC24" s="47">
        <f t="shared" si="81"/>
        <v>32</v>
      </c>
      <c r="BD24" s="50">
        <v>32</v>
      </c>
      <c r="BE24" s="50">
        <v>0</v>
      </c>
      <c r="BF24" s="50">
        <v>0</v>
      </c>
      <c r="BG24" s="47" t="s">
        <v>93</v>
      </c>
      <c r="BH24" s="47" t="s">
        <v>93</v>
      </c>
      <c r="BI24" s="47">
        <v>32</v>
      </c>
      <c r="BJ24" s="47">
        <v>32</v>
      </c>
      <c r="BK24" s="47" t="s">
        <v>94</v>
      </c>
      <c r="BL24" s="47" t="s">
        <v>94</v>
      </c>
      <c r="BM24" s="48" t="s">
        <v>94</v>
      </c>
      <c r="BN24" s="47" t="s">
        <v>94</v>
      </c>
      <c r="BO24" s="48" t="s">
        <v>94</v>
      </c>
      <c r="BP24" s="47" t="s">
        <v>94</v>
      </c>
      <c r="BQ24" s="48" t="s">
        <v>94</v>
      </c>
      <c r="BR24" s="47" t="s">
        <v>94</v>
      </c>
      <c r="BS24" s="48" t="s">
        <v>94</v>
      </c>
      <c r="BT24" s="47" t="s">
        <v>94</v>
      </c>
      <c r="BU24" s="48" t="s">
        <v>94</v>
      </c>
      <c r="BV24" s="47" t="s">
        <v>94</v>
      </c>
      <c r="BW24" s="48" t="s">
        <v>94</v>
      </c>
      <c r="BX24" s="47" t="s">
        <v>94</v>
      </c>
      <c r="BY24" s="48" t="s">
        <v>94</v>
      </c>
      <c r="BZ24" s="47" t="s">
        <v>94</v>
      </c>
      <c r="CA24" s="48" t="s">
        <v>94</v>
      </c>
      <c r="CB24" s="47" t="s">
        <v>94</v>
      </c>
      <c r="CC24" s="48" t="s">
        <v>94</v>
      </c>
      <c r="CD24" s="47" t="s">
        <v>94</v>
      </c>
      <c r="CE24" s="48" t="s">
        <v>94</v>
      </c>
      <c r="CF24" s="47" t="s">
        <v>94</v>
      </c>
      <c r="CG24" s="48" t="s">
        <v>94</v>
      </c>
      <c r="CH24" s="47" t="s">
        <v>94</v>
      </c>
      <c r="CI24" s="48" t="s">
        <v>94</v>
      </c>
      <c r="CJ24" s="47" t="s">
        <v>94</v>
      </c>
      <c r="CK24" s="48" t="s">
        <v>94</v>
      </c>
      <c r="CL24" s="47" t="s">
        <v>94</v>
      </c>
      <c r="CM24" s="48" t="s">
        <v>94</v>
      </c>
      <c r="CN24" s="47" t="s">
        <v>94</v>
      </c>
      <c r="CO24" s="48" t="s">
        <v>94</v>
      </c>
      <c r="CP24" s="47" t="s">
        <v>94</v>
      </c>
      <c r="CQ24" s="48" t="s">
        <v>94</v>
      </c>
      <c r="CR24" s="47" t="s">
        <v>94</v>
      </c>
      <c r="CS24" s="48">
        <v>32</v>
      </c>
      <c r="CT24" s="47">
        <v>32</v>
      </c>
      <c r="CU24" s="47" t="s">
        <v>66</v>
      </c>
      <c r="CV24" s="47" t="s">
        <v>66</v>
      </c>
      <c r="CW24" s="47" t="s">
        <v>66</v>
      </c>
      <c r="CX24" s="47" t="s">
        <v>66</v>
      </c>
      <c r="CY24" s="47" t="s">
        <v>66</v>
      </c>
      <c r="CZ24" s="47" t="s">
        <v>66</v>
      </c>
      <c r="DA24" s="47" t="s">
        <v>66</v>
      </c>
      <c r="DB24" s="47" t="s">
        <v>66</v>
      </c>
      <c r="DC24" s="47" t="s">
        <v>66</v>
      </c>
      <c r="DD24" s="47" t="s">
        <v>66</v>
      </c>
      <c r="DE24" s="47" t="s">
        <v>66</v>
      </c>
      <c r="DF24" s="47" t="s">
        <v>66</v>
      </c>
      <c r="DG24" s="47" t="s">
        <v>66</v>
      </c>
      <c r="DH24" s="47" t="s">
        <v>66</v>
      </c>
      <c r="DI24" s="47" t="s">
        <v>96</v>
      </c>
      <c r="DJ24" s="47" t="s">
        <v>96</v>
      </c>
      <c r="DK24" s="47" t="s">
        <v>92</v>
      </c>
      <c r="DL24" s="47" t="s">
        <v>92</v>
      </c>
      <c r="DM24" s="47" t="s">
        <v>66</v>
      </c>
      <c r="DN24" s="47" t="s">
        <v>66</v>
      </c>
      <c r="DO24" s="47" t="s">
        <v>66</v>
      </c>
      <c r="DP24" s="47" t="s">
        <v>66</v>
      </c>
      <c r="DQ24" s="47" t="s">
        <v>66</v>
      </c>
      <c r="DR24" s="23" t="s">
        <v>66</v>
      </c>
      <c r="DS24" s="47" t="s">
        <v>66</v>
      </c>
      <c r="DT24" s="47" t="s">
        <v>66</v>
      </c>
      <c r="DU24" s="47" t="s">
        <v>66</v>
      </c>
      <c r="DV24" s="47" t="s">
        <v>66</v>
      </c>
      <c r="DW24" s="47" t="s">
        <v>97</v>
      </c>
      <c r="DX24" s="47" t="s">
        <v>97</v>
      </c>
      <c r="DY24" s="47" t="s">
        <v>147</v>
      </c>
      <c r="DZ24" s="47" t="s">
        <v>147</v>
      </c>
      <c r="EA24" s="47" t="s">
        <v>164</v>
      </c>
      <c r="EB24" s="47" t="s">
        <v>164</v>
      </c>
      <c r="EC24" s="47">
        <v>1</v>
      </c>
      <c r="ED24" s="47">
        <v>1</v>
      </c>
      <c r="EE24" s="47">
        <v>1</v>
      </c>
      <c r="EF24" s="47">
        <v>1</v>
      </c>
      <c r="EG24" s="47">
        <v>1</v>
      </c>
      <c r="EH24" s="47">
        <v>1</v>
      </c>
      <c r="EI24" s="47">
        <v>1</v>
      </c>
      <c r="EJ24" s="47">
        <v>1</v>
      </c>
      <c r="EK24" s="47">
        <v>1</v>
      </c>
      <c r="EL24" s="47">
        <v>1</v>
      </c>
      <c r="EM24" s="47">
        <v>0</v>
      </c>
      <c r="EN24" s="47">
        <v>0</v>
      </c>
      <c r="EO24" s="47">
        <v>1</v>
      </c>
      <c r="EP24" s="47">
        <v>1</v>
      </c>
      <c r="EQ24" s="47">
        <v>1</v>
      </c>
      <c r="ER24" s="47">
        <v>1</v>
      </c>
      <c r="ES24" s="47">
        <v>1</v>
      </c>
      <c r="ET24" s="47">
        <v>1</v>
      </c>
      <c r="EU24" s="47">
        <v>1</v>
      </c>
      <c r="EV24" s="47">
        <v>1</v>
      </c>
      <c r="EW24" s="47">
        <f t="shared" ref="EW24:EX24" si="113">SUM(EC24,EE24,EG24,EI24,EK24,EM24,EO24,EQ24,ES24,EU24)</f>
        <v>9</v>
      </c>
      <c r="EX24" s="47">
        <f t="shared" si="113"/>
        <v>9</v>
      </c>
      <c r="EY24" s="64" t="str">
        <f t="shared" ref="EY24:EZ24" si="114">A24</f>
        <v>Okewole</v>
      </c>
      <c r="EZ24" s="65">
        <f t="shared" si="114"/>
        <v>2016</v>
      </c>
      <c r="FA24" s="23" t="str">
        <f t="shared" si="3"/>
        <v>Y</v>
      </c>
      <c r="FB24" s="23" t="str">
        <f t="shared" si="4"/>
        <v>Y</v>
      </c>
      <c r="FC24" s="23" t="str">
        <f t="shared" si="5"/>
        <v>Y</v>
      </c>
      <c r="FD24" s="23" t="str">
        <f t="shared" si="6"/>
        <v>Y</v>
      </c>
      <c r="FE24" s="23" t="str">
        <f t="shared" si="7"/>
        <v>Y</v>
      </c>
      <c r="FF24" s="23" t="str">
        <f t="shared" si="88"/>
        <v>Y</v>
      </c>
      <c r="FG24" s="23" t="str">
        <f t="shared" si="9"/>
        <v>Y</v>
      </c>
      <c r="FH24" s="23" t="str">
        <f t="shared" si="10"/>
        <v>Y</v>
      </c>
      <c r="FI24" s="23" t="str">
        <f t="shared" si="11"/>
        <v>Y</v>
      </c>
      <c r="FJ24" s="23" t="str">
        <f t="shared" si="12"/>
        <v>Y</v>
      </c>
      <c r="FK24" s="23" t="str">
        <f t="shared" si="13"/>
        <v>Y</v>
      </c>
      <c r="FL24" s="23" t="str">
        <f t="shared" si="14"/>
        <v>Y</v>
      </c>
      <c r="FM24" s="23" t="str">
        <f t="shared" si="15"/>
        <v>Y</v>
      </c>
      <c r="FN24" s="23" t="str">
        <f t="shared" si="16"/>
        <v>Y</v>
      </c>
      <c r="FO24" s="23" t="str">
        <f t="shared" si="17"/>
        <v>Y</v>
      </c>
      <c r="FP24" s="23" t="str">
        <f t="shared" si="18"/>
        <v>Y</v>
      </c>
      <c r="FQ24" s="23" t="str">
        <f t="shared" si="19"/>
        <v>Y</v>
      </c>
      <c r="FR24" s="23" t="str">
        <f t="shared" si="20"/>
        <v>Y</v>
      </c>
      <c r="FS24" s="23" t="str">
        <f t="shared" si="21"/>
        <v>Y</v>
      </c>
      <c r="FT24" s="23" t="str">
        <f t="shared" si="22"/>
        <v>Y</v>
      </c>
      <c r="FU24" s="23" t="str">
        <f t="shared" si="23"/>
        <v>Y</v>
      </c>
      <c r="FV24" s="23" t="str">
        <f t="shared" si="24"/>
        <v>Y</v>
      </c>
      <c r="FW24" s="23" t="str">
        <f t="shared" si="25"/>
        <v>Y</v>
      </c>
      <c r="FX24" s="23" t="str">
        <f t="shared" si="26"/>
        <v>Y</v>
      </c>
      <c r="FY24" s="23" t="str">
        <f t="shared" si="27"/>
        <v>Y</v>
      </c>
      <c r="FZ24" s="23" t="str">
        <f t="shared" si="28"/>
        <v>Y</v>
      </c>
      <c r="GA24" s="23" t="str">
        <f t="shared" si="29"/>
        <v>Y</v>
      </c>
      <c r="GB24" s="23" t="str">
        <f t="shared" si="30"/>
        <v>Y</v>
      </c>
      <c r="GC24" s="23" t="str">
        <f t="shared" si="31"/>
        <v>Y</v>
      </c>
      <c r="GD24" s="23" t="str">
        <f t="shared" si="32"/>
        <v>Y</v>
      </c>
      <c r="GE24" s="23" t="str">
        <f t="shared" si="33"/>
        <v>Y</v>
      </c>
      <c r="GF24" s="23" t="str">
        <f t="shared" si="34"/>
        <v>Y</v>
      </c>
      <c r="GG24" s="23" t="str">
        <f t="shared" si="35"/>
        <v>Y</v>
      </c>
      <c r="GH24" s="23" t="str">
        <f t="shared" si="36"/>
        <v>Y</v>
      </c>
      <c r="GI24" s="23" t="str">
        <f t="shared" si="37"/>
        <v>Y</v>
      </c>
      <c r="GJ24" s="23" t="str">
        <f t="shared" si="38"/>
        <v>Y</v>
      </c>
      <c r="GK24" s="23" t="str">
        <f t="shared" si="39"/>
        <v>Y</v>
      </c>
      <c r="GL24" s="23" t="str">
        <f t="shared" si="40"/>
        <v>Y</v>
      </c>
      <c r="GM24" s="23" t="str">
        <f t="shared" si="41"/>
        <v>Y</v>
      </c>
      <c r="GN24" s="23" t="str">
        <f t="shared" si="42"/>
        <v>Y</v>
      </c>
      <c r="GO24" s="23" t="str">
        <f t="shared" si="43"/>
        <v>Y</v>
      </c>
      <c r="GP24" s="23" t="str">
        <f t="shared" si="44"/>
        <v>Y</v>
      </c>
      <c r="GQ24" s="23" t="str">
        <f t="shared" si="45"/>
        <v>Y</v>
      </c>
      <c r="GR24" s="23" t="str">
        <f t="shared" si="46"/>
        <v>Y</v>
      </c>
      <c r="GS24" s="23" t="str">
        <f t="shared" si="47"/>
        <v>Y</v>
      </c>
      <c r="GT24" s="23" t="str">
        <f t="shared" si="48"/>
        <v>Y</v>
      </c>
      <c r="GU24" s="23" t="str">
        <f t="shared" si="49"/>
        <v>Y</v>
      </c>
      <c r="GV24" s="23" t="str">
        <f t="shared" si="50"/>
        <v>Y</v>
      </c>
      <c r="GW24" s="23" t="str">
        <f t="shared" si="51"/>
        <v>Y</v>
      </c>
      <c r="GX24" s="23" t="str">
        <f t="shared" si="52"/>
        <v>Y</v>
      </c>
      <c r="GY24" s="23" t="str">
        <f t="shared" si="53"/>
        <v>Y</v>
      </c>
      <c r="GZ24" s="23" t="str">
        <f t="shared" si="54"/>
        <v>Y</v>
      </c>
      <c r="HA24" s="23" t="str">
        <f t="shared" si="55"/>
        <v>Y</v>
      </c>
      <c r="HB24" s="23" t="str">
        <f t="shared" si="56"/>
        <v>Y</v>
      </c>
      <c r="HC24" s="23" t="str">
        <f t="shared" si="57"/>
        <v>Y</v>
      </c>
      <c r="HD24" s="23" t="str">
        <f t="shared" si="58"/>
        <v>Y</v>
      </c>
      <c r="HE24" s="23" t="str">
        <f t="shared" si="59"/>
        <v>Y</v>
      </c>
      <c r="HF24" s="23" t="str">
        <f t="shared" si="60"/>
        <v>Y</v>
      </c>
      <c r="HG24" s="23" t="str">
        <f t="shared" si="61"/>
        <v>Y</v>
      </c>
      <c r="HH24" s="23" t="str">
        <f t="shared" si="62"/>
        <v>Y</v>
      </c>
      <c r="HI24" s="23" t="str">
        <f t="shared" si="63"/>
        <v>Y</v>
      </c>
      <c r="HJ24" s="23" t="str">
        <f t="shared" si="64"/>
        <v>Y</v>
      </c>
      <c r="HK24" s="23" t="str">
        <f t="shared" si="65"/>
        <v>Y</v>
      </c>
      <c r="HL24" s="23" t="str">
        <f t="shared" si="66"/>
        <v>Y</v>
      </c>
      <c r="HM24" s="23" t="str">
        <f t="shared" si="67"/>
        <v>Y</v>
      </c>
      <c r="HN24" s="55" t="str">
        <f t="shared" si="68"/>
        <v>Y</v>
      </c>
      <c r="HO24" s="23">
        <v>1</v>
      </c>
      <c r="HP24" s="55">
        <v>1</v>
      </c>
    </row>
    <row r="25" spans="1:224" ht="30" customHeight="1">
      <c r="A25" s="46" t="s">
        <v>165</v>
      </c>
      <c r="B25" s="47">
        <v>2007</v>
      </c>
      <c r="C25" s="47" t="s">
        <v>66</v>
      </c>
      <c r="D25" s="47" t="s">
        <v>66</v>
      </c>
      <c r="E25" s="23" t="s">
        <v>66</v>
      </c>
      <c r="F25" s="47" t="s">
        <v>66</v>
      </c>
      <c r="G25" s="47" t="s">
        <v>66</v>
      </c>
      <c r="H25" s="47" t="s">
        <v>66</v>
      </c>
      <c r="I25" s="47" t="s">
        <v>66</v>
      </c>
      <c r="J25" s="47" t="s">
        <v>66</v>
      </c>
      <c r="K25" s="47" t="s">
        <v>66</v>
      </c>
      <c r="L25" s="23" t="s">
        <v>66</v>
      </c>
      <c r="M25" s="23" t="s">
        <v>66</v>
      </c>
      <c r="N25" s="23" t="s">
        <v>66</v>
      </c>
      <c r="O25" s="23" t="s">
        <v>66</v>
      </c>
      <c r="P25" s="23" t="s">
        <v>66</v>
      </c>
      <c r="Q25" s="23" t="s">
        <v>66</v>
      </c>
      <c r="R25" s="23" t="s">
        <v>66</v>
      </c>
      <c r="S25" s="23" t="s">
        <v>66</v>
      </c>
      <c r="T25" s="23" t="s">
        <v>66</v>
      </c>
      <c r="U25" s="47" t="s">
        <v>66</v>
      </c>
      <c r="V25" s="47" t="s">
        <v>66</v>
      </c>
      <c r="W25" s="47" t="s">
        <v>66</v>
      </c>
      <c r="X25" s="47" t="s">
        <v>66</v>
      </c>
      <c r="Y25" s="47">
        <v>0</v>
      </c>
      <c r="Z25" s="47">
        <v>0</v>
      </c>
      <c r="AA25" s="47">
        <v>0</v>
      </c>
      <c r="AB25" s="47">
        <v>0</v>
      </c>
      <c r="AC25" s="79" t="s">
        <v>143</v>
      </c>
      <c r="AD25" s="23" t="s">
        <v>166</v>
      </c>
      <c r="AE25" s="47" t="s">
        <v>166</v>
      </c>
      <c r="AF25" s="47" t="s">
        <v>100</v>
      </c>
      <c r="AG25" s="47" t="s">
        <v>91</v>
      </c>
      <c r="AH25" s="47" t="s">
        <v>91</v>
      </c>
      <c r="AI25" s="47" t="s">
        <v>92</v>
      </c>
      <c r="AJ25" s="47" t="s">
        <v>92</v>
      </c>
      <c r="AK25" s="47" t="s">
        <v>91</v>
      </c>
      <c r="AL25" s="47" t="s">
        <v>91</v>
      </c>
      <c r="AM25" s="47" t="s">
        <v>66</v>
      </c>
      <c r="AN25" s="47" t="s">
        <v>66</v>
      </c>
      <c r="AO25" s="47" t="s">
        <v>66</v>
      </c>
      <c r="AP25" s="47" t="s">
        <v>66</v>
      </c>
      <c r="AQ25" s="47" t="s">
        <v>66</v>
      </c>
      <c r="AR25" s="47" t="s">
        <v>66</v>
      </c>
      <c r="AS25" s="48" t="s">
        <v>66</v>
      </c>
      <c r="AT25" s="49" t="s">
        <v>66</v>
      </c>
      <c r="AU25" s="48" t="s">
        <v>66</v>
      </c>
      <c r="AV25" s="49" t="s">
        <v>66</v>
      </c>
      <c r="AW25" s="48" t="s">
        <v>66</v>
      </c>
      <c r="AX25" s="49" t="s">
        <v>66</v>
      </c>
      <c r="AY25" s="47">
        <v>249</v>
      </c>
      <c r="AZ25" s="47">
        <v>249</v>
      </c>
      <c r="BA25" s="47">
        <v>56</v>
      </c>
      <c r="BB25" s="47">
        <v>56</v>
      </c>
      <c r="BC25" s="47">
        <f t="shared" si="81"/>
        <v>56</v>
      </c>
      <c r="BD25" s="50">
        <v>56</v>
      </c>
      <c r="BE25" s="50">
        <v>0</v>
      </c>
      <c r="BF25" s="50">
        <v>0</v>
      </c>
      <c r="BG25" s="47" t="s">
        <v>106</v>
      </c>
      <c r="BH25" s="47" t="s">
        <v>106</v>
      </c>
      <c r="BI25" s="47">
        <v>23</v>
      </c>
      <c r="BJ25" s="47">
        <v>23</v>
      </c>
      <c r="BK25" s="47">
        <v>33</v>
      </c>
      <c r="BL25" s="47">
        <v>33</v>
      </c>
      <c r="BM25" s="48" t="s">
        <v>94</v>
      </c>
      <c r="BN25" s="47" t="s">
        <v>94</v>
      </c>
      <c r="BO25" s="48" t="s">
        <v>94</v>
      </c>
      <c r="BP25" s="47" t="s">
        <v>94</v>
      </c>
      <c r="BQ25" s="48">
        <v>33</v>
      </c>
      <c r="BR25" s="47">
        <v>33</v>
      </c>
      <c r="BS25" s="48" t="s">
        <v>94</v>
      </c>
      <c r="BT25" s="47" t="s">
        <v>94</v>
      </c>
      <c r="BU25" s="48" t="s">
        <v>94</v>
      </c>
      <c r="BV25" s="47" t="s">
        <v>94</v>
      </c>
      <c r="BW25" s="48" t="s">
        <v>94</v>
      </c>
      <c r="BX25" s="47" t="s">
        <v>94</v>
      </c>
      <c r="BY25" s="48" t="s">
        <v>94</v>
      </c>
      <c r="BZ25" s="47" t="s">
        <v>94</v>
      </c>
      <c r="CA25" s="48" t="s">
        <v>94</v>
      </c>
      <c r="CB25" s="47" t="s">
        <v>94</v>
      </c>
      <c r="CC25" s="48" t="s">
        <v>94</v>
      </c>
      <c r="CD25" s="47" t="s">
        <v>94</v>
      </c>
      <c r="CE25" s="48" t="s">
        <v>94</v>
      </c>
      <c r="CF25" s="47" t="s">
        <v>94</v>
      </c>
      <c r="CG25" s="48" t="s">
        <v>94</v>
      </c>
      <c r="CH25" s="47" t="s">
        <v>94</v>
      </c>
      <c r="CI25" s="48" t="s">
        <v>94</v>
      </c>
      <c r="CJ25" s="47" t="s">
        <v>94</v>
      </c>
      <c r="CK25" s="48" t="s">
        <v>94</v>
      </c>
      <c r="CL25" s="47" t="s">
        <v>94</v>
      </c>
      <c r="CM25" s="48" t="s">
        <v>94</v>
      </c>
      <c r="CN25" s="47" t="s">
        <v>94</v>
      </c>
      <c r="CO25" s="48" t="s">
        <v>94</v>
      </c>
      <c r="CP25" s="47" t="s">
        <v>94</v>
      </c>
      <c r="CQ25" s="48" t="s">
        <v>94</v>
      </c>
      <c r="CR25" s="47" t="s">
        <v>94</v>
      </c>
      <c r="CS25" s="48">
        <v>23</v>
      </c>
      <c r="CT25" s="47">
        <v>23</v>
      </c>
      <c r="CU25" s="47" t="s">
        <v>66</v>
      </c>
      <c r="CV25" s="47" t="s">
        <v>66</v>
      </c>
      <c r="CW25" s="47" t="s">
        <v>66</v>
      </c>
      <c r="CX25" s="47" t="s">
        <v>66</v>
      </c>
      <c r="CY25" s="47" t="s">
        <v>66</v>
      </c>
      <c r="CZ25" s="47" t="s">
        <v>66</v>
      </c>
      <c r="DA25" s="47" t="s">
        <v>66</v>
      </c>
      <c r="DB25" s="47" t="s">
        <v>66</v>
      </c>
      <c r="DC25" s="47" t="s">
        <v>66</v>
      </c>
      <c r="DD25" s="47" t="s">
        <v>66</v>
      </c>
      <c r="DE25" s="47" t="s">
        <v>66</v>
      </c>
      <c r="DF25" s="47" t="s">
        <v>66</v>
      </c>
      <c r="DG25" s="47" t="s">
        <v>66</v>
      </c>
      <c r="DH25" s="47" t="s">
        <v>66</v>
      </c>
      <c r="DI25" s="47" t="s">
        <v>96</v>
      </c>
      <c r="DJ25" s="47" t="s">
        <v>96</v>
      </c>
      <c r="DK25" s="47" t="s">
        <v>92</v>
      </c>
      <c r="DL25" s="47" t="s">
        <v>92</v>
      </c>
      <c r="DM25" s="47" t="s">
        <v>96</v>
      </c>
      <c r="DN25" s="47" t="s">
        <v>96</v>
      </c>
      <c r="DO25" s="47" t="s">
        <v>66</v>
      </c>
      <c r="DP25" s="47" t="s">
        <v>66</v>
      </c>
      <c r="DQ25" s="47" t="s">
        <v>66</v>
      </c>
      <c r="DR25" s="23" t="s">
        <v>66</v>
      </c>
      <c r="DS25" s="47" t="s">
        <v>66</v>
      </c>
      <c r="DT25" s="47" t="s">
        <v>66</v>
      </c>
      <c r="DU25" s="47" t="s">
        <v>66</v>
      </c>
      <c r="DV25" s="47" t="s">
        <v>66</v>
      </c>
      <c r="DW25" s="47" t="s">
        <v>97</v>
      </c>
      <c r="DX25" s="47" t="s">
        <v>140</v>
      </c>
      <c r="DY25" s="47" t="s">
        <v>113</v>
      </c>
      <c r="DZ25" s="47" t="s">
        <v>113</v>
      </c>
      <c r="EA25" s="47" t="s">
        <v>108</v>
      </c>
      <c r="EB25" s="47" t="s">
        <v>108</v>
      </c>
      <c r="EC25" s="47">
        <v>1</v>
      </c>
      <c r="ED25" s="47">
        <v>1</v>
      </c>
      <c r="EE25" s="47">
        <v>1</v>
      </c>
      <c r="EF25" s="47">
        <v>1</v>
      </c>
      <c r="EG25" s="47">
        <v>1</v>
      </c>
      <c r="EH25" s="47">
        <v>1</v>
      </c>
      <c r="EI25" s="47">
        <v>1</v>
      </c>
      <c r="EJ25" s="47">
        <v>1</v>
      </c>
      <c r="EK25" s="47">
        <v>1</v>
      </c>
      <c r="EL25" s="47">
        <v>1</v>
      </c>
      <c r="EM25" s="47">
        <v>1</v>
      </c>
      <c r="EN25" s="47">
        <v>1</v>
      </c>
      <c r="EO25" s="47">
        <v>1</v>
      </c>
      <c r="EP25" s="47">
        <v>1</v>
      </c>
      <c r="EQ25" s="47">
        <v>1</v>
      </c>
      <c r="ER25" s="47">
        <v>1</v>
      </c>
      <c r="ES25" s="47">
        <v>1</v>
      </c>
      <c r="ET25" s="47">
        <v>1</v>
      </c>
      <c r="EU25" s="47">
        <v>1</v>
      </c>
      <c r="EV25" s="47">
        <v>1</v>
      </c>
      <c r="EW25" s="47">
        <f t="shared" ref="EW25:EX25" si="115">SUM(EC25,EE25,EG25,EI25,EK25,EM25,EO25,EQ25,ES25,EU25)</f>
        <v>10</v>
      </c>
      <c r="EX25" s="47">
        <f t="shared" si="115"/>
        <v>10</v>
      </c>
      <c r="EY25" s="64" t="str">
        <f t="shared" ref="EY25:EZ25" si="116">A25</f>
        <v>Perala</v>
      </c>
      <c r="EZ25" s="65">
        <f t="shared" si="116"/>
        <v>2007</v>
      </c>
      <c r="FA25" s="23" t="str">
        <f t="shared" si="3"/>
        <v>Y</v>
      </c>
      <c r="FB25" s="23" t="str">
        <f t="shared" si="4"/>
        <v>Y</v>
      </c>
      <c r="FC25" s="23" t="str">
        <f t="shared" si="5"/>
        <v>Y</v>
      </c>
      <c r="FD25" s="23" t="str">
        <f t="shared" si="6"/>
        <v>Y</v>
      </c>
      <c r="FE25" s="23" t="str">
        <f t="shared" si="7"/>
        <v>Y</v>
      </c>
      <c r="FF25" s="23" t="str">
        <f t="shared" si="88"/>
        <v>Y</v>
      </c>
      <c r="FG25" s="23" t="str">
        <f t="shared" si="9"/>
        <v>Y</v>
      </c>
      <c r="FH25" s="23" t="str">
        <f t="shared" si="10"/>
        <v>Y</v>
      </c>
      <c r="FI25" s="23" t="str">
        <f t="shared" si="11"/>
        <v>Y</v>
      </c>
      <c r="FJ25" s="23" t="str">
        <f t="shared" si="12"/>
        <v>Y</v>
      </c>
      <c r="FK25" s="23" t="str">
        <f t="shared" si="13"/>
        <v>Y</v>
      </c>
      <c r="FL25" s="23" t="str">
        <f t="shared" si="14"/>
        <v>Y</v>
      </c>
      <c r="FM25" s="23" t="str">
        <f t="shared" si="15"/>
        <v>Y</v>
      </c>
      <c r="FN25" s="23" t="str">
        <f t="shared" si="16"/>
        <v>Y</v>
      </c>
      <c r="FO25" s="23" t="str">
        <f t="shared" si="17"/>
        <v>Y</v>
      </c>
      <c r="FP25" s="23" t="str">
        <f t="shared" si="18"/>
        <v>Y</v>
      </c>
      <c r="FQ25" s="23" t="str">
        <f t="shared" si="19"/>
        <v>Y</v>
      </c>
      <c r="FR25" s="23" t="str">
        <f t="shared" si="20"/>
        <v>Y</v>
      </c>
      <c r="FS25" s="23" t="str">
        <f t="shared" si="21"/>
        <v>Y</v>
      </c>
      <c r="FT25" s="23" t="str">
        <f t="shared" si="22"/>
        <v>Y</v>
      </c>
      <c r="FU25" s="23" t="str">
        <f t="shared" si="23"/>
        <v>Y</v>
      </c>
      <c r="FV25" s="23" t="str">
        <f t="shared" si="24"/>
        <v>Y</v>
      </c>
      <c r="FW25" s="23" t="str">
        <f t="shared" si="25"/>
        <v>Y</v>
      </c>
      <c r="FX25" s="23" t="str">
        <f t="shared" si="26"/>
        <v>Y</v>
      </c>
      <c r="FY25" s="23" t="str">
        <f t="shared" si="27"/>
        <v>Y</v>
      </c>
      <c r="FZ25" s="23" t="str">
        <f t="shared" si="28"/>
        <v>Y</v>
      </c>
      <c r="GA25" s="23" t="str">
        <f t="shared" si="29"/>
        <v>Y</v>
      </c>
      <c r="GB25" s="23" t="str">
        <f t="shared" si="30"/>
        <v>Y</v>
      </c>
      <c r="GC25" s="23" t="str">
        <f t="shared" si="31"/>
        <v>Y</v>
      </c>
      <c r="GD25" s="23" t="str">
        <f t="shared" si="32"/>
        <v>Y</v>
      </c>
      <c r="GE25" s="23" t="str">
        <f t="shared" si="33"/>
        <v>Y</v>
      </c>
      <c r="GF25" s="23" t="str">
        <f t="shared" si="34"/>
        <v>Y</v>
      </c>
      <c r="GG25" s="23" t="str">
        <f t="shared" si="35"/>
        <v>Y</v>
      </c>
      <c r="GH25" s="23" t="str">
        <f t="shared" si="36"/>
        <v>Y</v>
      </c>
      <c r="GI25" s="23" t="str">
        <f t="shared" si="37"/>
        <v>Y</v>
      </c>
      <c r="GJ25" s="23" t="str">
        <f t="shared" si="38"/>
        <v>Y</v>
      </c>
      <c r="GK25" s="23" t="str">
        <f t="shared" si="39"/>
        <v>Y</v>
      </c>
      <c r="GL25" s="23" t="str">
        <f t="shared" si="40"/>
        <v>Y</v>
      </c>
      <c r="GM25" s="23" t="str">
        <f t="shared" si="41"/>
        <v>Y</v>
      </c>
      <c r="GN25" s="23" t="str">
        <f t="shared" si="42"/>
        <v>Y</v>
      </c>
      <c r="GO25" s="23" t="str">
        <f t="shared" si="43"/>
        <v>Y</v>
      </c>
      <c r="GP25" s="23" t="str">
        <f t="shared" si="44"/>
        <v>Y</v>
      </c>
      <c r="GQ25" s="23" t="str">
        <f t="shared" si="45"/>
        <v>Y</v>
      </c>
      <c r="GR25" s="23" t="str">
        <f t="shared" si="46"/>
        <v>Y</v>
      </c>
      <c r="GS25" s="23" t="str">
        <f t="shared" si="47"/>
        <v>Y</v>
      </c>
      <c r="GT25" s="23" t="str">
        <f t="shared" si="48"/>
        <v>Y</v>
      </c>
      <c r="GU25" s="23" t="str">
        <f t="shared" si="49"/>
        <v>Y</v>
      </c>
      <c r="GV25" s="23" t="str">
        <f t="shared" si="50"/>
        <v>Y</v>
      </c>
      <c r="GW25" s="23" t="str">
        <f t="shared" si="51"/>
        <v>Y</v>
      </c>
      <c r="GX25" s="23" t="str">
        <f t="shared" si="52"/>
        <v>Y</v>
      </c>
      <c r="GY25" s="23" t="str">
        <f t="shared" si="53"/>
        <v>Y</v>
      </c>
      <c r="GZ25" s="23" t="str">
        <f t="shared" si="54"/>
        <v>Y</v>
      </c>
      <c r="HA25" s="23" t="str">
        <f t="shared" si="55"/>
        <v>Y</v>
      </c>
      <c r="HB25" s="23" t="str">
        <f t="shared" si="56"/>
        <v>Y</v>
      </c>
      <c r="HC25" s="23" t="str">
        <f t="shared" si="57"/>
        <v>Y</v>
      </c>
      <c r="HD25" s="23" t="str">
        <f t="shared" si="58"/>
        <v>Y</v>
      </c>
      <c r="HE25" s="23" t="str">
        <f t="shared" si="59"/>
        <v>Y</v>
      </c>
      <c r="HF25" s="23" t="str">
        <f t="shared" si="60"/>
        <v>Y</v>
      </c>
      <c r="HG25" s="23" t="str">
        <f t="shared" si="61"/>
        <v>Y</v>
      </c>
      <c r="HH25" s="23" t="str">
        <f t="shared" si="62"/>
        <v>Y</v>
      </c>
      <c r="HI25" s="23" t="str">
        <f t="shared" si="63"/>
        <v>Y</v>
      </c>
      <c r="HJ25" s="23" t="str">
        <f t="shared" si="64"/>
        <v>Y</v>
      </c>
      <c r="HK25" s="23" t="str">
        <f t="shared" si="65"/>
        <v>Y</v>
      </c>
      <c r="HL25" s="23" t="str">
        <f t="shared" si="66"/>
        <v>Y</v>
      </c>
      <c r="HM25" s="23" t="str">
        <f t="shared" si="67"/>
        <v>Y</v>
      </c>
      <c r="HN25" s="55" t="str">
        <f t="shared" si="68"/>
        <v>Y</v>
      </c>
      <c r="HO25" s="23">
        <v>1</v>
      </c>
      <c r="HP25" s="55">
        <v>1</v>
      </c>
    </row>
    <row r="26" spans="1:224" ht="30" customHeight="1">
      <c r="A26" s="46" t="s">
        <v>167</v>
      </c>
      <c r="B26" s="52">
        <v>2021</v>
      </c>
      <c r="C26" s="52">
        <v>88</v>
      </c>
      <c r="D26" s="52">
        <v>88</v>
      </c>
      <c r="E26" s="56">
        <v>56</v>
      </c>
      <c r="F26" s="52">
        <v>56</v>
      </c>
      <c r="G26" s="52" t="s">
        <v>66</v>
      </c>
      <c r="H26" s="52" t="s">
        <v>66</v>
      </c>
      <c r="I26" s="52" t="s">
        <v>66</v>
      </c>
      <c r="J26" s="52" t="s">
        <v>66</v>
      </c>
      <c r="K26" s="52" t="s">
        <v>168</v>
      </c>
      <c r="L26" s="56" t="s">
        <v>168</v>
      </c>
      <c r="M26" s="56" t="s">
        <v>66</v>
      </c>
      <c r="N26" s="56" t="s">
        <v>66</v>
      </c>
      <c r="O26" s="56" t="s">
        <v>66</v>
      </c>
      <c r="P26" s="56" t="s">
        <v>66</v>
      </c>
      <c r="Q26" s="56" t="s">
        <v>66</v>
      </c>
      <c r="R26" s="56" t="s">
        <v>66</v>
      </c>
      <c r="S26" s="56" t="s">
        <v>66</v>
      </c>
      <c r="T26" s="56" t="s">
        <v>66</v>
      </c>
      <c r="U26" s="52">
        <v>0</v>
      </c>
      <c r="V26" s="52">
        <v>0</v>
      </c>
      <c r="W26" s="52">
        <v>144</v>
      </c>
      <c r="X26" s="52">
        <v>144</v>
      </c>
      <c r="Y26" s="52">
        <v>0</v>
      </c>
      <c r="Z26" s="52">
        <v>0</v>
      </c>
      <c r="AA26" s="52">
        <v>0</v>
      </c>
      <c r="AB26" s="52">
        <v>0</v>
      </c>
      <c r="AC26" s="56" t="s">
        <v>88</v>
      </c>
      <c r="AD26" s="56" t="s">
        <v>99</v>
      </c>
      <c r="AE26" s="52" t="s">
        <v>99</v>
      </c>
      <c r="AF26" s="52" t="s">
        <v>100</v>
      </c>
      <c r="AG26" s="52" t="s">
        <v>92</v>
      </c>
      <c r="AH26" s="52" t="s">
        <v>92</v>
      </c>
      <c r="AI26" s="52" t="s">
        <v>91</v>
      </c>
      <c r="AJ26" s="52" t="s">
        <v>91</v>
      </c>
      <c r="AK26" s="52" t="s">
        <v>91</v>
      </c>
      <c r="AL26" s="52" t="s">
        <v>91</v>
      </c>
      <c r="AM26" s="52" t="s">
        <v>66</v>
      </c>
      <c r="AN26" s="52" t="s">
        <v>66</v>
      </c>
      <c r="AO26" s="52" t="s">
        <v>66</v>
      </c>
      <c r="AP26" s="52" t="s">
        <v>66</v>
      </c>
      <c r="AQ26" s="52" t="s">
        <v>66</v>
      </c>
      <c r="AR26" s="52" t="s">
        <v>66</v>
      </c>
      <c r="AS26" s="52" t="s">
        <v>66</v>
      </c>
      <c r="AT26" s="52" t="s">
        <v>66</v>
      </c>
      <c r="AU26" s="52" t="s">
        <v>66</v>
      </c>
      <c r="AV26" s="52" t="s">
        <v>66</v>
      </c>
      <c r="AW26" s="52" t="s">
        <v>66</v>
      </c>
      <c r="AX26" s="56" t="s">
        <v>66</v>
      </c>
      <c r="AY26" s="52">
        <v>144</v>
      </c>
      <c r="AZ26" s="52">
        <v>144</v>
      </c>
      <c r="BA26" s="52">
        <v>17</v>
      </c>
      <c r="BB26" s="52">
        <v>17</v>
      </c>
      <c r="BC26" s="47">
        <f t="shared" si="81"/>
        <v>18</v>
      </c>
      <c r="BD26" s="58">
        <v>18</v>
      </c>
      <c r="BE26" s="58">
        <v>0</v>
      </c>
      <c r="BF26" s="58">
        <v>0</v>
      </c>
      <c r="BG26" s="52" t="s">
        <v>93</v>
      </c>
      <c r="BH26" s="52" t="s">
        <v>93</v>
      </c>
      <c r="BI26" s="52">
        <f>BM26+BO26+BU26+BW26+BY26+CA26+CC26+CE26+CG26+CI26+CO26</f>
        <v>17</v>
      </c>
      <c r="BJ26" s="52">
        <v>17</v>
      </c>
      <c r="BK26" s="52">
        <f>BQ26+BS26</f>
        <v>1</v>
      </c>
      <c r="BL26" s="52">
        <f t="shared" ref="BL26:BL27" si="117">SUM(BR26,BT26)</f>
        <v>1</v>
      </c>
      <c r="BM26" s="52">
        <v>12</v>
      </c>
      <c r="BN26" s="52">
        <v>12</v>
      </c>
      <c r="BO26" s="52">
        <v>0</v>
      </c>
      <c r="BP26" s="52">
        <v>0</v>
      </c>
      <c r="BQ26" s="52">
        <v>1</v>
      </c>
      <c r="BR26" s="52">
        <v>1</v>
      </c>
      <c r="BS26" s="52">
        <v>0</v>
      </c>
      <c r="BT26" s="52">
        <v>0</v>
      </c>
      <c r="BU26" s="52">
        <v>0</v>
      </c>
      <c r="BV26" s="52">
        <v>0</v>
      </c>
      <c r="BW26" s="52">
        <v>1</v>
      </c>
      <c r="BX26" s="52">
        <v>1</v>
      </c>
      <c r="BY26" s="52">
        <v>0</v>
      </c>
      <c r="BZ26" s="52">
        <v>0</v>
      </c>
      <c r="CA26" s="52">
        <v>0</v>
      </c>
      <c r="CB26" s="52">
        <v>0</v>
      </c>
      <c r="CC26" s="52">
        <v>2</v>
      </c>
      <c r="CD26" s="52">
        <v>2</v>
      </c>
      <c r="CE26" s="52">
        <v>0</v>
      </c>
      <c r="CF26" s="52">
        <v>0</v>
      </c>
      <c r="CG26" s="52">
        <v>2</v>
      </c>
      <c r="CH26" s="52">
        <v>2</v>
      </c>
      <c r="CI26" s="52">
        <v>0</v>
      </c>
      <c r="CJ26" s="52">
        <v>0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</v>
      </c>
      <c r="CT26" s="52">
        <v>0</v>
      </c>
      <c r="CU26" s="52" t="s">
        <v>95</v>
      </c>
      <c r="CV26" s="52" t="s">
        <v>95</v>
      </c>
      <c r="CW26" s="52" t="s">
        <v>96</v>
      </c>
      <c r="CX26" s="52" t="s">
        <v>96</v>
      </c>
      <c r="CY26" s="52">
        <v>0</v>
      </c>
      <c r="CZ26" s="52">
        <v>0</v>
      </c>
      <c r="DA26" s="52" t="s">
        <v>95</v>
      </c>
      <c r="DB26" s="52" t="s">
        <v>95</v>
      </c>
      <c r="DC26" s="52" t="s">
        <v>96</v>
      </c>
      <c r="DD26" s="52" t="s">
        <v>96</v>
      </c>
      <c r="DE26" s="52" t="s">
        <v>96</v>
      </c>
      <c r="DF26" s="52" t="s">
        <v>96</v>
      </c>
      <c r="DG26" s="52" t="s">
        <v>66</v>
      </c>
      <c r="DH26" s="52" t="s">
        <v>66</v>
      </c>
      <c r="DI26" s="52" t="s">
        <v>96</v>
      </c>
      <c r="DJ26" s="52" t="s">
        <v>96</v>
      </c>
      <c r="DK26" s="52" t="s">
        <v>66</v>
      </c>
      <c r="DL26" s="52" t="s">
        <v>66</v>
      </c>
      <c r="DM26" s="52" t="s">
        <v>96</v>
      </c>
      <c r="DN26" s="52" t="s">
        <v>96</v>
      </c>
      <c r="DO26" s="52" t="s">
        <v>66</v>
      </c>
      <c r="DP26" s="52" t="s">
        <v>66</v>
      </c>
      <c r="DQ26" s="52" t="s">
        <v>66</v>
      </c>
      <c r="DR26" s="56" t="s">
        <v>66</v>
      </c>
      <c r="DS26" s="52" t="s">
        <v>66</v>
      </c>
      <c r="DT26" s="52" t="s">
        <v>66</v>
      </c>
      <c r="DU26" s="52" t="s">
        <v>66</v>
      </c>
      <c r="DV26" s="52" t="s">
        <v>66</v>
      </c>
      <c r="DW26" s="52" t="s">
        <v>121</v>
      </c>
      <c r="DX26" s="52" t="s">
        <v>169</v>
      </c>
      <c r="DY26" s="52" t="s">
        <v>147</v>
      </c>
      <c r="DZ26" s="52" t="s">
        <v>170</v>
      </c>
      <c r="EA26" s="52" t="s">
        <v>102</v>
      </c>
      <c r="EB26" s="52" t="s">
        <v>102</v>
      </c>
      <c r="EC26" s="52">
        <v>1</v>
      </c>
      <c r="ED26" s="52">
        <v>1</v>
      </c>
      <c r="EE26" s="52">
        <v>1</v>
      </c>
      <c r="EF26" s="52">
        <v>1</v>
      </c>
      <c r="EG26" s="52">
        <v>1</v>
      </c>
      <c r="EH26" s="52">
        <v>1</v>
      </c>
      <c r="EI26" s="52">
        <v>1</v>
      </c>
      <c r="EJ26" s="52">
        <v>1</v>
      </c>
      <c r="EK26" s="52">
        <v>1</v>
      </c>
      <c r="EL26" s="52">
        <v>1</v>
      </c>
      <c r="EM26" s="52">
        <v>1</v>
      </c>
      <c r="EN26" s="52">
        <v>1</v>
      </c>
      <c r="EO26" s="52">
        <v>1</v>
      </c>
      <c r="EP26" s="52">
        <v>1</v>
      </c>
      <c r="EQ26" s="52">
        <v>1</v>
      </c>
      <c r="ER26" s="52">
        <v>1</v>
      </c>
      <c r="ES26" s="52">
        <v>1</v>
      </c>
      <c r="ET26" s="52">
        <v>1</v>
      </c>
      <c r="EU26" s="52">
        <v>1</v>
      </c>
      <c r="EV26" s="52">
        <v>1</v>
      </c>
      <c r="EW26" s="47">
        <f t="shared" ref="EW26:EX26" si="118">SUM(EC26,EE26,EG26,EI26,EK26,EM26,EO26,EQ26,ES26,EU26)</f>
        <v>10</v>
      </c>
      <c r="EX26" s="47">
        <f t="shared" si="118"/>
        <v>10</v>
      </c>
      <c r="EY26" s="59" t="str">
        <f t="shared" ref="EY26:EZ26" si="119">A26</f>
        <v>Rattay</v>
      </c>
      <c r="EZ26" s="59">
        <f t="shared" si="119"/>
        <v>2021</v>
      </c>
      <c r="FA26" s="60" t="str">
        <f t="shared" si="3"/>
        <v>Y</v>
      </c>
      <c r="FB26" s="60" t="str">
        <f t="shared" si="4"/>
        <v>Y</v>
      </c>
      <c r="FC26" s="60" t="str">
        <f t="shared" si="5"/>
        <v>Y</v>
      </c>
      <c r="FD26" s="60" t="str">
        <f t="shared" si="6"/>
        <v>Y</v>
      </c>
      <c r="FE26" s="60" t="str">
        <f t="shared" si="7"/>
        <v>Y</v>
      </c>
      <c r="FF26" s="60" t="str">
        <f t="shared" si="88"/>
        <v>Y</v>
      </c>
      <c r="FG26" s="60" t="str">
        <f t="shared" si="9"/>
        <v>Y</v>
      </c>
      <c r="FH26" s="60" t="str">
        <f t="shared" si="10"/>
        <v>Y</v>
      </c>
      <c r="FI26" s="60" t="str">
        <f t="shared" si="11"/>
        <v>Y</v>
      </c>
      <c r="FJ26" s="60" t="str">
        <f t="shared" si="12"/>
        <v>Y</v>
      </c>
      <c r="FK26" s="60" t="str">
        <f t="shared" si="13"/>
        <v>Y</v>
      </c>
      <c r="FL26" s="60" t="str">
        <f t="shared" si="14"/>
        <v>Y</v>
      </c>
      <c r="FM26" s="60" t="str">
        <f t="shared" si="15"/>
        <v>Y</v>
      </c>
      <c r="FN26" s="60" t="str">
        <f t="shared" si="16"/>
        <v>Y</v>
      </c>
      <c r="FO26" s="60" t="str">
        <f t="shared" si="17"/>
        <v>Y</v>
      </c>
      <c r="FP26" s="60" t="str">
        <f t="shared" si="18"/>
        <v>Y</v>
      </c>
      <c r="FQ26" s="60" t="str">
        <f t="shared" si="19"/>
        <v>Y</v>
      </c>
      <c r="FR26" s="60" t="str">
        <f t="shared" si="20"/>
        <v>Y</v>
      </c>
      <c r="FS26" s="60" t="str">
        <f t="shared" si="21"/>
        <v>Y</v>
      </c>
      <c r="FT26" s="60" t="str">
        <f t="shared" si="22"/>
        <v>Y</v>
      </c>
      <c r="FU26" s="60" t="str">
        <f t="shared" si="23"/>
        <v>Y</v>
      </c>
      <c r="FV26" s="60" t="str">
        <f t="shared" si="24"/>
        <v>Y</v>
      </c>
      <c r="FW26" s="60" t="str">
        <f t="shared" si="25"/>
        <v>Y</v>
      </c>
      <c r="FX26" s="60" t="str">
        <f t="shared" si="26"/>
        <v>Y</v>
      </c>
      <c r="FY26" s="60" t="str">
        <f t="shared" si="27"/>
        <v>Y</v>
      </c>
      <c r="FZ26" s="60" t="str">
        <f t="shared" si="28"/>
        <v>Y</v>
      </c>
      <c r="GA26" s="60" t="str">
        <f t="shared" si="29"/>
        <v>Y</v>
      </c>
      <c r="GB26" s="60" t="str">
        <f t="shared" si="30"/>
        <v>Y</v>
      </c>
      <c r="GC26" s="60" t="str">
        <f t="shared" si="31"/>
        <v>Y</v>
      </c>
      <c r="GD26" s="60" t="str">
        <f t="shared" si="32"/>
        <v>Y</v>
      </c>
      <c r="GE26" s="60" t="str">
        <f t="shared" si="33"/>
        <v>Y</v>
      </c>
      <c r="GF26" s="60" t="str">
        <f t="shared" si="34"/>
        <v>Y</v>
      </c>
      <c r="GG26" s="60" t="str">
        <f t="shared" si="35"/>
        <v>Y</v>
      </c>
      <c r="GH26" s="60" t="str">
        <f t="shared" si="36"/>
        <v>Y</v>
      </c>
      <c r="GI26" s="60" t="str">
        <f t="shared" si="37"/>
        <v>Y</v>
      </c>
      <c r="GJ26" s="60" t="str">
        <f t="shared" si="38"/>
        <v>Y</v>
      </c>
      <c r="GK26" s="60" t="str">
        <f t="shared" si="39"/>
        <v>Y</v>
      </c>
      <c r="GL26" s="60" t="str">
        <f t="shared" si="40"/>
        <v>Y</v>
      </c>
      <c r="GM26" s="60" t="str">
        <f t="shared" si="41"/>
        <v>Y</v>
      </c>
      <c r="GN26" s="60" t="str">
        <f t="shared" si="42"/>
        <v>Y</v>
      </c>
      <c r="GO26" s="60" t="str">
        <f t="shared" si="43"/>
        <v>Y</v>
      </c>
      <c r="GP26" s="60" t="str">
        <f t="shared" si="44"/>
        <v>Y</v>
      </c>
      <c r="GQ26" s="60" t="str">
        <f t="shared" si="45"/>
        <v>Y</v>
      </c>
      <c r="GR26" s="60" t="str">
        <f t="shared" si="46"/>
        <v>Y</v>
      </c>
      <c r="GS26" s="60" t="str">
        <f t="shared" si="47"/>
        <v>Y</v>
      </c>
      <c r="GT26" s="60" t="str">
        <f t="shared" si="48"/>
        <v>Y</v>
      </c>
      <c r="GU26" s="60" t="str">
        <f t="shared" si="49"/>
        <v>Y</v>
      </c>
      <c r="GV26" s="60" t="str">
        <f t="shared" si="50"/>
        <v>Y</v>
      </c>
      <c r="GW26" s="60" t="str">
        <f t="shared" si="51"/>
        <v>Y</v>
      </c>
      <c r="GX26" s="60" t="str">
        <f t="shared" si="52"/>
        <v>Y</v>
      </c>
      <c r="GY26" s="60" t="str">
        <f t="shared" si="53"/>
        <v>Y</v>
      </c>
      <c r="GZ26" s="60" t="str">
        <f t="shared" si="54"/>
        <v>Y</v>
      </c>
      <c r="HA26" s="60" t="str">
        <f t="shared" si="55"/>
        <v>Y</v>
      </c>
      <c r="HB26" s="60" t="str">
        <f t="shared" si="56"/>
        <v>Y</v>
      </c>
      <c r="HC26" s="60" t="str">
        <f t="shared" si="57"/>
        <v>Y</v>
      </c>
      <c r="HD26" s="60" t="str">
        <f t="shared" si="58"/>
        <v>Y</v>
      </c>
      <c r="HE26" s="60" t="str">
        <f t="shared" si="59"/>
        <v>Y</v>
      </c>
      <c r="HF26" s="60" t="str">
        <f t="shared" si="60"/>
        <v>Y</v>
      </c>
      <c r="HG26" s="60" t="str">
        <f t="shared" si="61"/>
        <v>Y</v>
      </c>
      <c r="HH26" s="60" t="str">
        <f t="shared" si="62"/>
        <v>Y</v>
      </c>
      <c r="HI26" s="60" t="str">
        <f t="shared" si="63"/>
        <v>Y</v>
      </c>
      <c r="HJ26" s="60" t="str">
        <f t="shared" si="64"/>
        <v>Y</v>
      </c>
      <c r="HK26" s="60" t="str">
        <f t="shared" si="65"/>
        <v>Y</v>
      </c>
      <c r="HL26" s="60" t="str">
        <f t="shared" si="66"/>
        <v>Y</v>
      </c>
      <c r="HM26" s="60" t="str">
        <f t="shared" si="67"/>
        <v>Y</v>
      </c>
      <c r="HN26" s="60" t="str">
        <f t="shared" si="68"/>
        <v>Y</v>
      </c>
      <c r="HO26" s="62"/>
      <c r="HP26" s="63"/>
    </row>
    <row r="27" spans="1:224" ht="30" customHeight="1">
      <c r="A27" s="46" t="s">
        <v>171</v>
      </c>
      <c r="B27" s="47">
        <v>2010</v>
      </c>
      <c r="C27" s="47">
        <v>308</v>
      </c>
      <c r="D27" s="47">
        <v>308</v>
      </c>
      <c r="E27" s="23">
        <v>231</v>
      </c>
      <c r="F27" s="47">
        <v>231</v>
      </c>
      <c r="G27" s="47" t="s">
        <v>66</v>
      </c>
      <c r="H27" s="47" t="s">
        <v>66</v>
      </c>
      <c r="I27" s="47" t="s">
        <v>66</v>
      </c>
      <c r="J27" s="47" t="s">
        <v>66</v>
      </c>
      <c r="K27" s="47" t="s">
        <v>66</v>
      </c>
      <c r="L27" s="23" t="s">
        <v>66</v>
      </c>
      <c r="M27" s="23" t="s">
        <v>66</v>
      </c>
      <c r="N27" s="23" t="s">
        <v>66</v>
      </c>
      <c r="O27" s="23">
        <v>534</v>
      </c>
      <c r="P27" s="23">
        <v>534</v>
      </c>
      <c r="Q27" s="23" t="s">
        <v>66</v>
      </c>
      <c r="R27" s="23" t="s">
        <v>66</v>
      </c>
      <c r="S27" s="23">
        <v>5</v>
      </c>
      <c r="T27" s="23">
        <v>5</v>
      </c>
      <c r="U27" s="47" t="s">
        <v>66</v>
      </c>
      <c r="V27" s="47" t="s">
        <v>66</v>
      </c>
      <c r="W27" s="47" t="s">
        <v>66</v>
      </c>
      <c r="X27" s="47" t="s">
        <v>66</v>
      </c>
      <c r="Y27" s="47" t="s">
        <v>66</v>
      </c>
      <c r="Z27" s="47" t="s">
        <v>66</v>
      </c>
      <c r="AA27" s="47" t="s">
        <v>66</v>
      </c>
      <c r="AB27" s="47" t="s">
        <v>66</v>
      </c>
      <c r="AC27" s="79" t="s">
        <v>143</v>
      </c>
      <c r="AD27" s="23" t="s">
        <v>138</v>
      </c>
      <c r="AE27" s="47" t="s">
        <v>138</v>
      </c>
      <c r="AF27" s="47" t="s">
        <v>100</v>
      </c>
      <c r="AG27" s="47" t="s">
        <v>91</v>
      </c>
      <c r="AH27" s="47" t="s">
        <v>91</v>
      </c>
      <c r="AI27" s="47" t="s">
        <v>92</v>
      </c>
      <c r="AJ27" s="47" t="s">
        <v>92</v>
      </c>
      <c r="AK27" s="47" t="s">
        <v>92</v>
      </c>
      <c r="AL27" s="47" t="s">
        <v>92</v>
      </c>
      <c r="AM27" s="47">
        <v>540</v>
      </c>
      <c r="AN27" s="47">
        <v>540</v>
      </c>
      <c r="AO27" s="47">
        <v>0</v>
      </c>
      <c r="AP27" s="47">
        <v>0</v>
      </c>
      <c r="AQ27" s="47">
        <v>0</v>
      </c>
      <c r="AR27" s="47">
        <v>0</v>
      </c>
      <c r="AS27" s="48" t="s">
        <v>66</v>
      </c>
      <c r="AT27" s="49" t="s">
        <v>66</v>
      </c>
      <c r="AU27" s="48" t="s">
        <v>66</v>
      </c>
      <c r="AV27" s="49" t="s">
        <v>66</v>
      </c>
      <c r="AW27" s="48" t="s">
        <v>66</v>
      </c>
      <c r="AX27" s="49" t="s">
        <v>66</v>
      </c>
      <c r="AY27" s="47">
        <v>540</v>
      </c>
      <c r="AZ27" s="47">
        <v>540</v>
      </c>
      <c r="BA27" s="47">
        <v>87</v>
      </c>
      <c r="BB27" s="47">
        <v>87</v>
      </c>
      <c r="BC27" s="47">
        <f t="shared" si="81"/>
        <v>87</v>
      </c>
      <c r="BD27" s="50">
        <v>87</v>
      </c>
      <c r="BE27" s="50">
        <v>0</v>
      </c>
      <c r="BF27" s="50">
        <v>0</v>
      </c>
      <c r="BG27" s="47" t="s">
        <v>106</v>
      </c>
      <c r="BH27" s="47" t="s">
        <v>106</v>
      </c>
      <c r="BI27" s="47">
        <v>41</v>
      </c>
      <c r="BJ27" s="47">
        <v>41</v>
      </c>
      <c r="BK27" s="47">
        <v>46</v>
      </c>
      <c r="BL27" s="47">
        <f t="shared" si="117"/>
        <v>46</v>
      </c>
      <c r="BM27" s="48" t="s">
        <v>94</v>
      </c>
      <c r="BN27" s="47" t="s">
        <v>94</v>
      </c>
      <c r="BO27" s="48" t="s">
        <v>94</v>
      </c>
      <c r="BP27" s="47" t="s">
        <v>94</v>
      </c>
      <c r="BQ27" s="48">
        <v>46</v>
      </c>
      <c r="BR27" s="47">
        <v>46</v>
      </c>
      <c r="BS27" s="48" t="s">
        <v>94</v>
      </c>
      <c r="BT27" s="47" t="s">
        <v>94</v>
      </c>
      <c r="BU27" s="48" t="s">
        <v>94</v>
      </c>
      <c r="BV27" s="47" t="s">
        <v>94</v>
      </c>
      <c r="BW27" s="48" t="s">
        <v>94</v>
      </c>
      <c r="BX27" s="47" t="s">
        <v>94</v>
      </c>
      <c r="BY27" s="48" t="s">
        <v>94</v>
      </c>
      <c r="BZ27" s="47" t="s">
        <v>94</v>
      </c>
      <c r="CA27" s="48" t="s">
        <v>94</v>
      </c>
      <c r="CB27" s="47" t="s">
        <v>94</v>
      </c>
      <c r="CC27" s="48" t="s">
        <v>94</v>
      </c>
      <c r="CD27" s="47" t="s">
        <v>94</v>
      </c>
      <c r="CE27" s="48" t="s">
        <v>94</v>
      </c>
      <c r="CF27" s="47" t="s">
        <v>94</v>
      </c>
      <c r="CG27" s="48" t="s">
        <v>94</v>
      </c>
      <c r="CH27" s="47" t="s">
        <v>94</v>
      </c>
      <c r="CI27" s="48" t="s">
        <v>94</v>
      </c>
      <c r="CJ27" s="47" t="s">
        <v>94</v>
      </c>
      <c r="CK27" s="48" t="s">
        <v>94</v>
      </c>
      <c r="CL27" s="47" t="s">
        <v>94</v>
      </c>
      <c r="CM27" s="48" t="s">
        <v>94</v>
      </c>
      <c r="CN27" s="47" t="s">
        <v>94</v>
      </c>
      <c r="CO27" s="48" t="s">
        <v>94</v>
      </c>
      <c r="CP27" s="47" t="s">
        <v>94</v>
      </c>
      <c r="CQ27" s="48" t="s">
        <v>94</v>
      </c>
      <c r="CR27" s="47" t="s">
        <v>94</v>
      </c>
      <c r="CS27" s="48">
        <v>41</v>
      </c>
      <c r="CT27" s="47">
        <v>41</v>
      </c>
      <c r="CU27" s="47" t="s">
        <v>66</v>
      </c>
      <c r="CV27" s="47" t="s">
        <v>66</v>
      </c>
      <c r="CW27" s="47" t="s">
        <v>66</v>
      </c>
      <c r="CX27" s="47" t="s">
        <v>66</v>
      </c>
      <c r="CY27" s="47" t="s">
        <v>66</v>
      </c>
      <c r="CZ27" s="47" t="s">
        <v>66</v>
      </c>
      <c r="DA27" s="47" t="s">
        <v>66</v>
      </c>
      <c r="DB27" s="47" t="s">
        <v>66</v>
      </c>
      <c r="DC27" s="47" t="s">
        <v>66</v>
      </c>
      <c r="DD27" s="47" t="s">
        <v>66</v>
      </c>
      <c r="DE27" s="47" t="s">
        <v>66</v>
      </c>
      <c r="DF27" s="47" t="s">
        <v>66</v>
      </c>
      <c r="DG27" s="47" t="s">
        <v>66</v>
      </c>
      <c r="DH27" s="47" t="s">
        <v>66</v>
      </c>
      <c r="DI27" s="47" t="s">
        <v>66</v>
      </c>
      <c r="DJ27" s="47" t="s">
        <v>66</v>
      </c>
      <c r="DK27" s="47" t="s">
        <v>66</v>
      </c>
      <c r="DL27" s="47" t="s">
        <v>66</v>
      </c>
      <c r="DM27" s="47" t="s">
        <v>66</v>
      </c>
      <c r="DN27" s="47" t="s">
        <v>66</v>
      </c>
      <c r="DO27" s="47" t="s">
        <v>66</v>
      </c>
      <c r="DP27" s="47" t="s">
        <v>66</v>
      </c>
      <c r="DQ27" s="47" t="s">
        <v>66</v>
      </c>
      <c r="DR27" s="23" t="s">
        <v>66</v>
      </c>
      <c r="DS27" s="47" t="s">
        <v>66</v>
      </c>
      <c r="DT27" s="47" t="s">
        <v>66</v>
      </c>
      <c r="DU27" s="47" t="s">
        <v>66</v>
      </c>
      <c r="DV27" s="47" t="s">
        <v>66</v>
      </c>
      <c r="DW27" s="47" t="s">
        <v>97</v>
      </c>
      <c r="DX27" s="47" t="s">
        <v>140</v>
      </c>
      <c r="DY27" s="47" t="s">
        <v>147</v>
      </c>
      <c r="DZ27" s="47" t="s">
        <v>147</v>
      </c>
      <c r="EA27" s="47" t="s">
        <v>102</v>
      </c>
      <c r="EB27" s="47" t="s">
        <v>102</v>
      </c>
      <c r="EC27" s="47">
        <v>1</v>
      </c>
      <c r="ED27" s="47">
        <v>1</v>
      </c>
      <c r="EE27" s="47">
        <v>1</v>
      </c>
      <c r="EF27" s="47">
        <v>1</v>
      </c>
      <c r="EG27" s="47">
        <v>1</v>
      </c>
      <c r="EH27" s="47">
        <v>1</v>
      </c>
      <c r="EI27" s="47">
        <v>0</v>
      </c>
      <c r="EJ27" s="47">
        <v>0</v>
      </c>
      <c r="EK27" s="47">
        <v>1</v>
      </c>
      <c r="EL27" s="47">
        <v>1</v>
      </c>
      <c r="EM27" s="47">
        <v>0</v>
      </c>
      <c r="EN27" s="47">
        <v>0</v>
      </c>
      <c r="EO27" s="47">
        <v>0</v>
      </c>
      <c r="EP27" s="47">
        <v>0</v>
      </c>
      <c r="EQ27" s="47">
        <v>0</v>
      </c>
      <c r="ER27" s="47">
        <v>0</v>
      </c>
      <c r="ES27" s="47">
        <v>1</v>
      </c>
      <c r="ET27" s="47">
        <v>1</v>
      </c>
      <c r="EU27" s="47">
        <v>1</v>
      </c>
      <c r="EV27" s="47">
        <v>1</v>
      </c>
      <c r="EW27" s="47">
        <f t="shared" ref="EW27:EX27" si="120">SUM(EC27,EE27,EG27,EI27,EK27,EM27,EO27,EQ27,ES27,EU27)</f>
        <v>6</v>
      </c>
      <c r="EX27" s="47">
        <f t="shared" si="120"/>
        <v>6</v>
      </c>
      <c r="EY27" s="64" t="str">
        <f t="shared" ref="EY27:EZ27" si="121">A27</f>
        <v>Reay</v>
      </c>
      <c r="EZ27" s="65">
        <f t="shared" si="121"/>
        <v>2010</v>
      </c>
      <c r="FA27" s="23" t="str">
        <f t="shared" si="3"/>
        <v>Y</v>
      </c>
      <c r="FB27" s="23" t="str">
        <f t="shared" si="4"/>
        <v>Y</v>
      </c>
      <c r="FC27" s="23" t="str">
        <f t="shared" si="5"/>
        <v>Y</v>
      </c>
      <c r="FD27" s="23" t="str">
        <f t="shared" si="6"/>
        <v>Y</v>
      </c>
      <c r="FE27" s="23" t="str">
        <f t="shared" si="7"/>
        <v>Y</v>
      </c>
      <c r="FF27" s="23" t="str">
        <f t="shared" si="88"/>
        <v>Y</v>
      </c>
      <c r="FG27" s="23" t="str">
        <f t="shared" si="9"/>
        <v>Y</v>
      </c>
      <c r="FH27" s="23" t="str">
        <f t="shared" si="10"/>
        <v>Y</v>
      </c>
      <c r="FI27" s="23" t="str">
        <f t="shared" si="11"/>
        <v>Y</v>
      </c>
      <c r="FJ27" s="23" t="str">
        <f t="shared" si="12"/>
        <v>Y</v>
      </c>
      <c r="FK27" s="23" t="str">
        <f t="shared" si="13"/>
        <v>Y</v>
      </c>
      <c r="FL27" s="23" t="str">
        <f t="shared" si="14"/>
        <v>Y</v>
      </c>
      <c r="FM27" s="23" t="str">
        <f t="shared" si="15"/>
        <v>Y</v>
      </c>
      <c r="FN27" s="23" t="str">
        <f t="shared" si="16"/>
        <v>Y</v>
      </c>
      <c r="FO27" s="23" t="str">
        <f t="shared" si="17"/>
        <v>Y</v>
      </c>
      <c r="FP27" s="23" t="str">
        <f t="shared" si="18"/>
        <v>Y</v>
      </c>
      <c r="FQ27" s="23" t="str">
        <f t="shared" si="19"/>
        <v>Y</v>
      </c>
      <c r="FR27" s="23" t="str">
        <f t="shared" si="20"/>
        <v>Y</v>
      </c>
      <c r="FS27" s="23" t="str">
        <f t="shared" si="21"/>
        <v>Y</v>
      </c>
      <c r="FT27" s="23" t="str">
        <f t="shared" si="22"/>
        <v>Y</v>
      </c>
      <c r="FU27" s="23" t="str">
        <f t="shared" si="23"/>
        <v>Y</v>
      </c>
      <c r="FV27" s="23" t="str">
        <f t="shared" si="24"/>
        <v>Y</v>
      </c>
      <c r="FW27" s="23" t="str">
        <f t="shared" si="25"/>
        <v>Y</v>
      </c>
      <c r="FX27" s="23" t="str">
        <f t="shared" si="26"/>
        <v>Y</v>
      </c>
      <c r="FY27" s="23" t="str">
        <f t="shared" si="27"/>
        <v>Y</v>
      </c>
      <c r="FZ27" s="23" t="str">
        <f t="shared" si="28"/>
        <v>Y</v>
      </c>
      <c r="GA27" s="23" t="str">
        <f t="shared" si="29"/>
        <v>Y</v>
      </c>
      <c r="GB27" s="23" t="str">
        <f t="shared" si="30"/>
        <v>Y</v>
      </c>
      <c r="GC27" s="23" t="str">
        <f t="shared" si="31"/>
        <v>Y</v>
      </c>
      <c r="GD27" s="23" t="str">
        <f t="shared" si="32"/>
        <v>Y</v>
      </c>
      <c r="GE27" s="23" t="str">
        <f t="shared" si="33"/>
        <v>Y</v>
      </c>
      <c r="GF27" s="23" t="str">
        <f t="shared" si="34"/>
        <v>Y</v>
      </c>
      <c r="GG27" s="23" t="str">
        <f t="shared" si="35"/>
        <v>Y</v>
      </c>
      <c r="GH27" s="23" t="str">
        <f t="shared" si="36"/>
        <v>Y</v>
      </c>
      <c r="GI27" s="23" t="str">
        <f t="shared" si="37"/>
        <v>Y</v>
      </c>
      <c r="GJ27" s="23" t="str">
        <f t="shared" si="38"/>
        <v>Y</v>
      </c>
      <c r="GK27" s="23" t="str">
        <f t="shared" si="39"/>
        <v>Y</v>
      </c>
      <c r="GL27" s="23" t="str">
        <f t="shared" si="40"/>
        <v>Y</v>
      </c>
      <c r="GM27" s="23" t="str">
        <f t="shared" si="41"/>
        <v>Y</v>
      </c>
      <c r="GN27" s="23" t="str">
        <f t="shared" si="42"/>
        <v>Y</v>
      </c>
      <c r="GO27" s="23" t="str">
        <f t="shared" si="43"/>
        <v>Y</v>
      </c>
      <c r="GP27" s="23" t="str">
        <f t="shared" si="44"/>
        <v>Y</v>
      </c>
      <c r="GQ27" s="23" t="str">
        <f t="shared" si="45"/>
        <v>Y</v>
      </c>
      <c r="GR27" s="23" t="str">
        <f t="shared" si="46"/>
        <v>Y</v>
      </c>
      <c r="GS27" s="23" t="str">
        <f t="shared" si="47"/>
        <v>Y</v>
      </c>
      <c r="GT27" s="23" t="str">
        <f t="shared" si="48"/>
        <v>Y</v>
      </c>
      <c r="GU27" s="23" t="str">
        <f t="shared" si="49"/>
        <v>Y</v>
      </c>
      <c r="GV27" s="23" t="str">
        <f t="shared" si="50"/>
        <v>Y</v>
      </c>
      <c r="GW27" s="23" t="str">
        <f t="shared" si="51"/>
        <v>Y</v>
      </c>
      <c r="GX27" s="23" t="str">
        <f t="shared" si="52"/>
        <v>Y</v>
      </c>
      <c r="GY27" s="23" t="str">
        <f t="shared" si="53"/>
        <v>Y</v>
      </c>
      <c r="GZ27" s="23" t="str">
        <f t="shared" si="54"/>
        <v>Y</v>
      </c>
      <c r="HA27" s="23" t="str">
        <f t="shared" si="55"/>
        <v>Y</v>
      </c>
      <c r="HB27" s="23" t="str">
        <f t="shared" si="56"/>
        <v>Y</v>
      </c>
      <c r="HC27" s="23" t="str">
        <f t="shared" si="57"/>
        <v>Y</v>
      </c>
      <c r="HD27" s="23" t="str">
        <f t="shared" si="58"/>
        <v>Y</v>
      </c>
      <c r="HE27" s="23" t="str">
        <f t="shared" si="59"/>
        <v>Y</v>
      </c>
      <c r="HF27" s="23" t="str">
        <f t="shared" si="60"/>
        <v>Y</v>
      </c>
      <c r="HG27" s="23" t="str">
        <f t="shared" si="61"/>
        <v>Y</v>
      </c>
      <c r="HH27" s="23" t="str">
        <f t="shared" si="62"/>
        <v>Y</v>
      </c>
      <c r="HI27" s="23" t="str">
        <f t="shared" si="63"/>
        <v>Y</v>
      </c>
      <c r="HJ27" s="23" t="str">
        <f t="shared" si="64"/>
        <v>Y</v>
      </c>
      <c r="HK27" s="23" t="str">
        <f t="shared" si="65"/>
        <v>Y</v>
      </c>
      <c r="HL27" s="23" t="str">
        <f t="shared" si="66"/>
        <v>Y</v>
      </c>
      <c r="HM27" s="23" t="str">
        <f t="shared" si="67"/>
        <v>Y</v>
      </c>
      <c r="HN27" s="55" t="str">
        <f t="shared" si="68"/>
        <v>Y</v>
      </c>
      <c r="HO27" s="23">
        <v>1</v>
      </c>
      <c r="HP27" s="55">
        <v>1</v>
      </c>
    </row>
    <row r="28" spans="1:224" ht="30" customHeight="1">
      <c r="A28" s="46" t="s">
        <v>172</v>
      </c>
      <c r="B28" s="47">
        <v>2018</v>
      </c>
      <c r="C28" s="47">
        <v>66</v>
      </c>
      <c r="D28" s="47">
        <v>66</v>
      </c>
      <c r="E28" s="23">
        <v>47</v>
      </c>
      <c r="F28" s="47">
        <v>47</v>
      </c>
      <c r="G28" s="47" t="s">
        <v>66</v>
      </c>
      <c r="H28" s="47" t="s">
        <v>66</v>
      </c>
      <c r="I28" s="47" t="s">
        <v>66</v>
      </c>
      <c r="J28" s="47" t="s">
        <v>66</v>
      </c>
      <c r="K28" s="47">
        <v>26.2</v>
      </c>
      <c r="L28" s="23">
        <v>26.2</v>
      </c>
      <c r="M28" s="23" t="s">
        <v>66</v>
      </c>
      <c r="N28" s="23" t="s">
        <v>66</v>
      </c>
      <c r="O28" s="23" t="s">
        <v>66</v>
      </c>
      <c r="P28" s="23" t="s">
        <v>66</v>
      </c>
      <c r="Q28" s="23" t="s">
        <v>66</v>
      </c>
      <c r="R28" s="23" t="s">
        <v>66</v>
      </c>
      <c r="S28" s="23" t="s">
        <v>66</v>
      </c>
      <c r="T28" s="23" t="s">
        <v>66</v>
      </c>
      <c r="U28" s="47">
        <v>0</v>
      </c>
      <c r="V28" s="47">
        <v>0</v>
      </c>
      <c r="W28" s="47">
        <v>113</v>
      </c>
      <c r="X28" s="47">
        <v>113</v>
      </c>
      <c r="Y28" s="47">
        <v>0</v>
      </c>
      <c r="Z28" s="47">
        <v>0</v>
      </c>
      <c r="AA28" s="47">
        <v>0</v>
      </c>
      <c r="AB28" s="47">
        <v>0</v>
      </c>
      <c r="AC28" s="56" t="s">
        <v>88</v>
      </c>
      <c r="AD28" s="23" t="s">
        <v>125</v>
      </c>
      <c r="AE28" s="47" t="s">
        <v>125</v>
      </c>
      <c r="AF28" s="47" t="s">
        <v>126</v>
      </c>
      <c r="AG28" s="47" t="s">
        <v>91</v>
      </c>
      <c r="AH28" s="47" t="s">
        <v>91</v>
      </c>
      <c r="AI28" s="47" t="s">
        <v>92</v>
      </c>
      <c r="AJ28" s="47" t="s">
        <v>92</v>
      </c>
      <c r="AK28" s="47" t="s">
        <v>92</v>
      </c>
      <c r="AL28" s="47" t="s">
        <v>92</v>
      </c>
      <c r="AM28" s="47">
        <v>113</v>
      </c>
      <c r="AN28" s="47">
        <v>113</v>
      </c>
      <c r="AO28" s="47">
        <v>0</v>
      </c>
      <c r="AP28" s="47">
        <v>0</v>
      </c>
      <c r="AQ28" s="47">
        <v>0</v>
      </c>
      <c r="AR28" s="47">
        <v>0</v>
      </c>
      <c r="AS28" s="48">
        <v>30</v>
      </c>
      <c r="AT28" s="49">
        <v>30</v>
      </c>
      <c r="AU28" s="48" t="s">
        <v>66</v>
      </c>
      <c r="AV28" s="49" t="s">
        <v>66</v>
      </c>
      <c r="AW28" s="48" t="s">
        <v>66</v>
      </c>
      <c r="AX28" s="49" t="s">
        <v>66</v>
      </c>
      <c r="AY28" s="47">
        <v>113</v>
      </c>
      <c r="AZ28" s="47">
        <v>113</v>
      </c>
      <c r="BA28" s="47">
        <v>25</v>
      </c>
      <c r="BB28" s="47">
        <v>25</v>
      </c>
      <c r="BC28" s="47">
        <f t="shared" si="81"/>
        <v>25</v>
      </c>
      <c r="BD28" s="50">
        <v>25</v>
      </c>
      <c r="BE28" s="50">
        <v>0</v>
      </c>
      <c r="BF28" s="50">
        <v>0</v>
      </c>
      <c r="BG28" s="47" t="s">
        <v>93</v>
      </c>
      <c r="BH28" s="47" t="s">
        <v>93</v>
      </c>
      <c r="BI28" s="47">
        <v>6</v>
      </c>
      <c r="BJ28" s="47">
        <v>6</v>
      </c>
      <c r="BK28" s="47">
        <v>19</v>
      </c>
      <c r="BL28" s="47">
        <v>19</v>
      </c>
      <c r="BM28" s="48">
        <v>6</v>
      </c>
      <c r="BN28" s="47">
        <v>6</v>
      </c>
      <c r="BO28" s="48">
        <v>0</v>
      </c>
      <c r="BP28" s="47">
        <v>0</v>
      </c>
      <c r="BQ28" s="48">
        <v>19</v>
      </c>
      <c r="BR28" s="47">
        <v>19</v>
      </c>
      <c r="BS28" s="48">
        <v>0</v>
      </c>
      <c r="BT28" s="47">
        <v>0</v>
      </c>
      <c r="BU28" s="48">
        <v>0</v>
      </c>
      <c r="BV28" s="47">
        <v>0</v>
      </c>
      <c r="BW28" s="48">
        <v>0</v>
      </c>
      <c r="BX28" s="47">
        <v>0</v>
      </c>
      <c r="BY28" s="48">
        <v>0</v>
      </c>
      <c r="BZ28" s="47">
        <v>0</v>
      </c>
      <c r="CA28" s="48">
        <v>0</v>
      </c>
      <c r="CB28" s="47">
        <v>0</v>
      </c>
      <c r="CC28" s="48">
        <v>0</v>
      </c>
      <c r="CD28" s="47">
        <v>0</v>
      </c>
      <c r="CE28" s="48">
        <v>0</v>
      </c>
      <c r="CF28" s="47">
        <v>0</v>
      </c>
      <c r="CG28" s="48">
        <v>0</v>
      </c>
      <c r="CH28" s="47">
        <v>0</v>
      </c>
      <c r="CI28" s="48">
        <v>0</v>
      </c>
      <c r="CJ28" s="47">
        <v>0</v>
      </c>
      <c r="CK28" s="48">
        <v>0</v>
      </c>
      <c r="CL28" s="47">
        <v>0</v>
      </c>
      <c r="CM28" s="48">
        <v>0</v>
      </c>
      <c r="CN28" s="47">
        <v>0</v>
      </c>
      <c r="CO28" s="48">
        <v>0</v>
      </c>
      <c r="CP28" s="47">
        <v>0</v>
      </c>
      <c r="CQ28" s="48">
        <v>0</v>
      </c>
      <c r="CR28" s="47">
        <v>0</v>
      </c>
      <c r="CS28" s="48">
        <v>0</v>
      </c>
      <c r="CT28" s="47">
        <v>0</v>
      </c>
      <c r="CU28" s="47" t="s">
        <v>120</v>
      </c>
      <c r="CV28" s="47" t="s">
        <v>120</v>
      </c>
      <c r="CW28" s="47" t="s">
        <v>120</v>
      </c>
      <c r="CX28" s="47" t="s">
        <v>120</v>
      </c>
      <c r="CY28" s="47" t="s">
        <v>66</v>
      </c>
      <c r="CZ28" s="47" t="s">
        <v>66</v>
      </c>
      <c r="DA28" s="47" t="s">
        <v>120</v>
      </c>
      <c r="DB28" s="47" t="s">
        <v>120</v>
      </c>
      <c r="DC28" s="47" t="s">
        <v>120</v>
      </c>
      <c r="DD28" s="47" t="s">
        <v>120</v>
      </c>
      <c r="DE28" s="47" t="s">
        <v>173</v>
      </c>
      <c r="DF28" s="47" t="s">
        <v>173</v>
      </c>
      <c r="DG28" s="47" t="s">
        <v>66</v>
      </c>
      <c r="DH28" s="47" t="s">
        <v>66</v>
      </c>
      <c r="DI28" s="47" t="s">
        <v>173</v>
      </c>
      <c r="DJ28" s="47" t="s">
        <v>173</v>
      </c>
      <c r="DK28" s="47" t="s">
        <v>66</v>
      </c>
      <c r="DL28" s="47" t="s">
        <v>66</v>
      </c>
      <c r="DM28" s="47" t="s">
        <v>66</v>
      </c>
      <c r="DN28" s="47" t="s">
        <v>66</v>
      </c>
      <c r="DO28" s="47" t="s">
        <v>66</v>
      </c>
      <c r="DP28" s="47" t="s">
        <v>66</v>
      </c>
      <c r="DQ28" s="47" t="s">
        <v>66</v>
      </c>
      <c r="DR28" s="23" t="s">
        <v>66</v>
      </c>
      <c r="DS28" s="47" t="s">
        <v>92</v>
      </c>
      <c r="DT28" s="47" t="s">
        <v>92</v>
      </c>
      <c r="DU28" s="47" t="s">
        <v>66</v>
      </c>
      <c r="DV28" s="47" t="s">
        <v>66</v>
      </c>
      <c r="DW28" s="47" t="s">
        <v>97</v>
      </c>
      <c r="DX28" s="47" t="s">
        <v>97</v>
      </c>
      <c r="DY28" s="47" t="s">
        <v>66</v>
      </c>
      <c r="DZ28" s="47" t="s">
        <v>66</v>
      </c>
      <c r="EA28" s="47" t="s">
        <v>102</v>
      </c>
      <c r="EB28" s="47" t="s">
        <v>102</v>
      </c>
      <c r="EC28" s="47">
        <v>1</v>
      </c>
      <c r="ED28" s="47">
        <v>1</v>
      </c>
      <c r="EE28" s="47">
        <v>1</v>
      </c>
      <c r="EF28" s="47">
        <v>1</v>
      </c>
      <c r="EG28" s="47">
        <v>1</v>
      </c>
      <c r="EH28" s="47">
        <v>1</v>
      </c>
      <c r="EI28" s="47">
        <v>1</v>
      </c>
      <c r="EJ28" s="47">
        <v>1</v>
      </c>
      <c r="EK28" s="47">
        <v>1</v>
      </c>
      <c r="EL28" s="47">
        <v>1</v>
      </c>
      <c r="EM28" s="47">
        <v>1</v>
      </c>
      <c r="EN28" s="47">
        <v>1</v>
      </c>
      <c r="EO28" s="47">
        <v>1</v>
      </c>
      <c r="EP28" s="47">
        <v>1</v>
      </c>
      <c r="EQ28" s="47">
        <v>1</v>
      </c>
      <c r="ER28" s="47">
        <v>1</v>
      </c>
      <c r="ES28" s="47">
        <v>1</v>
      </c>
      <c r="ET28" s="47">
        <v>1</v>
      </c>
      <c r="EU28" s="47">
        <v>1</v>
      </c>
      <c r="EV28" s="47">
        <v>1</v>
      </c>
      <c r="EW28" s="47">
        <f t="shared" ref="EW28:EX28" si="122">SUM(EC28,EE28,EG28,EI28,EK28,EM28,EO28,EQ28,ES28,EU28)</f>
        <v>10</v>
      </c>
      <c r="EX28" s="47">
        <f t="shared" si="122"/>
        <v>10</v>
      </c>
      <c r="EY28" s="53" t="str">
        <f t="shared" ref="EY28:EZ28" si="123">A28</f>
        <v>Scott</v>
      </c>
      <c r="EZ28" s="54">
        <f t="shared" si="123"/>
        <v>2018</v>
      </c>
      <c r="FA28" s="23" t="str">
        <f t="shared" si="3"/>
        <v>Y</v>
      </c>
      <c r="FB28" s="23" t="str">
        <f t="shared" si="4"/>
        <v>Y</v>
      </c>
      <c r="FC28" s="23" t="str">
        <f t="shared" si="5"/>
        <v>Y</v>
      </c>
      <c r="FD28" s="23" t="str">
        <f t="shared" si="6"/>
        <v>Y</v>
      </c>
      <c r="FE28" s="23" t="str">
        <f t="shared" si="7"/>
        <v>Y</v>
      </c>
      <c r="FF28" s="23" t="str">
        <f t="shared" si="88"/>
        <v>Y</v>
      </c>
      <c r="FG28" s="23" t="str">
        <f t="shared" si="9"/>
        <v>Y</v>
      </c>
      <c r="FH28" s="23" t="str">
        <f t="shared" si="10"/>
        <v>Y</v>
      </c>
      <c r="FI28" s="23" t="str">
        <f t="shared" si="11"/>
        <v>Y</v>
      </c>
      <c r="FJ28" s="23" t="str">
        <f t="shared" si="12"/>
        <v>Y</v>
      </c>
      <c r="FK28" s="23" t="str">
        <f t="shared" si="13"/>
        <v>Y</v>
      </c>
      <c r="FL28" s="23" t="str">
        <f t="shared" si="14"/>
        <v>Y</v>
      </c>
      <c r="FM28" s="23" t="str">
        <f t="shared" si="15"/>
        <v>Y</v>
      </c>
      <c r="FN28" s="23" t="str">
        <f t="shared" si="16"/>
        <v>Y</v>
      </c>
      <c r="FO28" s="23" t="str">
        <f t="shared" si="17"/>
        <v>Y</v>
      </c>
      <c r="FP28" s="23" t="str">
        <f t="shared" si="18"/>
        <v>Y</v>
      </c>
      <c r="FQ28" s="23" t="str">
        <f t="shared" si="19"/>
        <v>Y</v>
      </c>
      <c r="FR28" s="23" t="str">
        <f t="shared" si="20"/>
        <v>Y</v>
      </c>
      <c r="FS28" s="23" t="str">
        <f t="shared" si="21"/>
        <v>Y</v>
      </c>
      <c r="FT28" s="23" t="str">
        <f t="shared" si="22"/>
        <v>Y</v>
      </c>
      <c r="FU28" s="23" t="str">
        <f t="shared" si="23"/>
        <v>Y</v>
      </c>
      <c r="FV28" s="23" t="str">
        <f t="shared" si="24"/>
        <v>Y</v>
      </c>
      <c r="FW28" s="23" t="str">
        <f t="shared" si="25"/>
        <v>Y</v>
      </c>
      <c r="FX28" s="23" t="str">
        <f t="shared" si="26"/>
        <v>Y</v>
      </c>
      <c r="FY28" s="23" t="str">
        <f t="shared" si="27"/>
        <v>Y</v>
      </c>
      <c r="FZ28" s="23" t="str">
        <f t="shared" si="28"/>
        <v>Y</v>
      </c>
      <c r="GA28" s="23" t="str">
        <f t="shared" si="29"/>
        <v>Y</v>
      </c>
      <c r="GB28" s="23" t="str">
        <f t="shared" si="30"/>
        <v>Y</v>
      </c>
      <c r="GC28" s="23" t="str">
        <f t="shared" si="31"/>
        <v>Y</v>
      </c>
      <c r="GD28" s="23" t="str">
        <f t="shared" si="32"/>
        <v>Y</v>
      </c>
      <c r="GE28" s="23" t="str">
        <f t="shared" si="33"/>
        <v>Y</v>
      </c>
      <c r="GF28" s="23" t="str">
        <f t="shared" si="34"/>
        <v>Y</v>
      </c>
      <c r="GG28" s="23" t="str">
        <f t="shared" si="35"/>
        <v>Y</v>
      </c>
      <c r="GH28" s="23" t="str">
        <f t="shared" si="36"/>
        <v>Y</v>
      </c>
      <c r="GI28" s="23" t="str">
        <f t="shared" si="37"/>
        <v>Y</v>
      </c>
      <c r="GJ28" s="23" t="str">
        <f t="shared" si="38"/>
        <v>Y</v>
      </c>
      <c r="GK28" s="23" t="str">
        <f t="shared" si="39"/>
        <v>Y</v>
      </c>
      <c r="GL28" s="23" t="str">
        <f t="shared" si="40"/>
        <v>Y</v>
      </c>
      <c r="GM28" s="23" t="str">
        <f t="shared" si="41"/>
        <v>Y</v>
      </c>
      <c r="GN28" s="23" t="str">
        <f t="shared" si="42"/>
        <v>Y</v>
      </c>
      <c r="GO28" s="23" t="str">
        <f t="shared" si="43"/>
        <v>Y</v>
      </c>
      <c r="GP28" s="23" t="str">
        <f t="shared" si="44"/>
        <v>Y</v>
      </c>
      <c r="GQ28" s="23" t="str">
        <f t="shared" si="45"/>
        <v>Y</v>
      </c>
      <c r="GR28" s="23" t="str">
        <f t="shared" si="46"/>
        <v>Y</v>
      </c>
      <c r="GS28" s="23" t="str">
        <f t="shared" si="47"/>
        <v>Y</v>
      </c>
      <c r="GT28" s="23" t="str">
        <f t="shared" si="48"/>
        <v>Y</v>
      </c>
      <c r="GU28" s="23" t="str">
        <f t="shared" si="49"/>
        <v>Y</v>
      </c>
      <c r="GV28" s="23" t="str">
        <f t="shared" si="50"/>
        <v>Y</v>
      </c>
      <c r="GW28" s="23" t="str">
        <f t="shared" si="51"/>
        <v>Y</v>
      </c>
      <c r="GX28" s="23" t="str">
        <f t="shared" si="52"/>
        <v>Y</v>
      </c>
      <c r="GY28" s="23" t="str">
        <f t="shared" si="53"/>
        <v>Y</v>
      </c>
      <c r="GZ28" s="23" t="str">
        <f t="shared" si="54"/>
        <v>Y</v>
      </c>
      <c r="HA28" s="23" t="str">
        <f t="shared" si="55"/>
        <v>Y</v>
      </c>
      <c r="HB28" s="23" t="str">
        <f t="shared" si="56"/>
        <v>Y</v>
      </c>
      <c r="HC28" s="23" t="str">
        <f t="shared" si="57"/>
        <v>Y</v>
      </c>
      <c r="HD28" s="23" t="str">
        <f t="shared" si="58"/>
        <v>Y</v>
      </c>
      <c r="HE28" s="23" t="str">
        <f t="shared" si="59"/>
        <v>Y</v>
      </c>
      <c r="HF28" s="23" t="str">
        <f t="shared" si="60"/>
        <v>Y</v>
      </c>
      <c r="HG28" s="23" t="str">
        <f t="shared" si="61"/>
        <v>Y</v>
      </c>
      <c r="HH28" s="23" t="str">
        <f t="shared" si="62"/>
        <v>Y</v>
      </c>
      <c r="HI28" s="23" t="str">
        <f t="shared" si="63"/>
        <v>Y</v>
      </c>
      <c r="HJ28" s="23" t="str">
        <f t="shared" si="64"/>
        <v>Y</v>
      </c>
      <c r="HK28" s="23" t="str">
        <f t="shared" si="65"/>
        <v>Y</v>
      </c>
      <c r="HL28" s="23" t="str">
        <f t="shared" si="66"/>
        <v>Y</v>
      </c>
      <c r="HM28" s="23" t="str">
        <f t="shared" si="67"/>
        <v>Y</v>
      </c>
      <c r="HN28" s="55" t="str">
        <f t="shared" si="68"/>
        <v>Y</v>
      </c>
      <c r="HO28" s="23"/>
      <c r="HP28" s="55"/>
    </row>
    <row r="29" spans="1:224" ht="30" customHeight="1">
      <c r="A29" s="46" t="s">
        <v>174</v>
      </c>
      <c r="B29" s="52">
        <v>1990</v>
      </c>
      <c r="C29" s="52">
        <v>100</v>
      </c>
      <c r="D29" s="52">
        <v>100</v>
      </c>
      <c r="E29" s="56">
        <v>0</v>
      </c>
      <c r="F29" s="52">
        <v>0</v>
      </c>
      <c r="G29" s="52" t="s">
        <v>66</v>
      </c>
      <c r="H29" s="52" t="s">
        <v>66</v>
      </c>
      <c r="I29" s="52" t="s">
        <v>66</v>
      </c>
      <c r="J29" s="52" t="s">
        <v>66</v>
      </c>
      <c r="K29" s="52">
        <v>28.2</v>
      </c>
      <c r="L29" s="56">
        <v>28.2</v>
      </c>
      <c r="M29" s="56">
        <v>100</v>
      </c>
      <c r="N29" s="56">
        <v>100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52">
        <v>0</v>
      </c>
      <c r="V29" s="52">
        <v>0</v>
      </c>
      <c r="W29" s="52">
        <v>100</v>
      </c>
      <c r="X29" s="52">
        <v>100</v>
      </c>
      <c r="Y29" s="52">
        <v>0</v>
      </c>
      <c r="Z29" s="52">
        <v>0</v>
      </c>
      <c r="AA29" s="52">
        <v>0</v>
      </c>
      <c r="AB29" s="52">
        <v>0</v>
      </c>
      <c r="AC29" s="56" t="s">
        <v>88</v>
      </c>
      <c r="AD29" s="56" t="s">
        <v>118</v>
      </c>
      <c r="AE29" s="52" t="s">
        <v>118</v>
      </c>
      <c r="AF29" s="52" t="s">
        <v>119</v>
      </c>
      <c r="AG29" s="52" t="s">
        <v>91</v>
      </c>
      <c r="AH29" s="52" t="s">
        <v>91</v>
      </c>
      <c r="AI29" s="52" t="s">
        <v>92</v>
      </c>
      <c r="AJ29" s="52" t="s">
        <v>92</v>
      </c>
      <c r="AK29" s="52" t="s">
        <v>91</v>
      </c>
      <c r="AL29" s="52" t="s">
        <v>91</v>
      </c>
      <c r="AM29" s="52" t="s">
        <v>66</v>
      </c>
      <c r="AN29" s="52" t="s">
        <v>66</v>
      </c>
      <c r="AO29" s="52" t="s">
        <v>66</v>
      </c>
      <c r="AP29" s="52" t="s">
        <v>66</v>
      </c>
      <c r="AQ29" s="52" t="s">
        <v>66</v>
      </c>
      <c r="AR29" s="52" t="s">
        <v>66</v>
      </c>
      <c r="AS29" s="56" t="s">
        <v>66</v>
      </c>
      <c r="AT29" s="56" t="s">
        <v>66</v>
      </c>
      <c r="AU29" s="56" t="s">
        <v>66</v>
      </c>
      <c r="AV29" s="56" t="s">
        <v>66</v>
      </c>
      <c r="AW29" s="56" t="s">
        <v>66</v>
      </c>
      <c r="AX29" s="56" t="s">
        <v>66</v>
      </c>
      <c r="AY29" s="52">
        <v>70</v>
      </c>
      <c r="AZ29" s="52">
        <v>70</v>
      </c>
      <c r="BA29" s="52">
        <v>42</v>
      </c>
      <c r="BB29" s="52">
        <v>42</v>
      </c>
      <c r="BC29" s="47">
        <f t="shared" si="81"/>
        <v>42</v>
      </c>
      <c r="BD29" s="52">
        <v>42</v>
      </c>
      <c r="BE29" s="52">
        <v>0</v>
      </c>
      <c r="BF29" s="52">
        <v>0</v>
      </c>
      <c r="BG29" s="52" t="s">
        <v>93</v>
      </c>
      <c r="BH29" s="52" t="s">
        <v>93</v>
      </c>
      <c r="BI29" s="52" t="s">
        <v>94</v>
      </c>
      <c r="BJ29" s="52" t="s">
        <v>94</v>
      </c>
      <c r="BK29" s="52">
        <v>42</v>
      </c>
      <c r="BL29" s="52">
        <v>42</v>
      </c>
      <c r="BM29" s="52" t="s">
        <v>94</v>
      </c>
      <c r="BN29" s="52" t="s">
        <v>94</v>
      </c>
      <c r="BO29" s="52" t="s">
        <v>94</v>
      </c>
      <c r="BP29" s="52" t="s">
        <v>94</v>
      </c>
      <c r="BQ29" s="52">
        <v>42</v>
      </c>
      <c r="BR29" s="52">
        <v>42</v>
      </c>
      <c r="BS29" s="52" t="s">
        <v>94</v>
      </c>
      <c r="BT29" s="52" t="s">
        <v>94</v>
      </c>
      <c r="BU29" s="52" t="s">
        <v>94</v>
      </c>
      <c r="BV29" s="52" t="s">
        <v>94</v>
      </c>
      <c r="BW29" s="52" t="s">
        <v>94</v>
      </c>
      <c r="BX29" s="52" t="s">
        <v>94</v>
      </c>
      <c r="BY29" s="52" t="s">
        <v>94</v>
      </c>
      <c r="BZ29" s="52" t="s">
        <v>94</v>
      </c>
      <c r="CA29" s="52" t="s">
        <v>94</v>
      </c>
      <c r="CB29" s="52" t="s">
        <v>94</v>
      </c>
      <c r="CC29" s="52" t="s">
        <v>94</v>
      </c>
      <c r="CD29" s="52" t="s">
        <v>94</v>
      </c>
      <c r="CE29" s="52" t="s">
        <v>94</v>
      </c>
      <c r="CF29" s="52" t="s">
        <v>94</v>
      </c>
      <c r="CG29" s="52" t="s">
        <v>94</v>
      </c>
      <c r="CH29" s="52" t="s">
        <v>94</v>
      </c>
      <c r="CI29" s="52" t="s">
        <v>94</v>
      </c>
      <c r="CJ29" s="52" t="s">
        <v>94</v>
      </c>
      <c r="CK29" s="52" t="s">
        <v>94</v>
      </c>
      <c r="CL29" s="52" t="s">
        <v>94</v>
      </c>
      <c r="CM29" s="52" t="s">
        <v>94</v>
      </c>
      <c r="CN29" s="52" t="s">
        <v>94</v>
      </c>
      <c r="CO29" s="52" t="s">
        <v>94</v>
      </c>
      <c r="CP29" s="52" t="s">
        <v>94</v>
      </c>
      <c r="CQ29" s="52" t="s">
        <v>94</v>
      </c>
      <c r="CR29" s="52" t="s">
        <v>94</v>
      </c>
      <c r="CS29" s="52" t="s">
        <v>94</v>
      </c>
      <c r="CT29" s="52" t="s">
        <v>94</v>
      </c>
      <c r="CU29" s="52">
        <v>0</v>
      </c>
      <c r="CV29" s="52">
        <v>0</v>
      </c>
      <c r="CW29" s="52">
        <v>0</v>
      </c>
      <c r="CX29" s="52">
        <v>0</v>
      </c>
      <c r="CY29" s="52">
        <v>0</v>
      </c>
      <c r="CZ29" s="52">
        <v>0</v>
      </c>
      <c r="DA29" s="52" t="s">
        <v>95</v>
      </c>
      <c r="DB29" s="52" t="s">
        <v>95</v>
      </c>
      <c r="DC29" s="52">
        <v>0</v>
      </c>
      <c r="DD29" s="52">
        <v>0</v>
      </c>
      <c r="DE29" s="52">
        <v>0</v>
      </c>
      <c r="DF29" s="52">
        <v>0</v>
      </c>
      <c r="DG29" s="52" t="s">
        <v>96</v>
      </c>
      <c r="DH29" s="52" t="s">
        <v>96</v>
      </c>
      <c r="DI29" s="52" t="s">
        <v>96</v>
      </c>
      <c r="DJ29" s="52" t="s">
        <v>96</v>
      </c>
      <c r="DK29" s="52" t="s">
        <v>66</v>
      </c>
      <c r="DL29" s="52" t="s">
        <v>66</v>
      </c>
      <c r="DM29" s="52" t="s">
        <v>66</v>
      </c>
      <c r="DN29" s="52" t="s">
        <v>66</v>
      </c>
      <c r="DO29" s="52" t="s">
        <v>66</v>
      </c>
      <c r="DP29" s="52" t="s">
        <v>66</v>
      </c>
      <c r="DQ29" s="52" t="s">
        <v>66</v>
      </c>
      <c r="DR29" s="56" t="s">
        <v>66</v>
      </c>
      <c r="DS29" s="52" t="s">
        <v>66</v>
      </c>
      <c r="DT29" s="52" t="s">
        <v>66</v>
      </c>
      <c r="DU29" s="52" t="s">
        <v>66</v>
      </c>
      <c r="DV29" s="52" t="s">
        <v>66</v>
      </c>
      <c r="DW29" s="52" t="s">
        <v>97</v>
      </c>
      <c r="DX29" s="52" t="s">
        <v>140</v>
      </c>
      <c r="DY29" s="52" t="s">
        <v>153</v>
      </c>
      <c r="DZ29" s="52" t="s">
        <v>153</v>
      </c>
      <c r="EA29" s="52" t="s">
        <v>175</v>
      </c>
      <c r="EB29" s="52" t="s">
        <v>175</v>
      </c>
      <c r="EC29" s="52">
        <v>0</v>
      </c>
      <c r="ED29" s="52">
        <v>0</v>
      </c>
      <c r="EE29" s="52">
        <v>1</v>
      </c>
      <c r="EF29" s="52">
        <v>1</v>
      </c>
      <c r="EG29" s="52">
        <v>1</v>
      </c>
      <c r="EH29" s="52">
        <v>1</v>
      </c>
      <c r="EI29" s="52">
        <v>1</v>
      </c>
      <c r="EJ29" s="52">
        <v>1</v>
      </c>
      <c r="EK29" s="52">
        <v>1</v>
      </c>
      <c r="EL29" s="52">
        <v>1</v>
      </c>
      <c r="EM29" s="52">
        <v>1</v>
      </c>
      <c r="EN29" s="52">
        <v>1</v>
      </c>
      <c r="EO29" s="52">
        <v>1</v>
      </c>
      <c r="EP29" s="52">
        <v>1</v>
      </c>
      <c r="EQ29" s="52">
        <v>1</v>
      </c>
      <c r="ER29" s="52">
        <v>1</v>
      </c>
      <c r="ES29" s="52">
        <v>0</v>
      </c>
      <c r="ET29" s="52">
        <v>0</v>
      </c>
      <c r="EU29" s="52">
        <v>1</v>
      </c>
      <c r="EV29" s="52">
        <v>1</v>
      </c>
      <c r="EW29" s="47">
        <f t="shared" ref="EW29:EX29" si="124">SUM(EC29,EE29,EG29,EI29,EK29,EM29,EO29,EQ29,ES29,EU29)</f>
        <v>8</v>
      </c>
      <c r="EX29" s="47">
        <f t="shared" si="124"/>
        <v>8</v>
      </c>
      <c r="EY29" s="59" t="str">
        <f t="shared" ref="EY29:EZ29" si="125">A29</f>
        <v>Solomons</v>
      </c>
      <c r="EZ29" s="59">
        <f t="shared" si="125"/>
        <v>1990</v>
      </c>
      <c r="FA29" s="60" t="str">
        <f t="shared" si="3"/>
        <v>Y</v>
      </c>
      <c r="FB29" s="60" t="str">
        <f t="shared" si="4"/>
        <v>Y</v>
      </c>
      <c r="FC29" s="60" t="str">
        <f t="shared" si="5"/>
        <v>Y</v>
      </c>
      <c r="FD29" s="60" t="str">
        <f t="shared" si="6"/>
        <v>Y</v>
      </c>
      <c r="FE29" s="60" t="str">
        <f t="shared" si="7"/>
        <v>Y</v>
      </c>
      <c r="FF29" s="60" t="str">
        <f t="shared" si="88"/>
        <v>Y</v>
      </c>
      <c r="FG29" s="60" t="str">
        <f t="shared" si="9"/>
        <v>Y</v>
      </c>
      <c r="FH29" s="60" t="str">
        <f t="shared" si="10"/>
        <v>Y</v>
      </c>
      <c r="FI29" s="60" t="str">
        <f t="shared" si="11"/>
        <v>Y</v>
      </c>
      <c r="FJ29" s="60" t="str">
        <f t="shared" si="12"/>
        <v>Y</v>
      </c>
      <c r="FK29" s="60" t="str">
        <f t="shared" si="13"/>
        <v>Y</v>
      </c>
      <c r="FL29" s="60" t="str">
        <f t="shared" si="14"/>
        <v>Y</v>
      </c>
      <c r="FM29" s="60" t="str">
        <f t="shared" si="15"/>
        <v>Y</v>
      </c>
      <c r="FN29" s="60" t="str">
        <f t="shared" si="16"/>
        <v>Y</v>
      </c>
      <c r="FO29" s="60" t="str">
        <f t="shared" si="17"/>
        <v>Y</v>
      </c>
      <c r="FP29" s="60" t="str">
        <f t="shared" si="18"/>
        <v>Y</v>
      </c>
      <c r="FQ29" s="60" t="str">
        <f t="shared" si="19"/>
        <v>Y</v>
      </c>
      <c r="FR29" s="60" t="str">
        <f t="shared" si="20"/>
        <v>Y</v>
      </c>
      <c r="FS29" s="60" t="str">
        <f t="shared" si="21"/>
        <v>Y</v>
      </c>
      <c r="FT29" s="60" t="str">
        <f t="shared" si="22"/>
        <v>Y</v>
      </c>
      <c r="FU29" s="60" t="str">
        <f t="shared" si="23"/>
        <v>Y</v>
      </c>
      <c r="FV29" s="60" t="str">
        <f t="shared" si="24"/>
        <v>Y</v>
      </c>
      <c r="FW29" s="60" t="str">
        <f t="shared" si="25"/>
        <v>Y</v>
      </c>
      <c r="FX29" s="60" t="str">
        <f t="shared" si="26"/>
        <v>Y</v>
      </c>
      <c r="FY29" s="60" t="str">
        <f t="shared" si="27"/>
        <v>Y</v>
      </c>
      <c r="FZ29" s="60" t="str">
        <f t="shared" si="28"/>
        <v>Y</v>
      </c>
      <c r="GA29" s="60" t="str">
        <f t="shared" si="29"/>
        <v>Y</v>
      </c>
      <c r="GB29" s="60" t="str">
        <f t="shared" si="30"/>
        <v>Y</v>
      </c>
      <c r="GC29" s="60" t="str">
        <f t="shared" si="31"/>
        <v>Y</v>
      </c>
      <c r="GD29" s="60" t="str">
        <f t="shared" si="32"/>
        <v>Y</v>
      </c>
      <c r="GE29" s="60" t="str">
        <f t="shared" si="33"/>
        <v>Y</v>
      </c>
      <c r="GF29" s="60" t="str">
        <f t="shared" si="34"/>
        <v>Y</v>
      </c>
      <c r="GG29" s="60" t="str">
        <f t="shared" si="35"/>
        <v>Y</v>
      </c>
      <c r="GH29" s="60" t="str">
        <f t="shared" si="36"/>
        <v>Y</v>
      </c>
      <c r="GI29" s="60" t="str">
        <f t="shared" si="37"/>
        <v>Y</v>
      </c>
      <c r="GJ29" s="60" t="str">
        <f t="shared" si="38"/>
        <v>Y</v>
      </c>
      <c r="GK29" s="60" t="str">
        <f t="shared" si="39"/>
        <v>Y</v>
      </c>
      <c r="GL29" s="60" t="str">
        <f t="shared" si="40"/>
        <v>Y</v>
      </c>
      <c r="GM29" s="60" t="str">
        <f t="shared" si="41"/>
        <v>Y</v>
      </c>
      <c r="GN29" s="60" t="str">
        <f t="shared" si="42"/>
        <v>Y</v>
      </c>
      <c r="GO29" s="60" t="str">
        <f t="shared" si="43"/>
        <v>Y</v>
      </c>
      <c r="GP29" s="60" t="str">
        <f t="shared" si="44"/>
        <v>Y</v>
      </c>
      <c r="GQ29" s="60" t="str">
        <f t="shared" si="45"/>
        <v>Y</v>
      </c>
      <c r="GR29" s="60" t="str">
        <f t="shared" si="46"/>
        <v>Y</v>
      </c>
      <c r="GS29" s="60" t="str">
        <f t="shared" si="47"/>
        <v>Y</v>
      </c>
      <c r="GT29" s="60" t="str">
        <f t="shared" si="48"/>
        <v>Y</v>
      </c>
      <c r="GU29" s="60" t="str">
        <f t="shared" si="49"/>
        <v>Y</v>
      </c>
      <c r="GV29" s="60" t="str">
        <f t="shared" si="50"/>
        <v>Y</v>
      </c>
      <c r="GW29" s="60" t="str">
        <f t="shared" si="51"/>
        <v>Y</v>
      </c>
      <c r="GX29" s="60" t="str">
        <f t="shared" si="52"/>
        <v>Y</v>
      </c>
      <c r="GY29" s="60" t="str">
        <f t="shared" si="53"/>
        <v>Y</v>
      </c>
      <c r="GZ29" s="60" t="str">
        <f t="shared" si="54"/>
        <v>Y</v>
      </c>
      <c r="HA29" s="60" t="str">
        <f t="shared" si="55"/>
        <v>Y</v>
      </c>
      <c r="HB29" s="60" t="str">
        <f t="shared" si="56"/>
        <v>Y</v>
      </c>
      <c r="HC29" s="60" t="str">
        <f t="shared" si="57"/>
        <v>Y</v>
      </c>
      <c r="HD29" s="60" t="str">
        <f t="shared" si="58"/>
        <v>Y</v>
      </c>
      <c r="HE29" s="60" t="str">
        <f t="shared" si="59"/>
        <v>Y</v>
      </c>
      <c r="HF29" s="60" t="str">
        <f t="shared" si="60"/>
        <v>Y</v>
      </c>
      <c r="HG29" s="60" t="str">
        <f t="shared" si="61"/>
        <v>Y</v>
      </c>
      <c r="HH29" s="60" t="str">
        <f t="shared" si="62"/>
        <v>Y</v>
      </c>
      <c r="HI29" s="60" t="str">
        <f t="shared" si="63"/>
        <v>Y</v>
      </c>
      <c r="HJ29" s="60" t="str">
        <f t="shared" si="64"/>
        <v>Y</v>
      </c>
      <c r="HK29" s="60" t="str">
        <f t="shared" si="65"/>
        <v>Y</v>
      </c>
      <c r="HL29" s="60" t="str">
        <f t="shared" si="66"/>
        <v>Y</v>
      </c>
      <c r="HM29" s="60" t="str">
        <f t="shared" si="67"/>
        <v>Y</v>
      </c>
      <c r="HN29" s="60" t="str">
        <f t="shared" si="68"/>
        <v>Y</v>
      </c>
      <c r="HO29" s="62"/>
      <c r="HP29" s="63"/>
    </row>
    <row r="30" spans="1:224" ht="30" customHeight="1">
      <c r="A30" s="46" t="s">
        <v>176</v>
      </c>
      <c r="B30" s="52">
        <v>2022</v>
      </c>
      <c r="C30" s="52">
        <v>448</v>
      </c>
      <c r="D30" s="52">
        <v>448</v>
      </c>
      <c r="E30" s="56">
        <v>463</v>
      </c>
      <c r="F30" s="52">
        <v>463</v>
      </c>
      <c r="G30" s="52" t="s">
        <v>66</v>
      </c>
      <c r="H30" s="52" t="s">
        <v>66</v>
      </c>
      <c r="I30" s="52" t="s">
        <v>66</v>
      </c>
      <c r="J30" s="52" t="s">
        <v>66</v>
      </c>
      <c r="K30" s="52" t="s">
        <v>168</v>
      </c>
      <c r="L30" s="56" t="s">
        <v>168</v>
      </c>
      <c r="M30" s="56" t="s">
        <v>66</v>
      </c>
      <c r="N30" s="56" t="s">
        <v>66</v>
      </c>
      <c r="O30" s="56" t="s">
        <v>66</v>
      </c>
      <c r="P30" s="56" t="s">
        <v>66</v>
      </c>
      <c r="Q30" s="56" t="s">
        <v>66</v>
      </c>
      <c r="R30" s="56" t="s">
        <v>66</v>
      </c>
      <c r="S30" s="56" t="s">
        <v>66</v>
      </c>
      <c r="T30" s="56" t="s">
        <v>66</v>
      </c>
      <c r="U30" s="52">
        <v>0</v>
      </c>
      <c r="V30" s="52">
        <v>0</v>
      </c>
      <c r="W30" s="52">
        <v>911</v>
      </c>
      <c r="X30" s="52">
        <v>911</v>
      </c>
      <c r="Y30" s="52">
        <v>0</v>
      </c>
      <c r="Z30" s="52">
        <v>0</v>
      </c>
      <c r="AA30" s="52">
        <v>0</v>
      </c>
      <c r="AB30" s="52">
        <v>0</v>
      </c>
      <c r="AC30" s="56" t="s">
        <v>88</v>
      </c>
      <c r="AD30" s="56" t="s">
        <v>125</v>
      </c>
      <c r="AE30" s="52" t="s">
        <v>125</v>
      </c>
      <c r="AF30" s="52" t="s">
        <v>126</v>
      </c>
      <c r="AG30" s="52" t="s">
        <v>92</v>
      </c>
      <c r="AH30" s="52" t="s">
        <v>92</v>
      </c>
      <c r="AI30" s="52" t="s">
        <v>91</v>
      </c>
      <c r="AJ30" s="52" t="s">
        <v>91</v>
      </c>
      <c r="AK30" s="52" t="s">
        <v>91</v>
      </c>
      <c r="AL30" s="52" t="s">
        <v>91</v>
      </c>
      <c r="AM30" s="52" t="s">
        <v>66</v>
      </c>
      <c r="AN30" s="52" t="s">
        <v>66</v>
      </c>
      <c r="AO30" s="52" t="s">
        <v>66</v>
      </c>
      <c r="AP30" s="52" t="s">
        <v>66</v>
      </c>
      <c r="AQ30" s="52" t="s">
        <v>66</v>
      </c>
      <c r="AR30" s="52" t="s">
        <v>66</v>
      </c>
      <c r="AS30" s="56" t="s">
        <v>66</v>
      </c>
      <c r="AT30" s="56" t="s">
        <v>66</v>
      </c>
      <c r="AU30" s="56" t="s">
        <v>66</v>
      </c>
      <c r="AV30" s="56" t="s">
        <v>66</v>
      </c>
      <c r="AW30" s="56" t="s">
        <v>66</v>
      </c>
      <c r="AX30" s="56" t="s">
        <v>66</v>
      </c>
      <c r="AY30" s="52">
        <v>911</v>
      </c>
      <c r="AZ30" s="52">
        <v>911</v>
      </c>
      <c r="BA30" s="52">
        <v>2</v>
      </c>
      <c r="BB30" s="52">
        <v>2</v>
      </c>
      <c r="BC30" s="47">
        <f t="shared" si="81"/>
        <v>3</v>
      </c>
      <c r="BD30" s="52">
        <v>3</v>
      </c>
      <c r="BE30" s="52">
        <v>0</v>
      </c>
      <c r="BF30" s="52">
        <v>0</v>
      </c>
      <c r="BG30" s="52" t="s">
        <v>106</v>
      </c>
      <c r="BH30" s="52" t="s">
        <v>106</v>
      </c>
      <c r="BI30" s="52">
        <v>3</v>
      </c>
      <c r="BJ30" s="52">
        <v>3</v>
      </c>
      <c r="BK30" s="52" t="s">
        <v>94</v>
      </c>
      <c r="BL30" s="52" t="s">
        <v>94</v>
      </c>
      <c r="BM30" s="52">
        <v>3</v>
      </c>
      <c r="BN30" s="52">
        <v>3</v>
      </c>
      <c r="BO30" s="52" t="s">
        <v>94</v>
      </c>
      <c r="BP30" s="52" t="s">
        <v>94</v>
      </c>
      <c r="BQ30" s="52" t="s">
        <v>94</v>
      </c>
      <c r="BR30" s="52" t="s">
        <v>94</v>
      </c>
      <c r="BS30" s="52" t="s">
        <v>94</v>
      </c>
      <c r="BT30" s="52" t="s">
        <v>94</v>
      </c>
      <c r="BU30" s="52" t="s">
        <v>94</v>
      </c>
      <c r="BV30" s="52" t="s">
        <v>94</v>
      </c>
      <c r="BW30" s="52" t="s">
        <v>94</v>
      </c>
      <c r="BX30" s="52" t="s">
        <v>94</v>
      </c>
      <c r="BY30" s="52" t="s">
        <v>94</v>
      </c>
      <c r="BZ30" s="52" t="s">
        <v>94</v>
      </c>
      <c r="CA30" s="52" t="s">
        <v>94</v>
      </c>
      <c r="CB30" s="52" t="s">
        <v>94</v>
      </c>
      <c r="CC30" s="52" t="s">
        <v>94</v>
      </c>
      <c r="CD30" s="52" t="s">
        <v>94</v>
      </c>
      <c r="CE30" s="52" t="s">
        <v>94</v>
      </c>
      <c r="CF30" s="52" t="s">
        <v>94</v>
      </c>
      <c r="CG30" s="52" t="s">
        <v>94</v>
      </c>
      <c r="CH30" s="52" t="s">
        <v>94</v>
      </c>
      <c r="CI30" s="52" t="s">
        <v>94</v>
      </c>
      <c r="CJ30" s="52" t="s">
        <v>94</v>
      </c>
      <c r="CK30" s="52" t="s">
        <v>94</v>
      </c>
      <c r="CL30" s="52" t="s">
        <v>94</v>
      </c>
      <c r="CM30" s="52" t="s">
        <v>94</v>
      </c>
      <c r="CN30" s="52" t="s">
        <v>94</v>
      </c>
      <c r="CO30" s="52" t="s">
        <v>94</v>
      </c>
      <c r="CP30" s="52" t="s">
        <v>94</v>
      </c>
      <c r="CQ30" s="52" t="s">
        <v>94</v>
      </c>
      <c r="CR30" s="52" t="s">
        <v>94</v>
      </c>
      <c r="CS30" s="52" t="s">
        <v>94</v>
      </c>
      <c r="CT30" s="52" t="s">
        <v>94</v>
      </c>
      <c r="CU30" s="52" t="s">
        <v>95</v>
      </c>
      <c r="CV30" s="52" t="s">
        <v>95</v>
      </c>
      <c r="CW30" s="52" t="s">
        <v>95</v>
      </c>
      <c r="CX30" s="52" t="s">
        <v>95</v>
      </c>
      <c r="CY30" s="52" t="s">
        <v>95</v>
      </c>
      <c r="CZ30" s="52" t="s">
        <v>95</v>
      </c>
      <c r="DA30" s="52" t="s">
        <v>66</v>
      </c>
      <c r="DB30" s="52" t="s">
        <v>66</v>
      </c>
      <c r="DC30" s="52" t="s">
        <v>66</v>
      </c>
      <c r="DD30" s="52" t="s">
        <v>66</v>
      </c>
      <c r="DE30" s="52" t="s">
        <v>96</v>
      </c>
      <c r="DF30" s="52" t="s">
        <v>96</v>
      </c>
      <c r="DG30" s="52" t="s">
        <v>66</v>
      </c>
      <c r="DH30" s="52" t="s">
        <v>66</v>
      </c>
      <c r="DI30" s="52" t="s">
        <v>96</v>
      </c>
      <c r="DJ30" s="52" t="s">
        <v>96</v>
      </c>
      <c r="DK30" s="52" t="s">
        <v>66</v>
      </c>
      <c r="DL30" s="52" t="s">
        <v>66</v>
      </c>
      <c r="DM30" s="52" t="s">
        <v>66</v>
      </c>
      <c r="DN30" s="52" t="s">
        <v>66</v>
      </c>
      <c r="DO30" s="52" t="s">
        <v>66</v>
      </c>
      <c r="DP30" s="52" t="s">
        <v>66</v>
      </c>
      <c r="DQ30" s="52" t="s">
        <v>66</v>
      </c>
      <c r="DR30" s="56" t="s">
        <v>66</v>
      </c>
      <c r="DS30" s="52" t="s">
        <v>66</v>
      </c>
      <c r="DT30" s="52" t="s">
        <v>66</v>
      </c>
      <c r="DU30" s="52" t="s">
        <v>66</v>
      </c>
      <c r="DV30" s="52" t="s">
        <v>66</v>
      </c>
      <c r="DW30" s="52" t="s">
        <v>97</v>
      </c>
      <c r="DX30" s="52" t="s">
        <v>97</v>
      </c>
      <c r="DY30" s="52" t="s">
        <v>66</v>
      </c>
      <c r="DZ30" s="52" t="s">
        <v>66</v>
      </c>
      <c r="EA30" s="52" t="s">
        <v>102</v>
      </c>
      <c r="EB30" s="52" t="s">
        <v>102</v>
      </c>
      <c r="EC30" s="52">
        <v>1</v>
      </c>
      <c r="ED30" s="52">
        <v>1</v>
      </c>
      <c r="EE30" s="52">
        <v>0</v>
      </c>
      <c r="EF30" s="52">
        <v>0</v>
      </c>
      <c r="EG30" s="52">
        <v>1</v>
      </c>
      <c r="EH30" s="52">
        <v>1</v>
      </c>
      <c r="EI30" s="52">
        <v>1</v>
      </c>
      <c r="EJ30" s="52">
        <v>1</v>
      </c>
      <c r="EK30" s="52">
        <v>1</v>
      </c>
      <c r="EL30" s="52">
        <v>1</v>
      </c>
      <c r="EM30" s="52">
        <v>1</v>
      </c>
      <c r="EN30" s="52">
        <v>1</v>
      </c>
      <c r="EO30" s="52">
        <v>1</v>
      </c>
      <c r="EP30" s="52">
        <v>1</v>
      </c>
      <c r="EQ30" s="52">
        <v>1</v>
      </c>
      <c r="ER30" s="52">
        <v>1</v>
      </c>
      <c r="ES30" s="52">
        <v>1</v>
      </c>
      <c r="ET30" s="52">
        <v>1</v>
      </c>
      <c r="EU30" s="52">
        <v>1</v>
      </c>
      <c r="EV30" s="52">
        <v>1</v>
      </c>
      <c r="EW30" s="47">
        <f t="shared" ref="EW30:EX30" si="126">SUM(EC30,EE30,EG30,EI30,EK30,EM30,EO30,EQ30,ES30,EU30)</f>
        <v>9</v>
      </c>
      <c r="EX30" s="47">
        <f t="shared" si="126"/>
        <v>9</v>
      </c>
      <c r="EY30" s="59" t="str">
        <f t="shared" ref="EY30:EZ30" si="127">A30</f>
        <v>Spies</v>
      </c>
      <c r="EZ30" s="59">
        <f t="shared" si="127"/>
        <v>2022</v>
      </c>
      <c r="FA30" s="60" t="str">
        <f t="shared" si="3"/>
        <v>Y</v>
      </c>
      <c r="FB30" s="60" t="str">
        <f t="shared" si="4"/>
        <v>Y</v>
      </c>
      <c r="FC30" s="60" t="str">
        <f t="shared" si="5"/>
        <v>Y</v>
      </c>
      <c r="FD30" s="60" t="str">
        <f t="shared" si="6"/>
        <v>Y</v>
      </c>
      <c r="FE30" s="60" t="str">
        <f t="shared" si="7"/>
        <v>Y</v>
      </c>
      <c r="FF30" s="60" t="str">
        <f t="shared" si="88"/>
        <v>Y</v>
      </c>
      <c r="FG30" s="60" t="str">
        <f t="shared" si="9"/>
        <v>Y</v>
      </c>
      <c r="FH30" s="60" t="str">
        <f t="shared" si="10"/>
        <v>Y</v>
      </c>
      <c r="FI30" s="60" t="str">
        <f t="shared" si="11"/>
        <v>Y</v>
      </c>
      <c r="FJ30" s="60" t="str">
        <f t="shared" si="12"/>
        <v>Y</v>
      </c>
      <c r="FK30" s="60" t="str">
        <f t="shared" si="13"/>
        <v>Y</v>
      </c>
      <c r="FL30" s="60" t="str">
        <f t="shared" si="14"/>
        <v>Y</v>
      </c>
      <c r="FM30" s="60" t="str">
        <f t="shared" si="15"/>
        <v>Y</v>
      </c>
      <c r="FN30" s="60" t="str">
        <f t="shared" si="16"/>
        <v>Y</v>
      </c>
      <c r="FO30" s="60" t="str">
        <f t="shared" si="17"/>
        <v>Y</v>
      </c>
      <c r="FP30" s="60" t="str">
        <f t="shared" si="18"/>
        <v>Y</v>
      </c>
      <c r="FQ30" s="60" t="str">
        <f t="shared" si="19"/>
        <v>Y</v>
      </c>
      <c r="FR30" s="60" t="str">
        <f t="shared" si="20"/>
        <v>Y</v>
      </c>
      <c r="FS30" s="60" t="str">
        <f t="shared" si="21"/>
        <v>Y</v>
      </c>
      <c r="FT30" s="60" t="str">
        <f t="shared" si="22"/>
        <v>Y</v>
      </c>
      <c r="FU30" s="60" t="str">
        <f t="shared" si="23"/>
        <v>Y</v>
      </c>
      <c r="FV30" s="60" t="str">
        <f t="shared" si="24"/>
        <v>Y</v>
      </c>
      <c r="FW30" s="60" t="str">
        <f t="shared" si="25"/>
        <v>Y</v>
      </c>
      <c r="FX30" s="60" t="str">
        <f t="shared" si="26"/>
        <v>Y</v>
      </c>
      <c r="FY30" s="60" t="str">
        <f t="shared" si="27"/>
        <v>Y</v>
      </c>
      <c r="FZ30" s="60" t="str">
        <f t="shared" si="28"/>
        <v>Y</v>
      </c>
      <c r="GA30" s="60" t="str">
        <f t="shared" si="29"/>
        <v>Y</v>
      </c>
      <c r="GB30" s="60" t="str">
        <f t="shared" si="30"/>
        <v>Y</v>
      </c>
      <c r="GC30" s="60" t="str">
        <f t="shared" si="31"/>
        <v>Y</v>
      </c>
      <c r="GD30" s="60" t="str">
        <f t="shared" si="32"/>
        <v>Y</v>
      </c>
      <c r="GE30" s="60" t="str">
        <f t="shared" si="33"/>
        <v>Y</v>
      </c>
      <c r="GF30" s="60" t="str">
        <f t="shared" si="34"/>
        <v>Y</v>
      </c>
      <c r="GG30" s="60" t="str">
        <f t="shared" si="35"/>
        <v>Y</v>
      </c>
      <c r="GH30" s="60" t="str">
        <f t="shared" si="36"/>
        <v>Y</v>
      </c>
      <c r="GI30" s="60" t="str">
        <f t="shared" si="37"/>
        <v>Y</v>
      </c>
      <c r="GJ30" s="60" t="str">
        <f t="shared" si="38"/>
        <v>Y</v>
      </c>
      <c r="GK30" s="60" t="str">
        <f t="shared" si="39"/>
        <v>Y</v>
      </c>
      <c r="GL30" s="60" t="str">
        <f t="shared" si="40"/>
        <v>Y</v>
      </c>
      <c r="GM30" s="60" t="str">
        <f t="shared" si="41"/>
        <v>Y</v>
      </c>
      <c r="GN30" s="60" t="str">
        <f t="shared" si="42"/>
        <v>Y</v>
      </c>
      <c r="GO30" s="60" t="str">
        <f t="shared" si="43"/>
        <v>Y</v>
      </c>
      <c r="GP30" s="60" t="str">
        <f t="shared" si="44"/>
        <v>Y</v>
      </c>
      <c r="GQ30" s="60" t="str">
        <f t="shared" si="45"/>
        <v>Y</v>
      </c>
      <c r="GR30" s="60" t="str">
        <f t="shared" si="46"/>
        <v>Y</v>
      </c>
      <c r="GS30" s="60" t="str">
        <f t="shared" si="47"/>
        <v>Y</v>
      </c>
      <c r="GT30" s="60" t="str">
        <f t="shared" si="48"/>
        <v>Y</v>
      </c>
      <c r="GU30" s="60" t="str">
        <f t="shared" si="49"/>
        <v>Y</v>
      </c>
      <c r="GV30" s="60" t="str">
        <f t="shared" si="50"/>
        <v>Y</v>
      </c>
      <c r="GW30" s="60" t="str">
        <f t="shared" si="51"/>
        <v>Y</v>
      </c>
      <c r="GX30" s="60" t="str">
        <f t="shared" si="52"/>
        <v>Y</v>
      </c>
      <c r="GY30" s="60" t="str">
        <f t="shared" si="53"/>
        <v>Y</v>
      </c>
      <c r="GZ30" s="60" t="str">
        <f t="shared" si="54"/>
        <v>Y</v>
      </c>
      <c r="HA30" s="60" t="str">
        <f t="shared" si="55"/>
        <v>Y</v>
      </c>
      <c r="HB30" s="60" t="str">
        <f t="shared" si="56"/>
        <v>Y</v>
      </c>
      <c r="HC30" s="60" t="str">
        <f t="shared" si="57"/>
        <v>Y</v>
      </c>
      <c r="HD30" s="60" t="str">
        <f t="shared" si="58"/>
        <v>Y</v>
      </c>
      <c r="HE30" s="60" t="str">
        <f t="shared" si="59"/>
        <v>Y</v>
      </c>
      <c r="HF30" s="60" t="str">
        <f t="shared" si="60"/>
        <v>Y</v>
      </c>
      <c r="HG30" s="60" t="str">
        <f t="shared" si="61"/>
        <v>Y</v>
      </c>
      <c r="HH30" s="60" t="str">
        <f t="shared" si="62"/>
        <v>Y</v>
      </c>
      <c r="HI30" s="60" t="str">
        <f t="shared" si="63"/>
        <v>Y</v>
      </c>
      <c r="HJ30" s="60" t="str">
        <f t="shared" si="64"/>
        <v>Y</v>
      </c>
      <c r="HK30" s="60" t="str">
        <f t="shared" si="65"/>
        <v>Y</v>
      </c>
      <c r="HL30" s="60" t="str">
        <f t="shared" si="66"/>
        <v>Y</v>
      </c>
      <c r="HM30" s="60" t="str">
        <f t="shared" si="67"/>
        <v>Y</v>
      </c>
      <c r="HN30" s="60" t="str">
        <f t="shared" si="68"/>
        <v>Y</v>
      </c>
      <c r="HO30" s="62"/>
      <c r="HP30" s="63"/>
    </row>
    <row r="31" spans="1:224" ht="30" customHeight="1">
      <c r="A31" s="52" t="s">
        <v>177</v>
      </c>
      <c r="B31" s="47">
        <v>2013</v>
      </c>
      <c r="C31" s="82">
        <v>77</v>
      </c>
      <c r="D31" s="82">
        <v>77</v>
      </c>
      <c r="E31" s="82">
        <v>44</v>
      </c>
      <c r="F31" s="82">
        <v>44</v>
      </c>
      <c r="G31" s="82" t="s">
        <v>66</v>
      </c>
      <c r="H31" s="82" t="s">
        <v>66</v>
      </c>
      <c r="I31" s="82">
        <v>21.5</v>
      </c>
      <c r="J31" s="82">
        <v>21.5</v>
      </c>
      <c r="K31" s="82">
        <v>36</v>
      </c>
      <c r="L31" s="82">
        <v>36</v>
      </c>
      <c r="M31" s="82" t="s">
        <v>66</v>
      </c>
      <c r="N31" s="82" t="s">
        <v>66</v>
      </c>
      <c r="O31" s="82" t="s">
        <v>66</v>
      </c>
      <c r="P31" s="82" t="s">
        <v>66</v>
      </c>
      <c r="Q31" s="82" t="s">
        <v>66</v>
      </c>
      <c r="R31" s="82" t="s">
        <v>66</v>
      </c>
      <c r="S31" s="82" t="s">
        <v>66</v>
      </c>
      <c r="T31" s="82" t="s">
        <v>66</v>
      </c>
      <c r="U31" s="82">
        <v>0</v>
      </c>
      <c r="V31" s="82">
        <v>0</v>
      </c>
      <c r="W31" s="82">
        <v>121</v>
      </c>
      <c r="X31" s="82">
        <v>121</v>
      </c>
      <c r="Y31" s="82">
        <v>0</v>
      </c>
      <c r="Z31" s="82">
        <v>0</v>
      </c>
      <c r="AA31" s="82">
        <v>0</v>
      </c>
      <c r="AB31" s="82">
        <v>0</v>
      </c>
      <c r="AC31" s="56" t="s">
        <v>88</v>
      </c>
      <c r="AD31" s="82" t="s">
        <v>99</v>
      </c>
      <c r="AE31" s="82" t="s">
        <v>99</v>
      </c>
      <c r="AF31" s="83" t="s">
        <v>100</v>
      </c>
      <c r="AG31" s="82" t="s">
        <v>91</v>
      </c>
      <c r="AH31" s="82" t="s">
        <v>91</v>
      </c>
      <c r="AI31" s="82" t="s">
        <v>92</v>
      </c>
      <c r="AJ31" s="82" t="s">
        <v>92</v>
      </c>
      <c r="AK31" s="82" t="s">
        <v>91</v>
      </c>
      <c r="AL31" s="82" t="s">
        <v>91</v>
      </c>
      <c r="AM31" s="82" t="s">
        <v>66</v>
      </c>
      <c r="AN31" s="82" t="s">
        <v>66</v>
      </c>
      <c r="AO31" s="82" t="s">
        <v>66</v>
      </c>
      <c r="AP31" s="82" t="s">
        <v>66</v>
      </c>
      <c r="AQ31" s="82" t="s">
        <v>66</v>
      </c>
      <c r="AR31" s="82" t="s">
        <v>66</v>
      </c>
      <c r="AS31" s="48" t="s">
        <v>66</v>
      </c>
      <c r="AT31" s="49" t="s">
        <v>66</v>
      </c>
      <c r="AU31" s="48" t="s">
        <v>66</v>
      </c>
      <c r="AV31" s="49" t="s">
        <v>66</v>
      </c>
      <c r="AW31" s="48" t="s">
        <v>66</v>
      </c>
      <c r="AX31" s="49" t="s">
        <v>66</v>
      </c>
      <c r="AY31" s="82">
        <v>121</v>
      </c>
      <c r="AZ31" s="82">
        <v>121</v>
      </c>
      <c r="BA31" s="82">
        <v>2</v>
      </c>
      <c r="BB31" s="82">
        <v>2</v>
      </c>
      <c r="BC31" s="47">
        <f t="shared" si="81"/>
        <v>2</v>
      </c>
      <c r="BD31" s="82">
        <v>2</v>
      </c>
      <c r="BE31" s="82">
        <v>0</v>
      </c>
      <c r="BF31" s="82">
        <v>0</v>
      </c>
      <c r="BG31" s="82" t="s">
        <v>106</v>
      </c>
      <c r="BH31" s="82" t="s">
        <v>106</v>
      </c>
      <c r="BI31" s="83">
        <v>2</v>
      </c>
      <c r="BJ31" s="83">
        <v>2</v>
      </c>
      <c r="BK31" s="82" t="s">
        <v>94</v>
      </c>
      <c r="BL31" s="82" t="s">
        <v>94</v>
      </c>
      <c r="BM31" s="84">
        <v>2</v>
      </c>
      <c r="BN31" s="83">
        <v>2</v>
      </c>
      <c r="BO31" s="48" t="s">
        <v>94</v>
      </c>
      <c r="BP31" s="83" t="s">
        <v>94</v>
      </c>
      <c r="BQ31" s="48" t="s">
        <v>94</v>
      </c>
      <c r="BR31" s="82" t="s">
        <v>94</v>
      </c>
      <c r="BS31" s="48" t="s">
        <v>94</v>
      </c>
      <c r="BT31" s="83" t="s">
        <v>94</v>
      </c>
      <c r="BU31" s="48" t="s">
        <v>94</v>
      </c>
      <c r="BV31" s="83" t="s">
        <v>94</v>
      </c>
      <c r="BW31" s="48" t="s">
        <v>94</v>
      </c>
      <c r="BX31" s="83" t="s">
        <v>94</v>
      </c>
      <c r="BY31" s="48" t="s">
        <v>94</v>
      </c>
      <c r="BZ31" s="83" t="s">
        <v>94</v>
      </c>
      <c r="CA31" s="48" t="s">
        <v>94</v>
      </c>
      <c r="CB31" s="83" t="s">
        <v>94</v>
      </c>
      <c r="CC31" s="48" t="s">
        <v>94</v>
      </c>
      <c r="CD31" s="83" t="s">
        <v>94</v>
      </c>
      <c r="CE31" s="48" t="s">
        <v>94</v>
      </c>
      <c r="CF31" s="83" t="s">
        <v>94</v>
      </c>
      <c r="CG31" s="48" t="s">
        <v>94</v>
      </c>
      <c r="CH31" s="83" t="s">
        <v>94</v>
      </c>
      <c r="CI31" s="48" t="s">
        <v>94</v>
      </c>
      <c r="CJ31" s="83" t="s">
        <v>94</v>
      </c>
      <c r="CK31" s="48" t="s">
        <v>94</v>
      </c>
      <c r="CL31" s="83" t="s">
        <v>94</v>
      </c>
      <c r="CM31" s="48" t="s">
        <v>94</v>
      </c>
      <c r="CN31" s="83" t="s">
        <v>94</v>
      </c>
      <c r="CO31" s="48" t="s">
        <v>94</v>
      </c>
      <c r="CP31" s="83" t="s">
        <v>94</v>
      </c>
      <c r="CQ31" s="48" t="s">
        <v>94</v>
      </c>
      <c r="CR31" s="83" t="s">
        <v>94</v>
      </c>
      <c r="CS31" s="48" t="s">
        <v>94</v>
      </c>
      <c r="CT31" s="82" t="s">
        <v>94</v>
      </c>
      <c r="CU31" s="82" t="s">
        <v>173</v>
      </c>
      <c r="CV31" s="82" t="s">
        <v>173</v>
      </c>
      <c r="CW31" s="82" t="s">
        <v>66</v>
      </c>
      <c r="CX31" s="82" t="s">
        <v>66</v>
      </c>
      <c r="CY31" s="82" t="s">
        <v>66</v>
      </c>
      <c r="CZ31" s="82" t="s">
        <v>66</v>
      </c>
      <c r="DA31" s="82" t="s">
        <v>96</v>
      </c>
      <c r="DB31" s="82" t="s">
        <v>96</v>
      </c>
      <c r="DC31" s="82" t="s">
        <v>95</v>
      </c>
      <c r="DD31" s="82" t="s">
        <v>95</v>
      </c>
      <c r="DE31" s="82" t="s">
        <v>96</v>
      </c>
      <c r="DF31" s="82" t="s">
        <v>96</v>
      </c>
      <c r="DG31" s="82" t="s">
        <v>96</v>
      </c>
      <c r="DH31" s="82" t="s">
        <v>96</v>
      </c>
      <c r="DI31" s="82" t="s">
        <v>96</v>
      </c>
      <c r="DJ31" s="82" t="s">
        <v>96</v>
      </c>
      <c r="DK31" s="82" t="s">
        <v>92</v>
      </c>
      <c r="DL31" s="82" t="s">
        <v>92</v>
      </c>
      <c r="DM31" s="82" t="s">
        <v>96</v>
      </c>
      <c r="DN31" s="82" t="s">
        <v>96</v>
      </c>
      <c r="DO31" s="82" t="s">
        <v>66</v>
      </c>
      <c r="DP31" s="82" t="s">
        <v>66</v>
      </c>
      <c r="DQ31" s="82" t="s">
        <v>66</v>
      </c>
      <c r="DR31" s="82" t="s">
        <v>66</v>
      </c>
      <c r="DS31" s="82" t="s">
        <v>66</v>
      </c>
      <c r="DT31" s="82" t="s">
        <v>66</v>
      </c>
      <c r="DU31" s="82" t="s">
        <v>66</v>
      </c>
      <c r="DV31" s="82" t="s">
        <v>66</v>
      </c>
      <c r="DW31" s="85" t="s">
        <v>97</v>
      </c>
      <c r="DX31" s="82" t="s">
        <v>97</v>
      </c>
      <c r="DY31" s="82" t="s">
        <v>66</v>
      </c>
      <c r="DZ31" s="82" t="s">
        <v>66</v>
      </c>
      <c r="EA31" s="82" t="s">
        <v>108</v>
      </c>
      <c r="EB31" s="82" t="s">
        <v>108</v>
      </c>
      <c r="EC31" s="82">
        <v>1</v>
      </c>
      <c r="ED31" s="82">
        <v>1</v>
      </c>
      <c r="EE31" s="82">
        <v>1</v>
      </c>
      <c r="EF31" s="82">
        <v>1</v>
      </c>
      <c r="EG31" s="82">
        <v>1</v>
      </c>
      <c r="EH31" s="82">
        <v>1</v>
      </c>
      <c r="EI31" s="82">
        <v>1</v>
      </c>
      <c r="EJ31" s="82">
        <v>1</v>
      </c>
      <c r="EK31" s="82">
        <v>1</v>
      </c>
      <c r="EL31" s="82">
        <v>1</v>
      </c>
      <c r="EM31" s="82">
        <v>0</v>
      </c>
      <c r="EN31" s="82">
        <v>0</v>
      </c>
      <c r="EO31" s="83">
        <v>1</v>
      </c>
      <c r="EP31" s="83">
        <v>1</v>
      </c>
      <c r="EQ31" s="82">
        <v>1</v>
      </c>
      <c r="ER31" s="82">
        <v>1</v>
      </c>
      <c r="ES31" s="82">
        <v>1</v>
      </c>
      <c r="ET31" s="82">
        <v>1</v>
      </c>
      <c r="EU31" s="82">
        <v>1</v>
      </c>
      <c r="EV31" s="82">
        <v>1</v>
      </c>
      <c r="EW31" s="47">
        <f t="shared" ref="EW31:EX31" si="128">SUM(EC31,EE31,EG31,EI31,EK31,EM31,EO31,EQ31,ES31,EU31)</f>
        <v>9</v>
      </c>
      <c r="EX31" s="47">
        <f t="shared" si="128"/>
        <v>9</v>
      </c>
      <c r="EY31" s="53" t="str">
        <f t="shared" ref="EY31:EZ31" si="129">A31</f>
        <v>Steiner</v>
      </c>
      <c r="EZ31" s="54">
        <f t="shared" si="129"/>
        <v>2013</v>
      </c>
      <c r="FA31" s="23" t="str">
        <f t="shared" si="3"/>
        <v>Y</v>
      </c>
      <c r="FB31" s="23" t="str">
        <f t="shared" si="4"/>
        <v>Y</v>
      </c>
      <c r="FC31" s="23" t="str">
        <f t="shared" si="5"/>
        <v>Y</v>
      </c>
      <c r="FD31" s="23" t="str">
        <f t="shared" si="6"/>
        <v>Y</v>
      </c>
      <c r="FE31" s="23" t="str">
        <f t="shared" si="7"/>
        <v>Y</v>
      </c>
      <c r="FF31" s="23" t="str">
        <f t="shared" si="88"/>
        <v>Y</v>
      </c>
      <c r="FG31" s="23" t="str">
        <f t="shared" si="9"/>
        <v>Y</v>
      </c>
      <c r="FH31" s="23" t="str">
        <f t="shared" si="10"/>
        <v>Y</v>
      </c>
      <c r="FI31" s="23" t="str">
        <f t="shared" si="11"/>
        <v>Y</v>
      </c>
      <c r="FJ31" s="23" t="str">
        <f t="shared" si="12"/>
        <v>Y</v>
      </c>
      <c r="FK31" s="23" t="str">
        <f t="shared" si="13"/>
        <v>Y</v>
      </c>
      <c r="FL31" s="23" t="str">
        <f t="shared" si="14"/>
        <v>Y</v>
      </c>
      <c r="FM31" s="23" t="str">
        <f t="shared" si="15"/>
        <v>Y</v>
      </c>
      <c r="FN31" s="23" t="str">
        <f t="shared" si="16"/>
        <v>Y</v>
      </c>
      <c r="FO31" s="23" t="str">
        <f t="shared" si="17"/>
        <v>Y</v>
      </c>
      <c r="FP31" s="23" t="str">
        <f t="shared" si="18"/>
        <v>Y</v>
      </c>
      <c r="FQ31" s="23" t="str">
        <f t="shared" si="19"/>
        <v>Y</v>
      </c>
      <c r="FR31" s="23" t="str">
        <f t="shared" si="20"/>
        <v>Y</v>
      </c>
      <c r="FS31" s="23" t="str">
        <f t="shared" si="21"/>
        <v>Y</v>
      </c>
      <c r="FT31" s="23" t="str">
        <f t="shared" si="22"/>
        <v>Y</v>
      </c>
      <c r="FU31" s="23" t="str">
        <f t="shared" si="23"/>
        <v>Y</v>
      </c>
      <c r="FV31" s="23" t="str">
        <f t="shared" si="24"/>
        <v>Y</v>
      </c>
      <c r="FW31" s="23" t="str">
        <f t="shared" si="25"/>
        <v>Y</v>
      </c>
      <c r="FX31" s="23" t="str">
        <f t="shared" si="26"/>
        <v>Y</v>
      </c>
      <c r="FY31" s="23" t="str">
        <f t="shared" si="27"/>
        <v>Y</v>
      </c>
      <c r="FZ31" s="23" t="str">
        <f t="shared" si="28"/>
        <v>Y</v>
      </c>
      <c r="GA31" s="23" t="str">
        <f t="shared" si="29"/>
        <v>Y</v>
      </c>
      <c r="GB31" s="23" t="str">
        <f t="shared" si="30"/>
        <v>Y</v>
      </c>
      <c r="GC31" s="23" t="str">
        <f t="shared" si="31"/>
        <v>Y</v>
      </c>
      <c r="GD31" s="23" t="str">
        <f t="shared" si="32"/>
        <v>Y</v>
      </c>
      <c r="GE31" s="23" t="str">
        <f t="shared" si="33"/>
        <v>Y</v>
      </c>
      <c r="GF31" s="23" t="str">
        <f t="shared" si="34"/>
        <v>Y</v>
      </c>
      <c r="GG31" s="23" t="str">
        <f t="shared" si="35"/>
        <v>Y</v>
      </c>
      <c r="GH31" s="23" t="str">
        <f t="shared" si="36"/>
        <v>Y</v>
      </c>
      <c r="GI31" s="23" t="str">
        <f t="shared" si="37"/>
        <v>Y</v>
      </c>
      <c r="GJ31" s="23" t="str">
        <f t="shared" si="38"/>
        <v>Y</v>
      </c>
      <c r="GK31" s="23" t="str">
        <f t="shared" si="39"/>
        <v>Y</v>
      </c>
      <c r="GL31" s="23" t="str">
        <f t="shared" si="40"/>
        <v>Y</v>
      </c>
      <c r="GM31" s="23" t="str">
        <f t="shared" si="41"/>
        <v>Y</v>
      </c>
      <c r="GN31" s="23" t="str">
        <f t="shared" si="42"/>
        <v>Y</v>
      </c>
      <c r="GO31" s="23" t="str">
        <f t="shared" si="43"/>
        <v>Y</v>
      </c>
      <c r="GP31" s="23" t="str">
        <f t="shared" si="44"/>
        <v>Y</v>
      </c>
      <c r="GQ31" s="23" t="str">
        <f t="shared" si="45"/>
        <v>Y</v>
      </c>
      <c r="GR31" s="23" t="str">
        <f t="shared" si="46"/>
        <v>Y</v>
      </c>
      <c r="GS31" s="23" t="str">
        <f t="shared" si="47"/>
        <v>Y</v>
      </c>
      <c r="GT31" s="23" t="str">
        <f t="shared" si="48"/>
        <v>Y</v>
      </c>
      <c r="GU31" s="23" t="str">
        <f t="shared" si="49"/>
        <v>Y</v>
      </c>
      <c r="GV31" s="23" t="str">
        <f t="shared" si="50"/>
        <v>Y</v>
      </c>
      <c r="GW31" s="23" t="str">
        <f t="shared" si="51"/>
        <v>Y</v>
      </c>
      <c r="GX31" s="23" t="str">
        <f t="shared" si="52"/>
        <v>Y</v>
      </c>
      <c r="GY31" s="23" t="str">
        <f t="shared" si="53"/>
        <v>Y</v>
      </c>
      <c r="GZ31" s="23" t="str">
        <f t="shared" si="54"/>
        <v>Y</v>
      </c>
      <c r="HA31" s="23" t="str">
        <f t="shared" si="55"/>
        <v>Y</v>
      </c>
      <c r="HB31" s="23" t="str">
        <f t="shared" si="56"/>
        <v>Y</v>
      </c>
      <c r="HC31" s="23" t="str">
        <f t="shared" si="57"/>
        <v>Y</v>
      </c>
      <c r="HD31" s="23" t="str">
        <f t="shared" si="58"/>
        <v>Y</v>
      </c>
      <c r="HE31" s="23" t="str">
        <f t="shared" si="59"/>
        <v>Y</v>
      </c>
      <c r="HF31" s="23" t="str">
        <f t="shared" si="60"/>
        <v>Y</v>
      </c>
      <c r="HG31" s="23" t="str">
        <f t="shared" si="61"/>
        <v>Y</v>
      </c>
      <c r="HH31" s="23" t="str">
        <f t="shared" si="62"/>
        <v>Y</v>
      </c>
      <c r="HI31" s="23" t="str">
        <f t="shared" si="63"/>
        <v>Y</v>
      </c>
      <c r="HJ31" s="23" t="str">
        <f t="shared" si="64"/>
        <v>Y</v>
      </c>
      <c r="HK31" s="23" t="str">
        <f t="shared" si="65"/>
        <v>Y</v>
      </c>
      <c r="HL31" s="23" t="str">
        <f t="shared" si="66"/>
        <v>Y</v>
      </c>
      <c r="HM31" s="23" t="str">
        <f t="shared" si="67"/>
        <v>Y</v>
      </c>
      <c r="HN31" s="55" t="str">
        <f t="shared" si="68"/>
        <v>Y</v>
      </c>
      <c r="HO31" s="23"/>
      <c r="HP31" s="55"/>
    </row>
    <row r="32" spans="1:224" ht="30" customHeight="1">
      <c r="A32" s="47" t="s">
        <v>178</v>
      </c>
      <c r="B32" s="47">
        <v>2020</v>
      </c>
      <c r="C32" s="82" t="s">
        <v>66</v>
      </c>
      <c r="D32" s="82" t="s">
        <v>66</v>
      </c>
      <c r="E32" s="82" t="s">
        <v>66</v>
      </c>
      <c r="F32" s="82" t="s">
        <v>66</v>
      </c>
      <c r="G32" s="82" t="s">
        <v>66</v>
      </c>
      <c r="H32" s="82" t="s">
        <v>66</v>
      </c>
      <c r="I32" s="82" t="s">
        <v>66</v>
      </c>
      <c r="J32" s="82" t="s">
        <v>66</v>
      </c>
      <c r="K32" s="82" t="s">
        <v>66</v>
      </c>
      <c r="L32" s="82" t="s">
        <v>66</v>
      </c>
      <c r="M32" s="82" t="s">
        <v>66</v>
      </c>
      <c r="N32" s="82" t="s">
        <v>66</v>
      </c>
      <c r="O32" s="82" t="s">
        <v>66</v>
      </c>
      <c r="P32" s="82" t="s">
        <v>66</v>
      </c>
      <c r="Q32" s="82" t="s">
        <v>66</v>
      </c>
      <c r="R32" s="82" t="s">
        <v>66</v>
      </c>
      <c r="S32" s="82" t="s">
        <v>66</v>
      </c>
      <c r="T32" s="82" t="s">
        <v>66</v>
      </c>
      <c r="U32" s="82" t="s">
        <v>66</v>
      </c>
      <c r="V32" s="82" t="s">
        <v>66</v>
      </c>
      <c r="W32" s="82" t="s">
        <v>66</v>
      </c>
      <c r="X32" s="82" t="s">
        <v>66</v>
      </c>
      <c r="Y32" s="82" t="s">
        <v>66</v>
      </c>
      <c r="Z32" s="82" t="s">
        <v>66</v>
      </c>
      <c r="AA32" s="82" t="s">
        <v>66</v>
      </c>
      <c r="AB32" s="82" t="s">
        <v>66</v>
      </c>
      <c r="AC32" s="83" t="s">
        <v>143</v>
      </c>
      <c r="AD32" s="82" t="s">
        <v>138</v>
      </c>
      <c r="AE32" s="82" t="s">
        <v>138</v>
      </c>
      <c r="AF32" s="83" t="s">
        <v>100</v>
      </c>
      <c r="AG32" s="82" t="s">
        <v>91</v>
      </c>
      <c r="AH32" s="82" t="s">
        <v>91</v>
      </c>
      <c r="AI32" s="82" t="s">
        <v>92</v>
      </c>
      <c r="AJ32" s="82" t="s">
        <v>92</v>
      </c>
      <c r="AK32" s="82" t="s">
        <v>91</v>
      </c>
      <c r="AL32" s="82" t="s">
        <v>91</v>
      </c>
      <c r="AM32" s="82" t="s">
        <v>66</v>
      </c>
      <c r="AN32" s="82" t="s">
        <v>66</v>
      </c>
      <c r="AO32" s="82" t="s">
        <v>66</v>
      </c>
      <c r="AP32" s="82" t="s">
        <v>66</v>
      </c>
      <c r="AQ32" s="82" t="s">
        <v>66</v>
      </c>
      <c r="AR32" s="82" t="s">
        <v>66</v>
      </c>
      <c r="AS32" s="48" t="s">
        <v>66</v>
      </c>
      <c r="AT32" s="49" t="s">
        <v>66</v>
      </c>
      <c r="AU32" s="48" t="s">
        <v>66</v>
      </c>
      <c r="AV32" s="49" t="s">
        <v>66</v>
      </c>
      <c r="AW32" s="48" t="s">
        <v>66</v>
      </c>
      <c r="AX32" s="49" t="s">
        <v>66</v>
      </c>
      <c r="AY32" s="82">
        <v>313</v>
      </c>
      <c r="AZ32" s="82">
        <v>313</v>
      </c>
      <c r="BA32" s="82">
        <v>67</v>
      </c>
      <c r="BB32" s="82">
        <v>67</v>
      </c>
      <c r="BC32" s="47">
        <f t="shared" si="81"/>
        <v>67</v>
      </c>
      <c r="BD32" s="82">
        <v>67</v>
      </c>
      <c r="BE32" s="82">
        <v>0</v>
      </c>
      <c r="BF32" s="82">
        <v>0</v>
      </c>
      <c r="BG32" s="82" t="s">
        <v>93</v>
      </c>
      <c r="BH32" s="82" t="s">
        <v>93</v>
      </c>
      <c r="BI32" s="83">
        <v>59</v>
      </c>
      <c r="BJ32" s="83">
        <v>59</v>
      </c>
      <c r="BK32" s="82">
        <v>8</v>
      </c>
      <c r="BL32" s="82">
        <v>8</v>
      </c>
      <c r="BM32" s="86" t="s">
        <v>94</v>
      </c>
      <c r="BN32" s="83" t="s">
        <v>94</v>
      </c>
      <c r="BO32" s="48" t="s">
        <v>94</v>
      </c>
      <c r="BP32" s="83" t="s">
        <v>94</v>
      </c>
      <c r="BQ32" s="84">
        <v>8</v>
      </c>
      <c r="BR32" s="82">
        <v>8</v>
      </c>
      <c r="BS32" s="86" t="s">
        <v>94</v>
      </c>
      <c r="BT32" s="83" t="s">
        <v>94</v>
      </c>
      <c r="BU32" s="48" t="s">
        <v>94</v>
      </c>
      <c r="BV32" s="83" t="s">
        <v>94</v>
      </c>
      <c r="BW32" s="48" t="s">
        <v>94</v>
      </c>
      <c r="BX32" s="83" t="s">
        <v>94</v>
      </c>
      <c r="BY32" s="48" t="s">
        <v>94</v>
      </c>
      <c r="BZ32" s="83" t="s">
        <v>94</v>
      </c>
      <c r="CA32" s="48" t="s">
        <v>94</v>
      </c>
      <c r="CB32" s="83" t="s">
        <v>94</v>
      </c>
      <c r="CC32" s="48" t="s">
        <v>94</v>
      </c>
      <c r="CD32" s="83" t="s">
        <v>94</v>
      </c>
      <c r="CE32" s="86" t="s">
        <v>94</v>
      </c>
      <c r="CF32" s="83" t="s">
        <v>94</v>
      </c>
      <c r="CG32" s="48" t="s">
        <v>94</v>
      </c>
      <c r="CH32" s="83" t="s">
        <v>94</v>
      </c>
      <c r="CI32" s="48" t="s">
        <v>94</v>
      </c>
      <c r="CJ32" s="83" t="s">
        <v>94</v>
      </c>
      <c r="CK32" s="48" t="s">
        <v>94</v>
      </c>
      <c r="CL32" s="83" t="s">
        <v>94</v>
      </c>
      <c r="CM32" s="48" t="s">
        <v>94</v>
      </c>
      <c r="CN32" s="83" t="s">
        <v>94</v>
      </c>
      <c r="CO32" s="48" t="s">
        <v>94</v>
      </c>
      <c r="CP32" s="83" t="s">
        <v>94</v>
      </c>
      <c r="CQ32" s="86" t="s">
        <v>94</v>
      </c>
      <c r="CR32" s="83" t="s">
        <v>94</v>
      </c>
      <c r="CS32" s="48">
        <v>59</v>
      </c>
      <c r="CT32" s="82">
        <v>59</v>
      </c>
      <c r="CU32" s="82" t="s">
        <v>66</v>
      </c>
      <c r="CV32" s="82" t="s">
        <v>66</v>
      </c>
      <c r="CW32" s="82" t="s">
        <v>66</v>
      </c>
      <c r="CX32" s="82" t="s">
        <v>66</v>
      </c>
      <c r="CY32" s="82" t="s">
        <v>66</v>
      </c>
      <c r="CZ32" s="82" t="s">
        <v>66</v>
      </c>
      <c r="DA32" s="82" t="s">
        <v>66</v>
      </c>
      <c r="DB32" s="82" t="s">
        <v>66</v>
      </c>
      <c r="DC32" s="82" t="s">
        <v>66</v>
      </c>
      <c r="DD32" s="82" t="s">
        <v>66</v>
      </c>
      <c r="DE32" s="82" t="s">
        <v>66</v>
      </c>
      <c r="DF32" s="82" t="s">
        <v>66</v>
      </c>
      <c r="DG32" s="82" t="s">
        <v>66</v>
      </c>
      <c r="DH32" s="82" t="s">
        <v>66</v>
      </c>
      <c r="DI32" s="82" t="s">
        <v>96</v>
      </c>
      <c r="DJ32" s="82" t="s">
        <v>96</v>
      </c>
      <c r="DK32" s="82" t="s">
        <v>92</v>
      </c>
      <c r="DL32" s="82" t="s">
        <v>92</v>
      </c>
      <c r="DM32" s="82" t="s">
        <v>66</v>
      </c>
      <c r="DN32" s="82" t="s">
        <v>66</v>
      </c>
      <c r="DO32" s="82" t="s">
        <v>66</v>
      </c>
      <c r="DP32" s="82" t="s">
        <v>66</v>
      </c>
      <c r="DQ32" s="82" t="s">
        <v>66</v>
      </c>
      <c r="DR32" s="82" t="s">
        <v>66</v>
      </c>
      <c r="DS32" s="82" t="s">
        <v>66</v>
      </c>
      <c r="DT32" s="82" t="s">
        <v>66</v>
      </c>
      <c r="DU32" s="82" t="s">
        <v>66</v>
      </c>
      <c r="DV32" s="82" t="s">
        <v>66</v>
      </c>
      <c r="DW32" s="85" t="s">
        <v>121</v>
      </c>
      <c r="DX32" s="82" t="s">
        <v>179</v>
      </c>
      <c r="DY32" s="82" t="s">
        <v>66</v>
      </c>
      <c r="DZ32" s="82" t="s">
        <v>66</v>
      </c>
      <c r="EA32" s="82" t="s">
        <v>66</v>
      </c>
      <c r="EB32" s="82" t="s">
        <v>66</v>
      </c>
      <c r="EC32" s="82">
        <v>1</v>
      </c>
      <c r="ED32" s="82">
        <v>1</v>
      </c>
      <c r="EE32" s="82">
        <v>1</v>
      </c>
      <c r="EF32" s="82">
        <v>1</v>
      </c>
      <c r="EG32" s="82">
        <v>1</v>
      </c>
      <c r="EH32" s="82">
        <v>1</v>
      </c>
      <c r="EI32" s="82">
        <v>1</v>
      </c>
      <c r="EJ32" s="82">
        <v>1</v>
      </c>
      <c r="EK32" s="82">
        <v>1</v>
      </c>
      <c r="EL32" s="82">
        <v>1</v>
      </c>
      <c r="EM32" s="82">
        <v>0</v>
      </c>
      <c r="EN32" s="82">
        <v>0</v>
      </c>
      <c r="EO32" s="83">
        <v>0</v>
      </c>
      <c r="EP32" s="83">
        <v>0</v>
      </c>
      <c r="EQ32" s="82">
        <v>1</v>
      </c>
      <c r="ER32" s="82">
        <v>1</v>
      </c>
      <c r="ES32" s="82">
        <v>1</v>
      </c>
      <c r="ET32" s="82">
        <v>1</v>
      </c>
      <c r="EU32" s="82">
        <v>0</v>
      </c>
      <c r="EV32" s="82">
        <v>0</v>
      </c>
      <c r="EW32" s="47">
        <f t="shared" ref="EW32:EX32" si="130">SUM(EC32,EE32,EG32,EI32,EK32,EM32,EO32,EQ32,ES32,EU32)</f>
        <v>7</v>
      </c>
      <c r="EX32" s="47">
        <f t="shared" si="130"/>
        <v>7</v>
      </c>
      <c r="EY32" s="64" t="str">
        <f t="shared" ref="EY32:EZ32" si="131">A32</f>
        <v>Sullivan</v>
      </c>
      <c r="EZ32" s="65">
        <f t="shared" si="131"/>
        <v>2020</v>
      </c>
      <c r="FA32" s="23" t="str">
        <f t="shared" si="3"/>
        <v>Y</v>
      </c>
      <c r="FB32" s="23" t="str">
        <f t="shared" si="4"/>
        <v>Y</v>
      </c>
      <c r="FC32" s="23" t="str">
        <f t="shared" si="5"/>
        <v>Y</v>
      </c>
      <c r="FD32" s="23" t="str">
        <f t="shared" si="6"/>
        <v>Y</v>
      </c>
      <c r="FE32" s="23" t="str">
        <f t="shared" si="7"/>
        <v>Y</v>
      </c>
      <c r="FF32" s="23" t="str">
        <f t="shared" si="88"/>
        <v>Y</v>
      </c>
      <c r="FG32" s="23" t="str">
        <f t="shared" si="9"/>
        <v>Y</v>
      </c>
      <c r="FH32" s="23" t="str">
        <f t="shared" si="10"/>
        <v>Y</v>
      </c>
      <c r="FI32" s="23" t="str">
        <f t="shared" si="11"/>
        <v>Y</v>
      </c>
      <c r="FJ32" s="23" t="str">
        <f t="shared" si="12"/>
        <v>Y</v>
      </c>
      <c r="FK32" s="23" t="str">
        <f t="shared" si="13"/>
        <v>Y</v>
      </c>
      <c r="FL32" s="23" t="str">
        <f t="shared" si="14"/>
        <v>Y</v>
      </c>
      <c r="FM32" s="23" t="str">
        <f t="shared" si="15"/>
        <v>Y</v>
      </c>
      <c r="FN32" s="23" t="str">
        <f t="shared" si="16"/>
        <v>Y</v>
      </c>
      <c r="FO32" s="23" t="str">
        <f t="shared" si="17"/>
        <v>Y</v>
      </c>
      <c r="FP32" s="23" t="str">
        <f t="shared" si="18"/>
        <v>Y</v>
      </c>
      <c r="FQ32" s="23" t="str">
        <f t="shared" si="19"/>
        <v>Y</v>
      </c>
      <c r="FR32" s="23" t="str">
        <f t="shared" si="20"/>
        <v>Y</v>
      </c>
      <c r="FS32" s="23" t="str">
        <f t="shared" si="21"/>
        <v>Y</v>
      </c>
      <c r="FT32" s="23" t="str">
        <f t="shared" si="22"/>
        <v>Y</v>
      </c>
      <c r="FU32" s="23" t="str">
        <f t="shared" si="23"/>
        <v>Y</v>
      </c>
      <c r="FV32" s="23" t="str">
        <f t="shared" si="24"/>
        <v>Y</v>
      </c>
      <c r="FW32" s="23" t="str">
        <f t="shared" si="25"/>
        <v>Y</v>
      </c>
      <c r="FX32" s="23" t="str">
        <f t="shared" si="26"/>
        <v>Y</v>
      </c>
      <c r="FY32" s="23" t="str">
        <f t="shared" si="27"/>
        <v>Y</v>
      </c>
      <c r="FZ32" s="23" t="str">
        <f t="shared" si="28"/>
        <v>Y</v>
      </c>
      <c r="GA32" s="23" t="str">
        <f t="shared" si="29"/>
        <v>Y</v>
      </c>
      <c r="GB32" s="23" t="str">
        <f t="shared" si="30"/>
        <v>Y</v>
      </c>
      <c r="GC32" s="23" t="str">
        <f t="shared" si="31"/>
        <v>Y</v>
      </c>
      <c r="GD32" s="23" t="str">
        <f t="shared" si="32"/>
        <v>Y</v>
      </c>
      <c r="GE32" s="23" t="str">
        <f t="shared" si="33"/>
        <v>Y</v>
      </c>
      <c r="GF32" s="23" t="str">
        <f t="shared" si="34"/>
        <v>Y</v>
      </c>
      <c r="GG32" s="23" t="str">
        <f t="shared" si="35"/>
        <v>Y</v>
      </c>
      <c r="GH32" s="23" t="str">
        <f t="shared" si="36"/>
        <v>Y</v>
      </c>
      <c r="GI32" s="23" t="str">
        <f t="shared" si="37"/>
        <v>Y</v>
      </c>
      <c r="GJ32" s="23" t="str">
        <f t="shared" si="38"/>
        <v>Y</v>
      </c>
      <c r="GK32" s="23" t="str">
        <f t="shared" si="39"/>
        <v>Y</v>
      </c>
      <c r="GL32" s="23" t="str">
        <f t="shared" si="40"/>
        <v>Y</v>
      </c>
      <c r="GM32" s="23" t="str">
        <f t="shared" si="41"/>
        <v>Y</v>
      </c>
      <c r="GN32" s="23" t="str">
        <f t="shared" si="42"/>
        <v>Y</v>
      </c>
      <c r="GO32" s="23" t="str">
        <f t="shared" si="43"/>
        <v>Y</v>
      </c>
      <c r="GP32" s="23" t="str">
        <f t="shared" si="44"/>
        <v>Y</v>
      </c>
      <c r="GQ32" s="23" t="str">
        <f t="shared" si="45"/>
        <v>Y</v>
      </c>
      <c r="GR32" s="23" t="str">
        <f t="shared" si="46"/>
        <v>Y</v>
      </c>
      <c r="GS32" s="23" t="str">
        <f t="shared" si="47"/>
        <v>Y</v>
      </c>
      <c r="GT32" s="23" t="str">
        <f t="shared" si="48"/>
        <v>Y</v>
      </c>
      <c r="GU32" s="23" t="str">
        <f t="shared" si="49"/>
        <v>Y</v>
      </c>
      <c r="GV32" s="23" t="str">
        <f t="shared" si="50"/>
        <v>Y</v>
      </c>
      <c r="GW32" s="23" t="str">
        <f t="shared" si="51"/>
        <v>Y</v>
      </c>
      <c r="GX32" s="23" t="str">
        <f t="shared" si="52"/>
        <v>Y</v>
      </c>
      <c r="GY32" s="23" t="str">
        <f t="shared" si="53"/>
        <v>Y</v>
      </c>
      <c r="GZ32" s="23" t="str">
        <f t="shared" si="54"/>
        <v>Y</v>
      </c>
      <c r="HA32" s="23" t="str">
        <f t="shared" si="55"/>
        <v>Y</v>
      </c>
      <c r="HB32" s="23" t="str">
        <f t="shared" si="56"/>
        <v>Y</v>
      </c>
      <c r="HC32" s="23" t="str">
        <f t="shared" si="57"/>
        <v>Y</v>
      </c>
      <c r="HD32" s="23" t="str">
        <f t="shared" si="58"/>
        <v>Y</v>
      </c>
      <c r="HE32" s="23" t="str">
        <f t="shared" si="59"/>
        <v>Y</v>
      </c>
      <c r="HF32" s="23" t="str">
        <f t="shared" si="60"/>
        <v>Y</v>
      </c>
      <c r="HG32" s="23" t="str">
        <f t="shared" si="61"/>
        <v>Y</v>
      </c>
      <c r="HH32" s="23" t="str">
        <f t="shared" si="62"/>
        <v>Y</v>
      </c>
      <c r="HI32" s="23" t="str">
        <f t="shared" si="63"/>
        <v>Y</v>
      </c>
      <c r="HJ32" s="23" t="str">
        <f t="shared" si="64"/>
        <v>Y</v>
      </c>
      <c r="HK32" s="23" t="str">
        <f t="shared" si="65"/>
        <v>Y</v>
      </c>
      <c r="HL32" s="23" t="str">
        <f t="shared" si="66"/>
        <v>Y</v>
      </c>
      <c r="HM32" s="23" t="str">
        <f t="shared" si="67"/>
        <v>Y</v>
      </c>
      <c r="HN32" s="55" t="str">
        <f t="shared" si="68"/>
        <v>Y</v>
      </c>
      <c r="HO32" s="23"/>
      <c r="HP32" s="23"/>
    </row>
    <row r="33" spans="1:224" ht="30" customHeight="1">
      <c r="A33" s="46" t="s">
        <v>180</v>
      </c>
      <c r="B33" s="47">
        <v>2016</v>
      </c>
      <c r="C33" s="47">
        <v>658</v>
      </c>
      <c r="D33" s="47">
        <v>658</v>
      </c>
      <c r="E33" s="23">
        <v>296</v>
      </c>
      <c r="F33" s="47">
        <v>296</v>
      </c>
      <c r="G33" s="47">
        <v>21.3</v>
      </c>
      <c r="H33" s="47">
        <v>21.3</v>
      </c>
      <c r="I33" s="47">
        <v>20.7</v>
      </c>
      <c r="J33" s="47">
        <v>20.7</v>
      </c>
      <c r="K33" s="47">
        <v>21.3</v>
      </c>
      <c r="L33" s="23">
        <v>21.3</v>
      </c>
      <c r="M33" s="23">
        <v>59</v>
      </c>
      <c r="N33" s="23">
        <v>59</v>
      </c>
      <c r="O33" s="23">
        <v>710</v>
      </c>
      <c r="P33" s="23">
        <v>710</v>
      </c>
      <c r="Q33" s="23">
        <v>139</v>
      </c>
      <c r="R33" s="23">
        <v>139</v>
      </c>
      <c r="S33" s="23">
        <v>46</v>
      </c>
      <c r="T33" s="23">
        <v>46</v>
      </c>
      <c r="U33" s="47">
        <v>0</v>
      </c>
      <c r="V33" s="47">
        <v>0</v>
      </c>
      <c r="W33" s="47">
        <v>0</v>
      </c>
      <c r="X33" s="47">
        <v>0</v>
      </c>
      <c r="Y33" s="47">
        <v>954</v>
      </c>
      <c r="Z33" s="47">
        <v>954</v>
      </c>
      <c r="AA33" s="47">
        <v>0</v>
      </c>
      <c r="AB33" s="47">
        <v>0</v>
      </c>
      <c r="AC33" s="23" t="s">
        <v>110</v>
      </c>
      <c r="AD33" s="23" t="s">
        <v>138</v>
      </c>
      <c r="AE33" s="47" t="s">
        <v>138</v>
      </c>
      <c r="AF33" s="47" t="s">
        <v>100</v>
      </c>
      <c r="AG33" s="47" t="s">
        <v>92</v>
      </c>
      <c r="AH33" s="47" t="s">
        <v>92</v>
      </c>
      <c r="AI33" s="47" t="s">
        <v>91</v>
      </c>
      <c r="AJ33" s="47" t="s">
        <v>91</v>
      </c>
      <c r="AK33" s="47" t="s">
        <v>92</v>
      </c>
      <c r="AL33" s="47" t="s">
        <v>92</v>
      </c>
      <c r="AM33" s="47">
        <v>954</v>
      </c>
      <c r="AN33" s="47">
        <v>954</v>
      </c>
      <c r="AO33" s="47">
        <v>0</v>
      </c>
      <c r="AP33" s="47">
        <v>0</v>
      </c>
      <c r="AQ33" s="47">
        <v>0</v>
      </c>
      <c r="AR33" s="47">
        <v>0</v>
      </c>
      <c r="AS33" s="48">
        <v>316.10000000000002</v>
      </c>
      <c r="AT33" s="49" t="s">
        <v>66</v>
      </c>
      <c r="AU33" s="48">
        <v>328.3</v>
      </c>
      <c r="AV33" s="49" t="s">
        <v>66</v>
      </c>
      <c r="AW33" s="48">
        <v>154.69999999999999</v>
      </c>
      <c r="AX33" s="49">
        <v>154.69999999999999</v>
      </c>
      <c r="AY33" s="47">
        <v>954</v>
      </c>
      <c r="AZ33" s="47">
        <v>954</v>
      </c>
      <c r="BA33" s="47">
        <v>67</v>
      </c>
      <c r="BB33" s="47">
        <v>67</v>
      </c>
      <c r="BC33" s="47">
        <f t="shared" si="81"/>
        <v>67</v>
      </c>
      <c r="BD33" s="47">
        <v>67</v>
      </c>
      <c r="BE33" s="47">
        <v>0</v>
      </c>
      <c r="BF33" s="47">
        <v>0</v>
      </c>
      <c r="BG33" s="47" t="s">
        <v>106</v>
      </c>
      <c r="BH33" s="47" t="s">
        <v>106</v>
      </c>
      <c r="BI33" s="47" t="s">
        <v>94</v>
      </c>
      <c r="BJ33" s="47" t="s">
        <v>94</v>
      </c>
      <c r="BK33" s="47">
        <f t="shared" ref="BK33:BL33" si="132">SUM(BQ33,BS33)</f>
        <v>67</v>
      </c>
      <c r="BL33" s="47">
        <f t="shared" si="132"/>
        <v>67</v>
      </c>
      <c r="BM33" s="48" t="s">
        <v>94</v>
      </c>
      <c r="BN33" s="47" t="s">
        <v>94</v>
      </c>
      <c r="BO33" s="48" t="s">
        <v>94</v>
      </c>
      <c r="BP33" s="47" t="s">
        <v>94</v>
      </c>
      <c r="BQ33" s="48">
        <v>67</v>
      </c>
      <c r="BR33" s="47">
        <v>67</v>
      </c>
      <c r="BS33" s="48" t="s">
        <v>94</v>
      </c>
      <c r="BT33" s="47" t="s">
        <v>94</v>
      </c>
      <c r="BU33" s="48" t="s">
        <v>94</v>
      </c>
      <c r="BV33" s="47" t="s">
        <v>94</v>
      </c>
      <c r="BW33" s="48" t="s">
        <v>94</v>
      </c>
      <c r="BX33" s="47" t="s">
        <v>94</v>
      </c>
      <c r="BY33" s="48" t="s">
        <v>94</v>
      </c>
      <c r="BZ33" s="47" t="s">
        <v>94</v>
      </c>
      <c r="CA33" s="48" t="s">
        <v>94</v>
      </c>
      <c r="CB33" s="47" t="s">
        <v>94</v>
      </c>
      <c r="CC33" s="48" t="s">
        <v>94</v>
      </c>
      <c r="CD33" s="47" t="s">
        <v>94</v>
      </c>
      <c r="CE33" s="48" t="s">
        <v>94</v>
      </c>
      <c r="CF33" s="47" t="s">
        <v>94</v>
      </c>
      <c r="CG33" s="48" t="s">
        <v>94</v>
      </c>
      <c r="CH33" s="47" t="s">
        <v>94</v>
      </c>
      <c r="CI33" s="48" t="s">
        <v>94</v>
      </c>
      <c r="CJ33" s="47" t="s">
        <v>94</v>
      </c>
      <c r="CK33" s="48" t="s">
        <v>94</v>
      </c>
      <c r="CL33" s="47" t="s">
        <v>94</v>
      </c>
      <c r="CM33" s="48" t="s">
        <v>94</v>
      </c>
      <c r="CN33" s="47" t="s">
        <v>94</v>
      </c>
      <c r="CO33" s="48" t="s">
        <v>94</v>
      </c>
      <c r="CP33" s="47" t="s">
        <v>94</v>
      </c>
      <c r="CQ33" s="48" t="s">
        <v>94</v>
      </c>
      <c r="CR33" s="47" t="s">
        <v>94</v>
      </c>
      <c r="CS33" s="48" t="s">
        <v>94</v>
      </c>
      <c r="CT33" s="47" t="s">
        <v>94</v>
      </c>
      <c r="CU33" s="47" t="s">
        <v>66</v>
      </c>
      <c r="CV33" s="47" t="s">
        <v>66</v>
      </c>
      <c r="CW33" s="47" t="s">
        <v>66</v>
      </c>
      <c r="CX33" s="47" t="s">
        <v>66</v>
      </c>
      <c r="CY33" s="47" t="s">
        <v>66</v>
      </c>
      <c r="CZ33" s="47" t="s">
        <v>66</v>
      </c>
      <c r="DA33" s="47" t="s">
        <v>66</v>
      </c>
      <c r="DB33" s="47" t="s">
        <v>66</v>
      </c>
      <c r="DC33" s="47" t="s">
        <v>66</v>
      </c>
      <c r="DD33" s="47" t="s">
        <v>66</v>
      </c>
      <c r="DE33" s="47" t="s">
        <v>66</v>
      </c>
      <c r="DF33" s="47" t="s">
        <v>66</v>
      </c>
      <c r="DG33" s="47" t="s">
        <v>66</v>
      </c>
      <c r="DH33" s="47" t="s">
        <v>66</v>
      </c>
      <c r="DI33" s="47" t="s">
        <v>96</v>
      </c>
      <c r="DJ33" s="47" t="s">
        <v>96</v>
      </c>
      <c r="DK33" s="47" t="s">
        <v>92</v>
      </c>
      <c r="DL33" s="47" t="s">
        <v>92</v>
      </c>
      <c r="DM33" s="47" t="s">
        <v>66</v>
      </c>
      <c r="DN33" s="47" t="s">
        <v>66</v>
      </c>
      <c r="DO33" s="47" t="s">
        <v>66</v>
      </c>
      <c r="DP33" s="47" t="s">
        <v>66</v>
      </c>
      <c r="DQ33" s="47" t="s">
        <v>66</v>
      </c>
      <c r="DR33" s="23" t="s">
        <v>66</v>
      </c>
      <c r="DS33" s="47" t="s">
        <v>66</v>
      </c>
      <c r="DT33" s="47" t="s">
        <v>66</v>
      </c>
      <c r="DU33" s="47" t="s">
        <v>66</v>
      </c>
      <c r="DV33" s="47" t="s">
        <v>66</v>
      </c>
      <c r="DW33" s="47" t="s">
        <v>97</v>
      </c>
      <c r="DX33" s="47" t="s">
        <v>140</v>
      </c>
      <c r="DY33" s="47" t="s">
        <v>181</v>
      </c>
      <c r="DZ33" s="47" t="s">
        <v>182</v>
      </c>
      <c r="EA33" s="47" t="s">
        <v>102</v>
      </c>
      <c r="EB33" s="47" t="s">
        <v>102</v>
      </c>
      <c r="EC33" s="47">
        <v>1</v>
      </c>
      <c r="ED33" s="47">
        <v>1</v>
      </c>
      <c r="EE33" s="47">
        <v>1</v>
      </c>
      <c r="EF33" s="47">
        <v>1</v>
      </c>
      <c r="EG33" s="47">
        <v>1</v>
      </c>
      <c r="EH33" s="47">
        <v>1</v>
      </c>
      <c r="EI33" s="47">
        <v>1</v>
      </c>
      <c r="EJ33" s="47">
        <v>1</v>
      </c>
      <c r="EK33" s="47">
        <v>1</v>
      </c>
      <c r="EL33" s="47">
        <v>1</v>
      </c>
      <c r="EM33" s="47">
        <v>0</v>
      </c>
      <c r="EN33" s="47">
        <v>0</v>
      </c>
      <c r="EO33" s="47">
        <v>1</v>
      </c>
      <c r="EP33" s="47">
        <v>1</v>
      </c>
      <c r="EQ33" s="47">
        <v>1</v>
      </c>
      <c r="ER33" s="47">
        <v>1</v>
      </c>
      <c r="ES33" s="47">
        <v>1</v>
      </c>
      <c r="ET33" s="47">
        <v>1</v>
      </c>
      <c r="EU33" s="47">
        <v>1</v>
      </c>
      <c r="EV33" s="47">
        <v>1</v>
      </c>
      <c r="EW33" s="47">
        <f t="shared" ref="EW33:EX33" si="133">SUM(EC33,EE33,EG33,EI33,EK33,EM33,EO33,EQ33,ES33,EU33)</f>
        <v>9</v>
      </c>
      <c r="EX33" s="47">
        <f t="shared" si="133"/>
        <v>9</v>
      </c>
      <c r="EY33" s="64" t="str">
        <f t="shared" ref="EY33:EZ33" si="134">A33</f>
        <v>Thompson</v>
      </c>
      <c r="EZ33" s="65">
        <f t="shared" si="134"/>
        <v>2016</v>
      </c>
      <c r="FA33" s="23" t="str">
        <f t="shared" si="3"/>
        <v>Y</v>
      </c>
      <c r="FB33" s="23" t="str">
        <f t="shared" si="4"/>
        <v>Y</v>
      </c>
      <c r="FC33" s="23" t="str">
        <f t="shared" si="5"/>
        <v>Y</v>
      </c>
      <c r="FD33" s="23" t="str">
        <f t="shared" si="6"/>
        <v>Y</v>
      </c>
      <c r="FE33" s="23" t="str">
        <f t="shared" si="7"/>
        <v>Y</v>
      </c>
      <c r="FF33" s="23" t="str">
        <f t="shared" si="88"/>
        <v>Y</v>
      </c>
      <c r="FG33" s="23" t="str">
        <f t="shared" si="9"/>
        <v>Y</v>
      </c>
      <c r="FH33" s="23" t="str">
        <f t="shared" si="10"/>
        <v>Y</v>
      </c>
      <c r="FI33" s="23" t="str">
        <f t="shared" si="11"/>
        <v>Y</v>
      </c>
      <c r="FJ33" s="23" t="str">
        <f t="shared" si="12"/>
        <v>Y</v>
      </c>
      <c r="FK33" s="23" t="str">
        <f t="shared" si="13"/>
        <v>Y</v>
      </c>
      <c r="FL33" s="23" t="str">
        <f t="shared" si="14"/>
        <v>Y</v>
      </c>
      <c r="FM33" s="23" t="str">
        <f t="shared" si="15"/>
        <v>Y</v>
      </c>
      <c r="FN33" s="23" t="str">
        <f t="shared" si="16"/>
        <v>Y</v>
      </c>
      <c r="FO33" s="23" t="str">
        <f t="shared" si="17"/>
        <v>Y</v>
      </c>
      <c r="FP33" s="23" t="str">
        <f t="shared" si="18"/>
        <v>Y</v>
      </c>
      <c r="FQ33" s="23" t="str">
        <f t="shared" si="19"/>
        <v>Y</v>
      </c>
      <c r="FR33" s="23" t="str">
        <f t="shared" si="20"/>
        <v>Y</v>
      </c>
      <c r="FS33" s="23" t="str">
        <f t="shared" si="21"/>
        <v>Y</v>
      </c>
      <c r="FT33" s="23" t="str">
        <f t="shared" si="22"/>
        <v>Y</v>
      </c>
      <c r="FU33" s="23" t="str">
        <f t="shared" si="23"/>
        <v>Y</v>
      </c>
      <c r="FV33" s="23" t="str">
        <f t="shared" si="24"/>
        <v>Y</v>
      </c>
      <c r="FW33" s="23" t="str">
        <f t="shared" si="25"/>
        <v>Y</v>
      </c>
      <c r="FX33" s="23" t="str">
        <f t="shared" si="26"/>
        <v>Y</v>
      </c>
      <c r="FY33" s="23" t="str">
        <f t="shared" si="27"/>
        <v>Y</v>
      </c>
      <c r="FZ33" s="23" t="str">
        <f t="shared" si="28"/>
        <v>Y</v>
      </c>
      <c r="GA33" s="23" t="str">
        <f t="shared" si="29"/>
        <v>Y</v>
      </c>
      <c r="GB33" s="23" t="str">
        <f t="shared" si="30"/>
        <v>Y</v>
      </c>
      <c r="GC33" s="23" t="str">
        <f t="shared" si="31"/>
        <v>Y</v>
      </c>
      <c r="GD33" s="23" t="str">
        <f t="shared" si="32"/>
        <v>Y</v>
      </c>
      <c r="GE33" s="23" t="str">
        <f t="shared" si="33"/>
        <v>Y</v>
      </c>
      <c r="GF33" s="23" t="str">
        <f t="shared" si="34"/>
        <v>Y</v>
      </c>
      <c r="GG33" s="23" t="str">
        <f t="shared" si="35"/>
        <v>Y</v>
      </c>
      <c r="GH33" s="23" t="str">
        <f t="shared" si="36"/>
        <v>Y</v>
      </c>
      <c r="GI33" s="23" t="str">
        <f t="shared" si="37"/>
        <v>Y</v>
      </c>
      <c r="GJ33" s="23" t="str">
        <f t="shared" si="38"/>
        <v>Y</v>
      </c>
      <c r="GK33" s="23" t="str">
        <f t="shared" si="39"/>
        <v>Y</v>
      </c>
      <c r="GL33" s="23" t="str">
        <f t="shared" si="40"/>
        <v>Y</v>
      </c>
      <c r="GM33" s="23" t="str">
        <f t="shared" si="41"/>
        <v>Y</v>
      </c>
      <c r="GN33" s="23" t="str">
        <f t="shared" si="42"/>
        <v>Y</v>
      </c>
      <c r="GO33" s="23" t="str">
        <f t="shared" si="43"/>
        <v>Y</v>
      </c>
      <c r="GP33" s="23" t="str">
        <f t="shared" si="44"/>
        <v>Y</v>
      </c>
      <c r="GQ33" s="23" t="str">
        <f t="shared" si="45"/>
        <v>Y</v>
      </c>
      <c r="GR33" s="23" t="str">
        <f t="shared" si="46"/>
        <v>Y</v>
      </c>
      <c r="GS33" s="23" t="str">
        <f t="shared" si="47"/>
        <v>Y</v>
      </c>
      <c r="GT33" s="23" t="str">
        <f t="shared" si="48"/>
        <v>Y</v>
      </c>
      <c r="GU33" s="23" t="str">
        <f t="shared" si="49"/>
        <v>Y</v>
      </c>
      <c r="GV33" s="23" t="str">
        <f t="shared" si="50"/>
        <v>Y</v>
      </c>
      <c r="GW33" s="23" t="str">
        <f t="shared" si="51"/>
        <v>Y</v>
      </c>
      <c r="GX33" s="23" t="str">
        <f t="shared" si="52"/>
        <v>Y</v>
      </c>
      <c r="GY33" s="23" t="str">
        <f t="shared" si="53"/>
        <v>Y</v>
      </c>
      <c r="GZ33" s="23" t="str">
        <f t="shared" si="54"/>
        <v>Y</v>
      </c>
      <c r="HA33" s="23" t="str">
        <f t="shared" si="55"/>
        <v>Y</v>
      </c>
      <c r="HB33" s="23" t="str">
        <f t="shared" si="56"/>
        <v>Y</v>
      </c>
      <c r="HC33" s="23" t="str">
        <f t="shared" si="57"/>
        <v>Y</v>
      </c>
      <c r="HD33" s="23" t="str">
        <f t="shared" si="58"/>
        <v>Y</v>
      </c>
      <c r="HE33" s="23" t="str">
        <f t="shared" si="59"/>
        <v>Y</v>
      </c>
      <c r="HF33" s="23" t="str">
        <f t="shared" si="60"/>
        <v>Y</v>
      </c>
      <c r="HG33" s="23" t="str">
        <f t="shared" si="61"/>
        <v>Y</v>
      </c>
      <c r="HH33" s="23" t="str">
        <f t="shared" si="62"/>
        <v>Y</v>
      </c>
      <c r="HI33" s="23" t="str">
        <f t="shared" si="63"/>
        <v>Y</v>
      </c>
      <c r="HJ33" s="23" t="str">
        <f t="shared" si="64"/>
        <v>Y</v>
      </c>
      <c r="HK33" s="23" t="str">
        <f t="shared" si="65"/>
        <v>Y</v>
      </c>
      <c r="HL33" s="23" t="str">
        <f t="shared" si="66"/>
        <v>Y</v>
      </c>
      <c r="HM33" s="23" t="str">
        <f t="shared" si="67"/>
        <v>Y</v>
      </c>
      <c r="HN33" s="55" t="str">
        <f t="shared" si="68"/>
        <v>Y</v>
      </c>
      <c r="HO33" s="23"/>
      <c r="HP33" s="55"/>
    </row>
    <row r="34" spans="1:224" ht="30" customHeight="1">
      <c r="A34" s="46" t="s">
        <v>183</v>
      </c>
      <c r="B34" s="47">
        <v>2006</v>
      </c>
      <c r="C34" s="47" t="s">
        <v>66</v>
      </c>
      <c r="D34" s="47" t="s">
        <v>66</v>
      </c>
      <c r="E34" s="47" t="s">
        <v>66</v>
      </c>
      <c r="F34" s="47" t="s">
        <v>66</v>
      </c>
      <c r="G34" s="47" t="s">
        <v>66</v>
      </c>
      <c r="H34" s="47" t="s">
        <v>66</v>
      </c>
      <c r="I34" s="47" t="s">
        <v>66</v>
      </c>
      <c r="J34" s="47" t="s">
        <v>66</v>
      </c>
      <c r="K34" s="47" t="s">
        <v>66</v>
      </c>
      <c r="L34" s="47" t="s">
        <v>66</v>
      </c>
      <c r="M34" s="47" t="s">
        <v>66</v>
      </c>
      <c r="N34" s="47" t="s">
        <v>66</v>
      </c>
      <c r="O34" s="47" t="s">
        <v>66</v>
      </c>
      <c r="P34" s="47" t="s">
        <v>66</v>
      </c>
      <c r="Q34" s="47" t="s">
        <v>66</v>
      </c>
      <c r="R34" s="47" t="s">
        <v>66</v>
      </c>
      <c r="S34" s="47" t="s">
        <v>66</v>
      </c>
      <c r="T34" s="47" t="s">
        <v>66</v>
      </c>
      <c r="U34" s="47" t="s">
        <v>66</v>
      </c>
      <c r="V34" s="47" t="s">
        <v>66</v>
      </c>
      <c r="W34" s="47" t="s">
        <v>66</v>
      </c>
      <c r="X34" s="47" t="s">
        <v>66</v>
      </c>
      <c r="Y34" s="47" t="s">
        <v>66</v>
      </c>
      <c r="Z34" s="47" t="s">
        <v>66</v>
      </c>
      <c r="AA34" s="47" t="s">
        <v>66</v>
      </c>
      <c r="AB34" s="47" t="s">
        <v>66</v>
      </c>
      <c r="AC34" s="23" t="s">
        <v>143</v>
      </c>
      <c r="AD34" s="23" t="s">
        <v>184</v>
      </c>
      <c r="AE34" s="47" t="s">
        <v>184</v>
      </c>
      <c r="AF34" s="47" t="s">
        <v>126</v>
      </c>
      <c r="AG34" s="47" t="s">
        <v>91</v>
      </c>
      <c r="AH34" s="47" t="s">
        <v>91</v>
      </c>
      <c r="AI34" s="47" t="s">
        <v>92</v>
      </c>
      <c r="AJ34" s="47" t="s">
        <v>92</v>
      </c>
      <c r="AK34" s="47" t="s">
        <v>92</v>
      </c>
      <c r="AL34" s="47" t="s">
        <v>92</v>
      </c>
      <c r="AM34" s="47">
        <v>117</v>
      </c>
      <c r="AN34" s="47">
        <v>117</v>
      </c>
      <c r="AO34" s="47">
        <v>0</v>
      </c>
      <c r="AP34" s="47">
        <v>0</v>
      </c>
      <c r="AQ34" s="47">
        <v>0</v>
      </c>
      <c r="AR34" s="47">
        <v>0</v>
      </c>
      <c r="AS34" s="48">
        <v>197</v>
      </c>
      <c r="AT34" s="49" t="s">
        <v>66</v>
      </c>
      <c r="AU34" s="48" t="s">
        <v>66</v>
      </c>
      <c r="AV34" s="49" t="s">
        <v>66</v>
      </c>
      <c r="AW34" s="48" t="s">
        <v>66</v>
      </c>
      <c r="AX34" s="49" t="s">
        <v>66</v>
      </c>
      <c r="AY34" s="47">
        <v>117</v>
      </c>
      <c r="AZ34" s="47">
        <v>117</v>
      </c>
      <c r="BA34" s="47">
        <v>9</v>
      </c>
      <c r="BB34" s="47">
        <v>9</v>
      </c>
      <c r="BC34" s="47">
        <f t="shared" si="81"/>
        <v>9</v>
      </c>
      <c r="BD34" s="47">
        <v>9</v>
      </c>
      <c r="BE34" s="47">
        <v>0</v>
      </c>
      <c r="BF34" s="47">
        <v>0</v>
      </c>
      <c r="BG34" s="47" t="s">
        <v>106</v>
      </c>
      <c r="BH34" s="47" t="s">
        <v>106</v>
      </c>
      <c r="BI34" s="47" t="s">
        <v>94</v>
      </c>
      <c r="BJ34" s="47" t="s">
        <v>94</v>
      </c>
      <c r="BK34" s="47">
        <v>9</v>
      </c>
      <c r="BL34" s="47">
        <v>9</v>
      </c>
      <c r="BM34" s="48" t="s">
        <v>94</v>
      </c>
      <c r="BN34" s="47" t="s">
        <v>94</v>
      </c>
      <c r="BO34" s="48" t="s">
        <v>94</v>
      </c>
      <c r="BP34" s="47" t="s">
        <v>94</v>
      </c>
      <c r="BQ34" s="48">
        <v>9</v>
      </c>
      <c r="BR34" s="47">
        <v>9</v>
      </c>
      <c r="BS34" s="48" t="s">
        <v>94</v>
      </c>
      <c r="BT34" s="47" t="s">
        <v>94</v>
      </c>
      <c r="BU34" s="48" t="s">
        <v>94</v>
      </c>
      <c r="BV34" s="47" t="s">
        <v>94</v>
      </c>
      <c r="BW34" s="48" t="s">
        <v>94</v>
      </c>
      <c r="BX34" s="47" t="s">
        <v>94</v>
      </c>
      <c r="BY34" s="48" t="s">
        <v>94</v>
      </c>
      <c r="BZ34" s="47" t="s">
        <v>94</v>
      </c>
      <c r="CA34" s="48" t="s">
        <v>94</v>
      </c>
      <c r="CB34" s="47" t="s">
        <v>94</v>
      </c>
      <c r="CC34" s="48" t="s">
        <v>94</v>
      </c>
      <c r="CD34" s="47" t="s">
        <v>94</v>
      </c>
      <c r="CE34" s="48" t="s">
        <v>94</v>
      </c>
      <c r="CF34" s="47" t="s">
        <v>94</v>
      </c>
      <c r="CG34" s="48" t="s">
        <v>94</v>
      </c>
      <c r="CH34" s="47" t="s">
        <v>94</v>
      </c>
      <c r="CI34" s="48" t="s">
        <v>94</v>
      </c>
      <c r="CJ34" s="47" t="s">
        <v>94</v>
      </c>
      <c r="CK34" s="48" t="s">
        <v>94</v>
      </c>
      <c r="CL34" s="47" t="s">
        <v>94</v>
      </c>
      <c r="CM34" s="48" t="s">
        <v>94</v>
      </c>
      <c r="CN34" s="47" t="s">
        <v>94</v>
      </c>
      <c r="CO34" s="48" t="s">
        <v>94</v>
      </c>
      <c r="CP34" s="47" t="s">
        <v>94</v>
      </c>
      <c r="CQ34" s="48" t="s">
        <v>94</v>
      </c>
      <c r="CR34" s="47" t="s">
        <v>94</v>
      </c>
      <c r="CS34" s="48" t="s">
        <v>94</v>
      </c>
      <c r="CT34" s="47" t="s">
        <v>94</v>
      </c>
      <c r="CU34" s="47" t="s">
        <v>66</v>
      </c>
      <c r="CV34" s="47" t="s">
        <v>66</v>
      </c>
      <c r="CW34" s="47" t="s">
        <v>66</v>
      </c>
      <c r="CX34" s="47" t="s">
        <v>66</v>
      </c>
      <c r="CY34" s="47" t="s">
        <v>66</v>
      </c>
      <c r="CZ34" s="47" t="s">
        <v>66</v>
      </c>
      <c r="DA34" s="47" t="s">
        <v>66</v>
      </c>
      <c r="DB34" s="47" t="s">
        <v>66</v>
      </c>
      <c r="DC34" s="47" t="s">
        <v>66</v>
      </c>
      <c r="DD34" s="47" t="s">
        <v>66</v>
      </c>
      <c r="DE34" s="47" t="s">
        <v>66</v>
      </c>
      <c r="DF34" s="47" t="s">
        <v>66</v>
      </c>
      <c r="DG34" s="47" t="s">
        <v>66</v>
      </c>
      <c r="DH34" s="47" t="s">
        <v>66</v>
      </c>
      <c r="DI34" s="47" t="s">
        <v>96</v>
      </c>
      <c r="DJ34" s="47" t="s">
        <v>96</v>
      </c>
      <c r="DK34" s="47" t="s">
        <v>92</v>
      </c>
      <c r="DL34" s="47" t="s">
        <v>92</v>
      </c>
      <c r="DM34" s="47" t="s">
        <v>66</v>
      </c>
      <c r="DN34" s="47" t="s">
        <v>66</v>
      </c>
      <c r="DO34" s="47" t="s">
        <v>66</v>
      </c>
      <c r="DP34" s="47" t="s">
        <v>66</v>
      </c>
      <c r="DQ34" s="47" t="s">
        <v>66</v>
      </c>
      <c r="DR34" s="23" t="s">
        <v>66</v>
      </c>
      <c r="DS34" s="47" t="s">
        <v>66</v>
      </c>
      <c r="DT34" s="47" t="s">
        <v>66</v>
      </c>
      <c r="DU34" s="47" t="s">
        <v>66</v>
      </c>
      <c r="DV34" s="47" t="s">
        <v>66</v>
      </c>
      <c r="DW34" s="47" t="s">
        <v>97</v>
      </c>
      <c r="DX34" s="47" t="s">
        <v>134</v>
      </c>
      <c r="DY34" s="47" t="s">
        <v>147</v>
      </c>
      <c r="DZ34" s="47" t="s">
        <v>147</v>
      </c>
      <c r="EA34" s="47" t="s">
        <v>108</v>
      </c>
      <c r="EB34" s="47" t="s">
        <v>108</v>
      </c>
      <c r="EC34" s="47">
        <v>1</v>
      </c>
      <c r="ED34" s="47">
        <v>1</v>
      </c>
      <c r="EE34" s="47">
        <v>1</v>
      </c>
      <c r="EF34" s="47">
        <v>1</v>
      </c>
      <c r="EG34" s="47">
        <v>1</v>
      </c>
      <c r="EH34" s="47">
        <v>1</v>
      </c>
      <c r="EI34" s="47">
        <v>0</v>
      </c>
      <c r="EJ34" s="47">
        <v>0</v>
      </c>
      <c r="EK34" s="47">
        <v>1</v>
      </c>
      <c r="EL34" s="47">
        <v>1</v>
      </c>
      <c r="EM34" s="47">
        <v>0</v>
      </c>
      <c r="EN34" s="47">
        <v>0</v>
      </c>
      <c r="EO34" s="47">
        <v>1</v>
      </c>
      <c r="EP34" s="47">
        <v>1</v>
      </c>
      <c r="EQ34" s="47">
        <v>1</v>
      </c>
      <c r="ER34" s="47">
        <v>1</v>
      </c>
      <c r="ES34" s="47">
        <v>1</v>
      </c>
      <c r="ET34" s="47">
        <v>1</v>
      </c>
      <c r="EU34" s="47">
        <v>1</v>
      </c>
      <c r="EV34" s="47">
        <v>1</v>
      </c>
      <c r="EW34" s="47">
        <f t="shared" ref="EW34:EX34" si="135">SUM(EC34,EE34,EG34,EI34,EK34,EM34,EO34,EQ34,ES34,EU34)</f>
        <v>8</v>
      </c>
      <c r="EX34" s="47">
        <f t="shared" si="135"/>
        <v>8</v>
      </c>
      <c r="EY34" s="64" t="str">
        <f t="shared" ref="EY34:EZ34" si="136">A34</f>
        <v>Turner</v>
      </c>
      <c r="EZ34" s="65">
        <f t="shared" si="136"/>
        <v>2006</v>
      </c>
      <c r="FA34" s="23" t="str">
        <f t="shared" si="3"/>
        <v>Y</v>
      </c>
      <c r="FB34" s="23" t="str">
        <f t="shared" si="4"/>
        <v>Y</v>
      </c>
      <c r="FC34" s="23" t="str">
        <f t="shared" si="5"/>
        <v>Y</v>
      </c>
      <c r="FD34" s="23" t="str">
        <f t="shared" si="6"/>
        <v>Y</v>
      </c>
      <c r="FE34" s="23" t="str">
        <f t="shared" si="7"/>
        <v>Y</v>
      </c>
      <c r="FF34" s="23" t="str">
        <f t="shared" si="88"/>
        <v>Y</v>
      </c>
      <c r="FG34" s="23" t="str">
        <f t="shared" si="9"/>
        <v>Y</v>
      </c>
      <c r="FH34" s="23" t="str">
        <f t="shared" si="10"/>
        <v>Y</v>
      </c>
      <c r="FI34" s="23" t="str">
        <f t="shared" si="11"/>
        <v>Y</v>
      </c>
      <c r="FJ34" s="23" t="str">
        <f t="shared" si="12"/>
        <v>Y</v>
      </c>
      <c r="FK34" s="23" t="str">
        <f t="shared" si="13"/>
        <v>Y</v>
      </c>
      <c r="FL34" s="23" t="str">
        <f t="shared" si="14"/>
        <v>Y</v>
      </c>
      <c r="FM34" s="23" t="str">
        <f t="shared" si="15"/>
        <v>Y</v>
      </c>
      <c r="FN34" s="23" t="str">
        <f t="shared" si="16"/>
        <v>Y</v>
      </c>
      <c r="FO34" s="23" t="str">
        <f t="shared" si="17"/>
        <v>Y</v>
      </c>
      <c r="FP34" s="23" t="str">
        <f t="shared" si="18"/>
        <v>Y</v>
      </c>
      <c r="FQ34" s="23" t="str">
        <f t="shared" si="19"/>
        <v>Y</v>
      </c>
      <c r="FR34" s="23" t="str">
        <f t="shared" si="20"/>
        <v>Y</v>
      </c>
      <c r="FS34" s="23" t="str">
        <f t="shared" si="21"/>
        <v>Y</v>
      </c>
      <c r="FT34" s="23" t="str">
        <f t="shared" si="22"/>
        <v>Y</v>
      </c>
      <c r="FU34" s="23" t="str">
        <f t="shared" si="23"/>
        <v>Y</v>
      </c>
      <c r="FV34" s="23" t="str">
        <f t="shared" si="24"/>
        <v>Y</v>
      </c>
      <c r="FW34" s="23" t="str">
        <f t="shared" si="25"/>
        <v>Y</v>
      </c>
      <c r="FX34" s="23" t="str">
        <f t="shared" si="26"/>
        <v>Y</v>
      </c>
      <c r="FY34" s="23" t="str">
        <f t="shared" si="27"/>
        <v>Y</v>
      </c>
      <c r="FZ34" s="23" t="str">
        <f t="shared" si="28"/>
        <v>Y</v>
      </c>
      <c r="GA34" s="23" t="str">
        <f t="shared" si="29"/>
        <v>Y</v>
      </c>
      <c r="GB34" s="23" t="str">
        <f t="shared" si="30"/>
        <v>Y</v>
      </c>
      <c r="GC34" s="23" t="str">
        <f t="shared" si="31"/>
        <v>Y</v>
      </c>
      <c r="GD34" s="23" t="str">
        <f t="shared" si="32"/>
        <v>Y</v>
      </c>
      <c r="GE34" s="23" t="str">
        <f t="shared" si="33"/>
        <v>Y</v>
      </c>
      <c r="GF34" s="23" t="str">
        <f t="shared" si="34"/>
        <v>Y</v>
      </c>
      <c r="GG34" s="23" t="str">
        <f t="shared" si="35"/>
        <v>Y</v>
      </c>
      <c r="GH34" s="23" t="str">
        <f t="shared" si="36"/>
        <v>Y</v>
      </c>
      <c r="GI34" s="23" t="str">
        <f t="shared" si="37"/>
        <v>Y</v>
      </c>
      <c r="GJ34" s="23" t="str">
        <f t="shared" si="38"/>
        <v>Y</v>
      </c>
      <c r="GK34" s="23" t="str">
        <f t="shared" si="39"/>
        <v>Y</v>
      </c>
      <c r="GL34" s="23" t="str">
        <f t="shared" si="40"/>
        <v>Y</v>
      </c>
      <c r="GM34" s="23" t="str">
        <f t="shared" si="41"/>
        <v>Y</v>
      </c>
      <c r="GN34" s="23" t="str">
        <f t="shared" si="42"/>
        <v>Y</v>
      </c>
      <c r="GO34" s="23" t="str">
        <f t="shared" si="43"/>
        <v>Y</v>
      </c>
      <c r="GP34" s="23" t="str">
        <f t="shared" si="44"/>
        <v>Y</v>
      </c>
      <c r="GQ34" s="23" t="str">
        <f t="shared" si="45"/>
        <v>Y</v>
      </c>
      <c r="GR34" s="23" t="str">
        <f t="shared" si="46"/>
        <v>Y</v>
      </c>
      <c r="GS34" s="23" t="str">
        <f t="shared" si="47"/>
        <v>Y</v>
      </c>
      <c r="GT34" s="23" t="str">
        <f t="shared" si="48"/>
        <v>Y</v>
      </c>
      <c r="GU34" s="23" t="str">
        <f t="shared" si="49"/>
        <v>Y</v>
      </c>
      <c r="GV34" s="23" t="str">
        <f t="shared" si="50"/>
        <v>Y</v>
      </c>
      <c r="GW34" s="23" t="str">
        <f t="shared" si="51"/>
        <v>Y</v>
      </c>
      <c r="GX34" s="23" t="str">
        <f t="shared" si="52"/>
        <v>Y</v>
      </c>
      <c r="GY34" s="23" t="str">
        <f t="shared" si="53"/>
        <v>Y</v>
      </c>
      <c r="GZ34" s="23" t="str">
        <f t="shared" si="54"/>
        <v>Y</v>
      </c>
      <c r="HA34" s="23" t="str">
        <f t="shared" si="55"/>
        <v>Y</v>
      </c>
      <c r="HB34" s="23" t="str">
        <f t="shared" si="56"/>
        <v>Y</v>
      </c>
      <c r="HC34" s="23" t="str">
        <f t="shared" si="57"/>
        <v>Y</v>
      </c>
      <c r="HD34" s="23" t="str">
        <f t="shared" si="58"/>
        <v>Y</v>
      </c>
      <c r="HE34" s="23" t="str">
        <f t="shared" si="59"/>
        <v>Y</v>
      </c>
      <c r="HF34" s="23" t="str">
        <f t="shared" si="60"/>
        <v>Y</v>
      </c>
      <c r="HG34" s="23" t="str">
        <f t="shared" si="61"/>
        <v>Y</v>
      </c>
      <c r="HH34" s="23" t="str">
        <f t="shared" si="62"/>
        <v>Y</v>
      </c>
      <c r="HI34" s="23" t="str">
        <f t="shared" si="63"/>
        <v>Y</v>
      </c>
      <c r="HJ34" s="23" t="str">
        <f t="shared" si="64"/>
        <v>Y</v>
      </c>
      <c r="HK34" s="23" t="str">
        <f t="shared" si="65"/>
        <v>Y</v>
      </c>
      <c r="HL34" s="23" t="str">
        <f t="shared" si="66"/>
        <v>Y</v>
      </c>
      <c r="HM34" s="23" t="str">
        <f t="shared" si="67"/>
        <v>Y</v>
      </c>
      <c r="HN34" s="55" t="str">
        <f t="shared" si="68"/>
        <v>Y</v>
      </c>
      <c r="HO34" s="23"/>
      <c r="HP34" s="55"/>
    </row>
    <row r="35" spans="1:224" ht="30" customHeight="1">
      <c r="A35" s="46" t="s">
        <v>185</v>
      </c>
      <c r="B35" s="47">
        <v>2014</v>
      </c>
      <c r="C35" s="47" t="s">
        <v>66</v>
      </c>
      <c r="D35" s="47" t="s">
        <v>66</v>
      </c>
      <c r="E35" s="23" t="s">
        <v>66</v>
      </c>
      <c r="F35" s="47" t="s">
        <v>66</v>
      </c>
      <c r="G35" s="47" t="s">
        <v>66</v>
      </c>
      <c r="H35" s="47" t="s">
        <v>66</v>
      </c>
      <c r="I35" s="47" t="s">
        <v>66</v>
      </c>
      <c r="J35" s="47" t="s">
        <v>66</v>
      </c>
      <c r="K35" s="47" t="s">
        <v>66</v>
      </c>
      <c r="L35" s="23" t="s">
        <v>66</v>
      </c>
      <c r="M35" s="23" t="s">
        <v>66</v>
      </c>
      <c r="N35" s="23" t="s">
        <v>66</v>
      </c>
      <c r="O35" s="23" t="s">
        <v>66</v>
      </c>
      <c r="P35" s="23" t="s">
        <v>66</v>
      </c>
      <c r="Q35" s="23" t="s">
        <v>66</v>
      </c>
      <c r="R35" s="23" t="s">
        <v>66</v>
      </c>
      <c r="S35" s="23" t="s">
        <v>66</v>
      </c>
      <c r="T35" s="23" t="s">
        <v>66</v>
      </c>
      <c r="U35" s="47">
        <v>0</v>
      </c>
      <c r="V35" s="47">
        <v>0</v>
      </c>
      <c r="W35" s="47">
        <v>115</v>
      </c>
      <c r="X35" s="47">
        <v>115</v>
      </c>
      <c r="Y35" s="47">
        <v>0</v>
      </c>
      <c r="Z35" s="47">
        <v>0</v>
      </c>
      <c r="AA35" s="47">
        <v>0</v>
      </c>
      <c r="AB35" s="47">
        <v>0</v>
      </c>
      <c r="AC35" s="56" t="s">
        <v>88</v>
      </c>
      <c r="AD35" s="23" t="s">
        <v>105</v>
      </c>
      <c r="AE35" s="47" t="s">
        <v>105</v>
      </c>
      <c r="AF35" s="47" t="s">
        <v>90</v>
      </c>
      <c r="AG35" s="47" t="s">
        <v>92</v>
      </c>
      <c r="AH35" s="47" t="s">
        <v>92</v>
      </c>
      <c r="AI35" s="47" t="s">
        <v>91</v>
      </c>
      <c r="AJ35" s="47" t="s">
        <v>91</v>
      </c>
      <c r="AK35" s="47" t="s">
        <v>92</v>
      </c>
      <c r="AL35" s="47" t="s">
        <v>92</v>
      </c>
      <c r="AM35" s="47">
        <v>115</v>
      </c>
      <c r="AN35" s="47">
        <v>115</v>
      </c>
      <c r="AO35" s="47">
        <v>0</v>
      </c>
      <c r="AP35" s="47">
        <v>0</v>
      </c>
      <c r="AQ35" s="47">
        <v>0</v>
      </c>
      <c r="AR35" s="47">
        <v>0</v>
      </c>
      <c r="AS35" s="48" t="s">
        <v>66</v>
      </c>
      <c r="AT35" s="49" t="s">
        <v>66</v>
      </c>
      <c r="AU35" s="48" t="s">
        <v>66</v>
      </c>
      <c r="AV35" s="49" t="s">
        <v>66</v>
      </c>
      <c r="AW35" s="48" t="s">
        <v>66</v>
      </c>
      <c r="AX35" s="49" t="s">
        <v>66</v>
      </c>
      <c r="AY35" s="47">
        <v>115</v>
      </c>
      <c r="AZ35" s="47">
        <v>115</v>
      </c>
      <c r="BA35" s="47">
        <v>0</v>
      </c>
      <c r="BB35" s="47">
        <v>0</v>
      </c>
      <c r="BC35" s="47">
        <f t="shared" si="81"/>
        <v>0</v>
      </c>
      <c r="BD35" s="47">
        <v>0</v>
      </c>
      <c r="BE35" s="47">
        <v>0</v>
      </c>
      <c r="BF35" s="47">
        <v>0</v>
      </c>
      <c r="BG35" s="47" t="s">
        <v>93</v>
      </c>
      <c r="BH35" s="47" t="s">
        <v>93</v>
      </c>
      <c r="BI35" s="47">
        <v>0</v>
      </c>
      <c r="BJ35" s="47">
        <v>0</v>
      </c>
      <c r="BK35" s="47" t="s">
        <v>94</v>
      </c>
      <c r="BL35" s="47" t="s">
        <v>94</v>
      </c>
      <c r="BM35" s="48">
        <v>0</v>
      </c>
      <c r="BN35" s="47">
        <v>0</v>
      </c>
      <c r="BO35" s="48">
        <v>0</v>
      </c>
      <c r="BP35" s="47">
        <v>0</v>
      </c>
      <c r="BQ35" s="48">
        <v>0</v>
      </c>
      <c r="BR35" s="47">
        <v>0</v>
      </c>
      <c r="BS35" s="48">
        <v>0</v>
      </c>
      <c r="BT35" s="47">
        <v>0</v>
      </c>
      <c r="BU35" s="48">
        <v>0</v>
      </c>
      <c r="BV35" s="47">
        <v>0</v>
      </c>
      <c r="BW35" s="48">
        <v>0</v>
      </c>
      <c r="BX35" s="47">
        <v>0</v>
      </c>
      <c r="BY35" s="48">
        <v>0</v>
      </c>
      <c r="BZ35" s="47">
        <v>0</v>
      </c>
      <c r="CA35" s="48">
        <v>0</v>
      </c>
      <c r="CB35" s="47">
        <v>0</v>
      </c>
      <c r="CC35" s="48">
        <v>0</v>
      </c>
      <c r="CD35" s="47">
        <v>0</v>
      </c>
      <c r="CE35" s="48">
        <v>0</v>
      </c>
      <c r="CF35" s="47">
        <v>0</v>
      </c>
      <c r="CG35" s="48">
        <v>0</v>
      </c>
      <c r="CH35" s="47">
        <v>0</v>
      </c>
      <c r="CI35" s="48">
        <v>0</v>
      </c>
      <c r="CJ35" s="47">
        <v>0</v>
      </c>
      <c r="CK35" s="48">
        <v>0</v>
      </c>
      <c r="CL35" s="47">
        <v>0</v>
      </c>
      <c r="CM35" s="48">
        <v>0</v>
      </c>
      <c r="CN35" s="47">
        <v>0</v>
      </c>
      <c r="CO35" s="48">
        <v>0</v>
      </c>
      <c r="CP35" s="47">
        <v>0</v>
      </c>
      <c r="CQ35" s="48">
        <v>0</v>
      </c>
      <c r="CR35" s="47">
        <v>0</v>
      </c>
      <c r="CS35" s="48">
        <v>0</v>
      </c>
      <c r="CT35" s="47">
        <v>0</v>
      </c>
      <c r="CU35" s="47" t="s">
        <v>186</v>
      </c>
      <c r="CV35" s="47" t="s">
        <v>95</v>
      </c>
      <c r="CW35" s="47" t="s">
        <v>95</v>
      </c>
      <c r="CX35" s="47" t="s">
        <v>95</v>
      </c>
      <c r="CY35" s="47" t="s">
        <v>66</v>
      </c>
      <c r="CZ35" s="47" t="s">
        <v>66</v>
      </c>
      <c r="DA35" s="47" t="s">
        <v>95</v>
      </c>
      <c r="DB35" s="47" t="s">
        <v>95</v>
      </c>
      <c r="DC35" s="47" t="s">
        <v>66</v>
      </c>
      <c r="DD35" s="47" t="s">
        <v>66</v>
      </c>
      <c r="DE35" s="47" t="s">
        <v>120</v>
      </c>
      <c r="DF35" s="47" t="s">
        <v>120</v>
      </c>
      <c r="DG35" s="47" t="s">
        <v>120</v>
      </c>
      <c r="DH35" s="47" t="s">
        <v>120</v>
      </c>
      <c r="DI35" s="47" t="s">
        <v>66</v>
      </c>
      <c r="DJ35" s="47" t="s">
        <v>66</v>
      </c>
      <c r="DK35" s="47" t="s">
        <v>66</v>
      </c>
      <c r="DL35" s="47" t="s">
        <v>66</v>
      </c>
      <c r="DM35" s="47" t="s">
        <v>66</v>
      </c>
      <c r="DN35" s="47" t="s">
        <v>66</v>
      </c>
      <c r="DO35" s="47" t="s">
        <v>66</v>
      </c>
      <c r="DP35" s="47" t="s">
        <v>66</v>
      </c>
      <c r="DQ35" s="47" t="s">
        <v>66</v>
      </c>
      <c r="DR35" s="23" t="s">
        <v>66</v>
      </c>
      <c r="DS35" s="47" t="s">
        <v>66</v>
      </c>
      <c r="DT35" s="47" t="s">
        <v>66</v>
      </c>
      <c r="DU35" s="47" t="s">
        <v>66</v>
      </c>
      <c r="DV35" s="47" t="s">
        <v>66</v>
      </c>
      <c r="DW35" s="47" t="s">
        <v>97</v>
      </c>
      <c r="DX35" s="47" t="s">
        <v>97</v>
      </c>
      <c r="DY35" s="47" t="s">
        <v>66</v>
      </c>
      <c r="DZ35" s="47" t="s">
        <v>66</v>
      </c>
      <c r="EA35" s="47" t="s">
        <v>66</v>
      </c>
      <c r="EB35" s="47" t="s">
        <v>66</v>
      </c>
      <c r="EC35" s="47">
        <v>1</v>
      </c>
      <c r="ED35" s="47">
        <v>1</v>
      </c>
      <c r="EE35" s="47">
        <v>1</v>
      </c>
      <c r="EF35" s="47">
        <v>1</v>
      </c>
      <c r="EG35" s="47">
        <v>1</v>
      </c>
      <c r="EH35" s="47">
        <v>1</v>
      </c>
      <c r="EI35" s="47">
        <v>1</v>
      </c>
      <c r="EJ35" s="47">
        <v>1</v>
      </c>
      <c r="EK35" s="47">
        <v>1</v>
      </c>
      <c r="EL35" s="47">
        <v>1</v>
      </c>
      <c r="EM35" s="47">
        <v>1</v>
      </c>
      <c r="EN35" s="47">
        <v>1</v>
      </c>
      <c r="EO35" s="47">
        <v>1</v>
      </c>
      <c r="EP35" s="47">
        <v>1</v>
      </c>
      <c r="EQ35" s="47">
        <v>1</v>
      </c>
      <c r="ER35" s="47">
        <v>1</v>
      </c>
      <c r="ES35" s="47">
        <v>1</v>
      </c>
      <c r="ET35" s="47">
        <v>1</v>
      </c>
      <c r="EU35" s="47">
        <v>1</v>
      </c>
      <c r="EV35" s="47">
        <v>1</v>
      </c>
      <c r="EW35" s="47">
        <f t="shared" ref="EW35:EX35" si="137">SUM(EC35,EE35,EG35,EI35,EK35,EM35,EO35,EQ35,ES35,EU35)</f>
        <v>10</v>
      </c>
      <c r="EX35" s="47">
        <f t="shared" si="137"/>
        <v>10</v>
      </c>
      <c r="EY35" s="53" t="str">
        <f t="shared" ref="EY35:EZ35" si="138">A35</f>
        <v>Williams</v>
      </c>
      <c r="EZ35" s="54">
        <f t="shared" si="138"/>
        <v>2014</v>
      </c>
      <c r="FA35" s="23" t="str">
        <f t="shared" si="3"/>
        <v>Y</v>
      </c>
      <c r="FB35" s="23" t="str">
        <f t="shared" si="4"/>
        <v>Y</v>
      </c>
      <c r="FC35" s="23" t="str">
        <f t="shared" si="5"/>
        <v>Y</v>
      </c>
      <c r="FD35" s="23" t="str">
        <f t="shared" si="6"/>
        <v>Y</v>
      </c>
      <c r="FE35" s="23" t="str">
        <f t="shared" si="7"/>
        <v>Y</v>
      </c>
      <c r="FF35" s="23" t="str">
        <f t="shared" si="88"/>
        <v>Y</v>
      </c>
      <c r="FG35" s="23" t="str">
        <f t="shared" si="9"/>
        <v>Y</v>
      </c>
      <c r="FH35" s="23" t="str">
        <f t="shared" si="10"/>
        <v>Y</v>
      </c>
      <c r="FI35" s="23" t="str">
        <f t="shared" si="11"/>
        <v>Y</v>
      </c>
      <c r="FJ35" s="23" t="str">
        <f t="shared" si="12"/>
        <v>Y</v>
      </c>
      <c r="FK35" s="23" t="str">
        <f t="shared" si="13"/>
        <v>Y</v>
      </c>
      <c r="FL35" s="23" t="str">
        <f t="shared" si="14"/>
        <v>Y</v>
      </c>
      <c r="FM35" s="23" t="str">
        <f t="shared" si="15"/>
        <v>Y</v>
      </c>
      <c r="FN35" s="23" t="str">
        <f t="shared" si="16"/>
        <v>Y</v>
      </c>
      <c r="FO35" s="23" t="str">
        <f t="shared" si="17"/>
        <v>Y</v>
      </c>
      <c r="FP35" s="23" t="str">
        <f t="shared" si="18"/>
        <v>Y</v>
      </c>
      <c r="FQ35" s="23" t="str">
        <f t="shared" si="19"/>
        <v>Y</v>
      </c>
      <c r="FR35" s="23" t="str">
        <f t="shared" si="20"/>
        <v>Y</v>
      </c>
      <c r="FS35" s="23" t="str">
        <f t="shared" si="21"/>
        <v>Y</v>
      </c>
      <c r="FT35" s="23" t="str">
        <f t="shared" si="22"/>
        <v>Y</v>
      </c>
      <c r="FU35" s="23" t="str">
        <f t="shared" si="23"/>
        <v>Y</v>
      </c>
      <c r="FV35" s="23" t="str">
        <f t="shared" si="24"/>
        <v>Y</v>
      </c>
      <c r="FW35" s="23" t="str">
        <f t="shared" si="25"/>
        <v>Y</v>
      </c>
      <c r="FX35" s="23" t="str">
        <f t="shared" si="26"/>
        <v>Y</v>
      </c>
      <c r="FY35" s="23" t="str">
        <f t="shared" si="27"/>
        <v>Y</v>
      </c>
      <c r="FZ35" s="23" t="str">
        <f t="shared" si="28"/>
        <v>Y</v>
      </c>
      <c r="GA35" s="23" t="str">
        <f t="shared" si="29"/>
        <v>Y</v>
      </c>
      <c r="GB35" s="23" t="str">
        <f t="shared" si="30"/>
        <v>Y</v>
      </c>
      <c r="GC35" s="23" t="str">
        <f t="shared" si="31"/>
        <v>Y</v>
      </c>
      <c r="GD35" s="23" t="str">
        <f t="shared" si="32"/>
        <v>Y</v>
      </c>
      <c r="GE35" s="23" t="str">
        <f t="shared" si="33"/>
        <v>Y</v>
      </c>
      <c r="GF35" s="23" t="str">
        <f t="shared" si="34"/>
        <v>Y</v>
      </c>
      <c r="GG35" s="23" t="str">
        <f t="shared" si="35"/>
        <v>Y</v>
      </c>
      <c r="GH35" s="23" t="str">
        <f t="shared" si="36"/>
        <v>Y</v>
      </c>
      <c r="GI35" s="23" t="str">
        <f t="shared" si="37"/>
        <v>Y</v>
      </c>
      <c r="GJ35" s="23" t="str">
        <f t="shared" si="38"/>
        <v>Y</v>
      </c>
      <c r="GK35" s="23" t="str">
        <f t="shared" si="39"/>
        <v>Y</v>
      </c>
      <c r="GL35" s="23" t="str">
        <f t="shared" si="40"/>
        <v>Y</v>
      </c>
      <c r="GM35" s="23" t="str">
        <f t="shared" si="41"/>
        <v>Y</v>
      </c>
      <c r="GN35" s="23" t="str">
        <f t="shared" si="42"/>
        <v>Y</v>
      </c>
      <c r="GO35" s="23" t="str">
        <f t="shared" si="43"/>
        <v>Y</v>
      </c>
      <c r="GP35" s="23" t="str">
        <f t="shared" si="44"/>
        <v>Y</v>
      </c>
      <c r="GQ35" s="23" t="str">
        <f t="shared" si="45"/>
        <v>Y</v>
      </c>
      <c r="GR35" s="23" t="str">
        <f t="shared" si="46"/>
        <v>Y</v>
      </c>
      <c r="GS35" s="23" t="str">
        <f t="shared" si="47"/>
        <v>Y</v>
      </c>
      <c r="GT35" s="23" t="str">
        <f t="shared" si="48"/>
        <v>Y</v>
      </c>
      <c r="GU35" s="23" t="str">
        <f t="shared" si="49"/>
        <v>Y</v>
      </c>
      <c r="GV35" s="23" t="str">
        <f t="shared" si="50"/>
        <v>Y</v>
      </c>
      <c r="GW35" s="23" t="str">
        <f t="shared" si="51"/>
        <v>Y</v>
      </c>
      <c r="GX35" s="23" t="str">
        <f t="shared" si="52"/>
        <v>Y</v>
      </c>
      <c r="GY35" s="23" t="str">
        <f t="shared" si="53"/>
        <v>Y</v>
      </c>
      <c r="GZ35" s="23" t="str">
        <f t="shared" si="54"/>
        <v>Y</v>
      </c>
      <c r="HA35" s="23" t="str">
        <f t="shared" si="55"/>
        <v>Y</v>
      </c>
      <c r="HB35" s="23" t="str">
        <f t="shared" si="56"/>
        <v>Y</v>
      </c>
      <c r="HC35" s="23" t="str">
        <f t="shared" si="57"/>
        <v>Y</v>
      </c>
      <c r="HD35" s="23" t="str">
        <f t="shared" si="58"/>
        <v>Y</v>
      </c>
      <c r="HE35" s="23" t="str">
        <f t="shared" si="59"/>
        <v>Y</v>
      </c>
      <c r="HF35" s="23" t="str">
        <f t="shared" si="60"/>
        <v>Y</v>
      </c>
      <c r="HG35" s="23" t="str">
        <f t="shared" si="61"/>
        <v>Y</v>
      </c>
      <c r="HH35" s="23" t="str">
        <f t="shared" si="62"/>
        <v>Y</v>
      </c>
      <c r="HI35" s="23" t="str">
        <f t="shared" si="63"/>
        <v>Y</v>
      </c>
      <c r="HJ35" s="23" t="str">
        <f t="shared" si="64"/>
        <v>Y</v>
      </c>
      <c r="HK35" s="23" t="str">
        <f t="shared" si="65"/>
        <v>Y</v>
      </c>
      <c r="HL35" s="23" t="str">
        <f t="shared" si="66"/>
        <v>Y</v>
      </c>
      <c r="HM35" s="23" t="str">
        <f t="shared" si="67"/>
        <v>Y</v>
      </c>
      <c r="HN35" s="55" t="str">
        <f t="shared" si="68"/>
        <v>Y</v>
      </c>
      <c r="HO35" s="23"/>
      <c r="HP35" s="55"/>
    </row>
    <row r="36" spans="1:224" ht="30" customHeight="1">
      <c r="A36" s="46" t="s">
        <v>187</v>
      </c>
      <c r="B36" s="47">
        <v>2021</v>
      </c>
      <c r="C36" s="47" t="s">
        <v>66</v>
      </c>
      <c r="D36" s="47" t="s">
        <v>66</v>
      </c>
      <c r="E36" s="23" t="s">
        <v>66</v>
      </c>
      <c r="F36" s="47" t="s">
        <v>66</v>
      </c>
      <c r="G36" s="47" t="s">
        <v>66</v>
      </c>
      <c r="H36" s="47" t="s">
        <v>66</v>
      </c>
      <c r="I36" s="47" t="s">
        <v>66</v>
      </c>
      <c r="J36" s="47" t="s">
        <v>66</v>
      </c>
      <c r="K36" s="47" t="s">
        <v>66</v>
      </c>
      <c r="L36" s="23" t="s">
        <v>66</v>
      </c>
      <c r="M36" s="23" t="s">
        <v>66</v>
      </c>
      <c r="N36" s="23" t="s">
        <v>66</v>
      </c>
      <c r="O36" s="23" t="s">
        <v>66</v>
      </c>
      <c r="P36" s="23" t="s">
        <v>66</v>
      </c>
      <c r="Q36" s="23" t="s">
        <v>66</v>
      </c>
      <c r="R36" s="23" t="s">
        <v>66</v>
      </c>
      <c r="S36" s="23" t="s">
        <v>66</v>
      </c>
      <c r="T36" s="23" t="s">
        <v>66</v>
      </c>
      <c r="U36" s="47" t="s">
        <v>66</v>
      </c>
      <c r="V36" s="47" t="s">
        <v>66</v>
      </c>
      <c r="W36" s="47" t="s">
        <v>66</v>
      </c>
      <c r="X36" s="47" t="s">
        <v>66</v>
      </c>
      <c r="Y36" s="47" t="s">
        <v>66</v>
      </c>
      <c r="Z36" s="47" t="s">
        <v>66</v>
      </c>
      <c r="AA36" s="47" t="s">
        <v>66</v>
      </c>
      <c r="AB36" s="47" t="s">
        <v>66</v>
      </c>
      <c r="AC36" s="23" t="s">
        <v>88</v>
      </c>
      <c r="AD36" s="23" t="s">
        <v>125</v>
      </c>
      <c r="AE36" s="47" t="s">
        <v>125</v>
      </c>
      <c r="AF36" s="47" t="s">
        <v>126</v>
      </c>
      <c r="AG36" s="47" t="s">
        <v>92</v>
      </c>
      <c r="AH36" s="47" t="s">
        <v>92</v>
      </c>
      <c r="AI36" s="47" t="s">
        <v>91</v>
      </c>
      <c r="AJ36" s="47" t="s">
        <v>91</v>
      </c>
      <c r="AK36" s="47" t="s">
        <v>92</v>
      </c>
      <c r="AL36" s="47" t="s">
        <v>92</v>
      </c>
      <c r="AM36" s="47">
        <v>132</v>
      </c>
      <c r="AN36" s="47">
        <v>132</v>
      </c>
      <c r="AO36" s="47">
        <v>0</v>
      </c>
      <c r="AP36" s="47">
        <v>0</v>
      </c>
      <c r="AQ36" s="47">
        <v>0</v>
      </c>
      <c r="AR36" s="47">
        <v>0</v>
      </c>
      <c r="AS36" s="48" t="s">
        <v>66</v>
      </c>
      <c r="AT36" s="49" t="s">
        <v>66</v>
      </c>
      <c r="AU36" s="48" t="s">
        <v>66</v>
      </c>
      <c r="AV36" s="49" t="s">
        <v>66</v>
      </c>
      <c r="AW36" s="48" t="s">
        <v>66</v>
      </c>
      <c r="AX36" s="49" t="s">
        <v>66</v>
      </c>
      <c r="AY36" s="47">
        <v>132</v>
      </c>
      <c r="AZ36" s="47">
        <v>132</v>
      </c>
      <c r="BA36" s="47">
        <v>45</v>
      </c>
      <c r="BB36" s="47">
        <v>45</v>
      </c>
      <c r="BC36" s="47">
        <f t="shared" si="81"/>
        <v>45</v>
      </c>
      <c r="BD36" s="47">
        <v>45</v>
      </c>
      <c r="BE36" s="47">
        <v>0</v>
      </c>
      <c r="BF36" s="47">
        <v>0</v>
      </c>
      <c r="BG36" s="47" t="s">
        <v>93</v>
      </c>
      <c r="BH36" s="47" t="s">
        <v>93</v>
      </c>
      <c r="BI36" s="47">
        <v>1</v>
      </c>
      <c r="BJ36" s="47">
        <v>1</v>
      </c>
      <c r="BK36" s="47">
        <v>44</v>
      </c>
      <c r="BL36" s="47">
        <v>44</v>
      </c>
      <c r="BM36" s="48">
        <v>0</v>
      </c>
      <c r="BN36" s="47">
        <v>0</v>
      </c>
      <c r="BO36" s="48">
        <v>0</v>
      </c>
      <c r="BP36" s="47">
        <v>0</v>
      </c>
      <c r="BQ36" s="48">
        <v>44</v>
      </c>
      <c r="BR36" s="47">
        <v>44</v>
      </c>
      <c r="BS36" s="48">
        <v>0</v>
      </c>
      <c r="BT36" s="47">
        <v>0</v>
      </c>
      <c r="BU36" s="48">
        <v>0</v>
      </c>
      <c r="BV36" s="47">
        <v>0</v>
      </c>
      <c r="BW36" s="48">
        <v>0</v>
      </c>
      <c r="BX36" s="47">
        <v>0</v>
      </c>
      <c r="BY36" s="48">
        <v>0</v>
      </c>
      <c r="BZ36" s="47">
        <v>0</v>
      </c>
      <c r="CA36" s="48">
        <v>0</v>
      </c>
      <c r="CB36" s="47">
        <v>0</v>
      </c>
      <c r="CC36" s="48">
        <v>0</v>
      </c>
      <c r="CD36" s="47">
        <v>0</v>
      </c>
      <c r="CE36" s="48">
        <v>1</v>
      </c>
      <c r="CF36" s="47">
        <v>1</v>
      </c>
      <c r="CG36" s="48">
        <v>0</v>
      </c>
      <c r="CH36" s="47">
        <v>0</v>
      </c>
      <c r="CI36" s="48">
        <v>0</v>
      </c>
      <c r="CJ36" s="47">
        <v>0</v>
      </c>
      <c r="CK36" s="48">
        <v>0</v>
      </c>
      <c r="CL36" s="47">
        <v>0</v>
      </c>
      <c r="CM36" s="48">
        <v>0</v>
      </c>
      <c r="CN36" s="47">
        <v>0</v>
      </c>
      <c r="CO36" s="48">
        <v>0</v>
      </c>
      <c r="CP36" s="47">
        <v>0</v>
      </c>
      <c r="CQ36" s="48">
        <v>0</v>
      </c>
      <c r="CR36" s="47">
        <v>0</v>
      </c>
      <c r="CS36" s="48">
        <v>0</v>
      </c>
      <c r="CT36" s="47">
        <v>0</v>
      </c>
      <c r="CU36" s="47" t="s">
        <v>186</v>
      </c>
      <c r="CV36" s="47" t="s">
        <v>186</v>
      </c>
      <c r="CW36" s="47" t="s">
        <v>95</v>
      </c>
      <c r="CX36" s="47" t="s">
        <v>186</v>
      </c>
      <c r="CY36" s="47" t="s">
        <v>66</v>
      </c>
      <c r="CZ36" s="47" t="s">
        <v>66</v>
      </c>
      <c r="DA36" s="47" t="s">
        <v>66</v>
      </c>
      <c r="DB36" s="47" t="s">
        <v>66</v>
      </c>
      <c r="DC36" s="47" t="s">
        <v>66</v>
      </c>
      <c r="DD36" s="47" t="s">
        <v>66</v>
      </c>
      <c r="DE36" s="47" t="s">
        <v>95</v>
      </c>
      <c r="DF36" s="47" t="s">
        <v>95</v>
      </c>
      <c r="DG36" s="47" t="s">
        <v>95</v>
      </c>
      <c r="DH36" s="47" t="s">
        <v>95</v>
      </c>
      <c r="DI36" s="47" t="s">
        <v>66</v>
      </c>
      <c r="DJ36" s="47" t="s">
        <v>66</v>
      </c>
      <c r="DK36" s="47" t="s">
        <v>66</v>
      </c>
      <c r="DL36" s="47" t="s">
        <v>66</v>
      </c>
      <c r="DM36" s="47" t="s">
        <v>66</v>
      </c>
      <c r="DN36" s="47" t="s">
        <v>66</v>
      </c>
      <c r="DO36" s="47" t="s">
        <v>66</v>
      </c>
      <c r="DP36" s="47" t="s">
        <v>66</v>
      </c>
      <c r="DQ36" s="47" t="s">
        <v>66</v>
      </c>
      <c r="DR36" s="23" t="s">
        <v>66</v>
      </c>
      <c r="DS36" s="47" t="s">
        <v>66</v>
      </c>
      <c r="DT36" s="47" t="s">
        <v>66</v>
      </c>
      <c r="DU36" s="47" t="s">
        <v>66</v>
      </c>
      <c r="DV36" s="47" t="s">
        <v>66</v>
      </c>
      <c r="DW36" s="47" t="s">
        <v>97</v>
      </c>
      <c r="DX36" s="47" t="s">
        <v>97</v>
      </c>
      <c r="DY36" s="47" t="s">
        <v>66</v>
      </c>
      <c r="DZ36" s="47" t="s">
        <v>66</v>
      </c>
      <c r="EA36" s="47" t="s">
        <v>66</v>
      </c>
      <c r="EB36" s="47" t="s">
        <v>66</v>
      </c>
      <c r="EC36" s="47">
        <v>1</v>
      </c>
      <c r="ED36" s="47">
        <v>1</v>
      </c>
      <c r="EE36" s="47">
        <v>1</v>
      </c>
      <c r="EF36" s="47">
        <v>1</v>
      </c>
      <c r="EG36" s="47">
        <v>1</v>
      </c>
      <c r="EH36" s="47">
        <v>1</v>
      </c>
      <c r="EI36" s="47">
        <v>1</v>
      </c>
      <c r="EJ36" s="47">
        <v>1</v>
      </c>
      <c r="EK36" s="47">
        <v>1</v>
      </c>
      <c r="EL36" s="47">
        <v>1</v>
      </c>
      <c r="EM36" s="47">
        <v>1</v>
      </c>
      <c r="EN36" s="47">
        <v>1</v>
      </c>
      <c r="EO36" s="47">
        <v>1</v>
      </c>
      <c r="EP36" s="47">
        <v>1</v>
      </c>
      <c r="EQ36" s="47">
        <v>1</v>
      </c>
      <c r="ER36" s="47">
        <v>1</v>
      </c>
      <c r="ES36" s="47">
        <v>1</v>
      </c>
      <c r="ET36" s="47">
        <v>1</v>
      </c>
      <c r="EU36" s="47">
        <v>1</v>
      </c>
      <c r="EV36" s="47">
        <v>1</v>
      </c>
      <c r="EW36" s="47">
        <f t="shared" ref="EW36:EX36" si="139">SUM(EC36,EE36,EG36,EI36,EK36,EM36,EO36,EQ36,ES36,EU36)</f>
        <v>10</v>
      </c>
      <c r="EX36" s="47">
        <f t="shared" si="139"/>
        <v>10</v>
      </c>
      <c r="EY36" s="64" t="str">
        <f t="shared" ref="EY36:EZ36" si="140">A36</f>
        <v>Yaxley</v>
      </c>
      <c r="EZ36" s="65">
        <f t="shared" si="140"/>
        <v>2021</v>
      </c>
      <c r="FA36" s="23" t="str">
        <f t="shared" si="3"/>
        <v>Y</v>
      </c>
      <c r="FB36" s="23" t="str">
        <f t="shared" si="4"/>
        <v>Y</v>
      </c>
      <c r="FC36" s="23" t="str">
        <f t="shared" si="5"/>
        <v>Y</v>
      </c>
      <c r="FD36" s="23" t="str">
        <f t="shared" si="6"/>
        <v>Y</v>
      </c>
      <c r="FE36" s="23" t="str">
        <f t="shared" si="7"/>
        <v>Y</v>
      </c>
      <c r="FF36" s="23" t="str">
        <f t="shared" si="88"/>
        <v>Y</v>
      </c>
      <c r="FG36" s="23" t="str">
        <f t="shared" si="9"/>
        <v>Y</v>
      </c>
      <c r="FH36" s="23" t="str">
        <f t="shared" si="10"/>
        <v>Y</v>
      </c>
      <c r="FI36" s="23" t="str">
        <f t="shared" si="11"/>
        <v>Y</v>
      </c>
      <c r="FJ36" s="23" t="str">
        <f t="shared" si="12"/>
        <v>Y</v>
      </c>
      <c r="FK36" s="23" t="str">
        <f t="shared" si="13"/>
        <v>Y</v>
      </c>
      <c r="FL36" s="23" t="str">
        <f t="shared" si="14"/>
        <v>Y</v>
      </c>
      <c r="FM36" s="23" t="str">
        <f t="shared" si="15"/>
        <v>Y</v>
      </c>
      <c r="FN36" s="23" t="str">
        <f t="shared" si="16"/>
        <v>Y</v>
      </c>
      <c r="FO36" s="23" t="str">
        <f t="shared" si="17"/>
        <v>Y</v>
      </c>
      <c r="FP36" s="23" t="str">
        <f t="shared" si="18"/>
        <v>Y</v>
      </c>
      <c r="FQ36" s="23" t="str">
        <f t="shared" si="19"/>
        <v>Y</v>
      </c>
      <c r="FR36" s="23" t="str">
        <f t="shared" si="20"/>
        <v>Y</v>
      </c>
      <c r="FS36" s="23" t="str">
        <f t="shared" si="21"/>
        <v>Y</v>
      </c>
      <c r="FT36" s="23" t="str">
        <f t="shared" si="22"/>
        <v>Y</v>
      </c>
      <c r="FU36" s="23" t="str">
        <f t="shared" si="23"/>
        <v>Y</v>
      </c>
      <c r="FV36" s="23" t="str">
        <f t="shared" si="24"/>
        <v>Y</v>
      </c>
      <c r="FW36" s="23" t="str">
        <f t="shared" si="25"/>
        <v>Y</v>
      </c>
      <c r="FX36" s="23" t="str">
        <f t="shared" si="26"/>
        <v>Y</v>
      </c>
      <c r="FY36" s="23" t="str">
        <f t="shared" si="27"/>
        <v>Y</v>
      </c>
      <c r="FZ36" s="23" t="str">
        <f t="shared" si="28"/>
        <v>Y</v>
      </c>
      <c r="GA36" s="23" t="str">
        <f t="shared" si="29"/>
        <v>Y</v>
      </c>
      <c r="GB36" s="23" t="str">
        <f t="shared" si="30"/>
        <v>Y</v>
      </c>
      <c r="GC36" s="23" t="str">
        <f t="shared" si="31"/>
        <v>Y</v>
      </c>
      <c r="GD36" s="23" t="str">
        <f t="shared" si="32"/>
        <v>Y</v>
      </c>
      <c r="GE36" s="23" t="str">
        <f t="shared" si="33"/>
        <v>Y</v>
      </c>
      <c r="GF36" s="23" t="str">
        <f t="shared" si="34"/>
        <v>Y</v>
      </c>
      <c r="GG36" s="23" t="str">
        <f t="shared" si="35"/>
        <v>Y</v>
      </c>
      <c r="GH36" s="23" t="str">
        <f t="shared" si="36"/>
        <v>Y</v>
      </c>
      <c r="GI36" s="23" t="str">
        <f t="shared" si="37"/>
        <v>Y</v>
      </c>
      <c r="GJ36" s="23" t="str">
        <f t="shared" si="38"/>
        <v>Y</v>
      </c>
      <c r="GK36" s="23" t="str">
        <f t="shared" si="39"/>
        <v>Y</v>
      </c>
      <c r="GL36" s="23" t="str">
        <f t="shared" si="40"/>
        <v>Y</v>
      </c>
      <c r="GM36" s="23" t="str">
        <f t="shared" si="41"/>
        <v>Y</v>
      </c>
      <c r="GN36" s="23" t="str">
        <f t="shared" si="42"/>
        <v>Y</v>
      </c>
      <c r="GO36" s="23" t="str">
        <f t="shared" si="43"/>
        <v>Y</v>
      </c>
      <c r="GP36" s="23" t="str">
        <f t="shared" si="44"/>
        <v>Y</v>
      </c>
      <c r="GQ36" s="23" t="str">
        <f t="shared" si="45"/>
        <v>Y</v>
      </c>
      <c r="GR36" s="23" t="str">
        <f t="shared" si="46"/>
        <v>Y</v>
      </c>
      <c r="GS36" s="23" t="str">
        <f t="shared" si="47"/>
        <v>Y</v>
      </c>
      <c r="GT36" s="23" t="str">
        <f t="shared" si="48"/>
        <v>Y</v>
      </c>
      <c r="GU36" s="23" t="str">
        <f t="shared" si="49"/>
        <v>Y</v>
      </c>
      <c r="GV36" s="23" t="str">
        <f t="shared" si="50"/>
        <v>Y</v>
      </c>
      <c r="GW36" s="23" t="str">
        <f t="shared" si="51"/>
        <v>Y</v>
      </c>
      <c r="GX36" s="23" t="str">
        <f t="shared" si="52"/>
        <v>Y</v>
      </c>
      <c r="GY36" s="23" t="str">
        <f t="shared" si="53"/>
        <v>Y</v>
      </c>
      <c r="GZ36" s="23" t="str">
        <f t="shared" si="54"/>
        <v>Y</v>
      </c>
      <c r="HA36" s="23" t="str">
        <f t="shared" si="55"/>
        <v>Y</v>
      </c>
      <c r="HB36" s="23" t="str">
        <f t="shared" si="56"/>
        <v>Y</v>
      </c>
      <c r="HC36" s="23" t="str">
        <f t="shared" si="57"/>
        <v>Y</v>
      </c>
      <c r="HD36" s="23" t="str">
        <f t="shared" si="58"/>
        <v>Y</v>
      </c>
      <c r="HE36" s="23" t="str">
        <f t="shared" si="59"/>
        <v>Y</v>
      </c>
      <c r="HF36" s="23" t="str">
        <f t="shared" si="60"/>
        <v>Y</v>
      </c>
      <c r="HG36" s="23" t="str">
        <f t="shared" si="61"/>
        <v>Y</v>
      </c>
      <c r="HH36" s="23" t="str">
        <f t="shared" si="62"/>
        <v>Y</v>
      </c>
      <c r="HI36" s="23" t="str">
        <f t="shared" si="63"/>
        <v>Y</v>
      </c>
      <c r="HJ36" s="23" t="str">
        <f t="shared" si="64"/>
        <v>Y</v>
      </c>
      <c r="HK36" s="23" t="str">
        <f t="shared" si="65"/>
        <v>Y</v>
      </c>
      <c r="HL36" s="23" t="str">
        <f t="shared" si="66"/>
        <v>Y</v>
      </c>
      <c r="HM36" s="23" t="str">
        <f t="shared" si="67"/>
        <v>Y</v>
      </c>
      <c r="HN36" s="55" t="str">
        <f t="shared" si="68"/>
        <v>Y</v>
      </c>
      <c r="HO36" s="23"/>
      <c r="HP36" s="55"/>
    </row>
    <row r="37" spans="1:224" ht="30" customHeight="1">
      <c r="A37" s="87" t="s">
        <v>188</v>
      </c>
      <c r="B37" s="88">
        <v>2012</v>
      </c>
      <c r="C37" s="88" t="s">
        <v>66</v>
      </c>
      <c r="D37" s="88" t="s">
        <v>66</v>
      </c>
      <c r="E37" s="89" t="s">
        <v>66</v>
      </c>
      <c r="F37" s="88" t="s">
        <v>66</v>
      </c>
      <c r="G37" s="88" t="s">
        <v>66</v>
      </c>
      <c r="H37" s="88" t="s">
        <v>66</v>
      </c>
      <c r="I37" s="88">
        <v>30.6</v>
      </c>
      <c r="J37" s="88">
        <v>30.6</v>
      </c>
      <c r="K37" s="88" t="s">
        <v>66</v>
      </c>
      <c r="L37" s="89" t="s">
        <v>66</v>
      </c>
      <c r="M37" s="89" t="s">
        <v>66</v>
      </c>
      <c r="N37" s="89" t="s">
        <v>66</v>
      </c>
      <c r="O37" s="89" t="s">
        <v>66</v>
      </c>
      <c r="P37" s="89" t="s">
        <v>66</v>
      </c>
      <c r="Q37" s="89" t="s">
        <v>66</v>
      </c>
      <c r="R37" s="89" t="s">
        <v>66</v>
      </c>
      <c r="S37" s="89" t="s">
        <v>66</v>
      </c>
      <c r="T37" s="89" t="s">
        <v>66</v>
      </c>
      <c r="U37" s="88">
        <v>0</v>
      </c>
      <c r="V37" s="88">
        <v>0</v>
      </c>
      <c r="W37" s="88">
        <v>51</v>
      </c>
      <c r="X37" s="88">
        <v>51</v>
      </c>
      <c r="Y37" s="88">
        <v>0</v>
      </c>
      <c r="Z37" s="88">
        <v>0</v>
      </c>
      <c r="AA37" s="88">
        <v>0</v>
      </c>
      <c r="AB37" s="88">
        <v>0</v>
      </c>
      <c r="AC37" s="89" t="s">
        <v>88</v>
      </c>
      <c r="AD37" s="89" t="s">
        <v>128</v>
      </c>
      <c r="AE37" s="88" t="s">
        <v>128</v>
      </c>
      <c r="AF37" s="88" t="s">
        <v>129</v>
      </c>
      <c r="AG37" s="88" t="s">
        <v>91</v>
      </c>
      <c r="AH37" s="88" t="s">
        <v>91</v>
      </c>
      <c r="AI37" s="88" t="s">
        <v>92</v>
      </c>
      <c r="AJ37" s="88" t="s">
        <v>92</v>
      </c>
      <c r="AK37" s="88" t="s">
        <v>91</v>
      </c>
      <c r="AL37" s="88" t="s">
        <v>91</v>
      </c>
      <c r="AM37" s="88" t="s">
        <v>66</v>
      </c>
      <c r="AN37" s="88" t="s">
        <v>66</v>
      </c>
      <c r="AO37" s="88" t="s">
        <v>66</v>
      </c>
      <c r="AP37" s="88" t="s">
        <v>66</v>
      </c>
      <c r="AQ37" s="88" t="s">
        <v>66</v>
      </c>
      <c r="AR37" s="88" t="s">
        <v>66</v>
      </c>
      <c r="AS37" s="90" t="s">
        <v>66</v>
      </c>
      <c r="AT37" s="91" t="s">
        <v>66</v>
      </c>
      <c r="AU37" s="90" t="s">
        <v>66</v>
      </c>
      <c r="AV37" s="91" t="s">
        <v>66</v>
      </c>
      <c r="AW37" s="90" t="s">
        <v>66</v>
      </c>
      <c r="AX37" s="91" t="s">
        <v>66</v>
      </c>
      <c r="AY37" s="88">
        <v>51</v>
      </c>
      <c r="AZ37" s="88">
        <v>51</v>
      </c>
      <c r="BA37" s="88">
        <v>4</v>
      </c>
      <c r="BB37" s="88">
        <v>4</v>
      </c>
      <c r="BC37" s="47">
        <f t="shared" si="81"/>
        <v>4</v>
      </c>
      <c r="BD37" s="88">
        <v>4</v>
      </c>
      <c r="BE37" s="88">
        <v>0</v>
      </c>
      <c r="BF37" s="88">
        <v>0</v>
      </c>
      <c r="BG37" s="88" t="s">
        <v>106</v>
      </c>
      <c r="BH37" s="88" t="s">
        <v>106</v>
      </c>
      <c r="BI37" s="88">
        <v>4</v>
      </c>
      <c r="BJ37" s="88">
        <v>4</v>
      </c>
      <c r="BK37" s="88" t="s">
        <v>94</v>
      </c>
      <c r="BL37" s="88" t="s">
        <v>94</v>
      </c>
      <c r="BM37" s="90">
        <v>4</v>
      </c>
      <c r="BN37" s="88">
        <v>4</v>
      </c>
      <c r="BO37" s="90" t="s">
        <v>94</v>
      </c>
      <c r="BP37" s="88" t="s">
        <v>94</v>
      </c>
      <c r="BQ37" s="90" t="s">
        <v>94</v>
      </c>
      <c r="BR37" s="88" t="s">
        <v>94</v>
      </c>
      <c r="BS37" s="90" t="s">
        <v>94</v>
      </c>
      <c r="BT37" s="88" t="s">
        <v>94</v>
      </c>
      <c r="BU37" s="90" t="s">
        <v>94</v>
      </c>
      <c r="BV37" s="88" t="s">
        <v>94</v>
      </c>
      <c r="BW37" s="90" t="s">
        <v>94</v>
      </c>
      <c r="BX37" s="88" t="s">
        <v>94</v>
      </c>
      <c r="BY37" s="90" t="s">
        <v>94</v>
      </c>
      <c r="BZ37" s="88" t="s">
        <v>94</v>
      </c>
      <c r="CA37" s="90" t="s">
        <v>94</v>
      </c>
      <c r="CB37" s="88" t="s">
        <v>94</v>
      </c>
      <c r="CC37" s="90" t="s">
        <v>94</v>
      </c>
      <c r="CD37" s="88" t="s">
        <v>94</v>
      </c>
      <c r="CE37" s="90" t="s">
        <v>94</v>
      </c>
      <c r="CF37" s="88" t="s">
        <v>94</v>
      </c>
      <c r="CG37" s="90" t="s">
        <v>94</v>
      </c>
      <c r="CH37" s="88" t="s">
        <v>94</v>
      </c>
      <c r="CI37" s="90" t="s">
        <v>94</v>
      </c>
      <c r="CJ37" s="88" t="s">
        <v>94</v>
      </c>
      <c r="CK37" s="90" t="s">
        <v>94</v>
      </c>
      <c r="CL37" s="88" t="s">
        <v>94</v>
      </c>
      <c r="CM37" s="90" t="s">
        <v>94</v>
      </c>
      <c r="CN37" s="88" t="s">
        <v>94</v>
      </c>
      <c r="CO37" s="90" t="s">
        <v>94</v>
      </c>
      <c r="CP37" s="88" t="s">
        <v>94</v>
      </c>
      <c r="CQ37" s="90" t="s">
        <v>94</v>
      </c>
      <c r="CR37" s="88" t="s">
        <v>94</v>
      </c>
      <c r="CS37" s="90" t="s">
        <v>94</v>
      </c>
      <c r="CT37" s="88" t="s">
        <v>94</v>
      </c>
      <c r="CU37" s="88" t="s">
        <v>120</v>
      </c>
      <c r="CV37" s="88" t="s">
        <v>120</v>
      </c>
      <c r="CW37" s="88" t="s">
        <v>66</v>
      </c>
      <c r="CX37" s="88" t="s">
        <v>66</v>
      </c>
      <c r="CY37" s="88" t="s">
        <v>66</v>
      </c>
      <c r="CZ37" s="88" t="s">
        <v>66</v>
      </c>
      <c r="DA37" s="88" t="s">
        <v>120</v>
      </c>
      <c r="DB37" s="88" t="s">
        <v>120</v>
      </c>
      <c r="DC37" s="88" t="s">
        <v>95</v>
      </c>
      <c r="DD37" s="88" t="s">
        <v>95</v>
      </c>
      <c r="DE37" s="88" t="s">
        <v>120</v>
      </c>
      <c r="DF37" s="88" t="s">
        <v>120</v>
      </c>
      <c r="DG37" s="88" t="s">
        <v>66</v>
      </c>
      <c r="DH37" s="88" t="s">
        <v>66</v>
      </c>
      <c r="DI37" s="88" t="s">
        <v>66</v>
      </c>
      <c r="DJ37" s="88" t="s">
        <v>66</v>
      </c>
      <c r="DK37" s="88" t="s">
        <v>66</v>
      </c>
      <c r="DL37" s="88" t="s">
        <v>66</v>
      </c>
      <c r="DM37" s="88" t="s">
        <v>66</v>
      </c>
      <c r="DN37" s="88" t="s">
        <v>66</v>
      </c>
      <c r="DO37" s="88" t="s">
        <v>66</v>
      </c>
      <c r="DP37" s="88" t="s">
        <v>66</v>
      </c>
      <c r="DQ37" s="88" t="s">
        <v>66</v>
      </c>
      <c r="DR37" s="89" t="s">
        <v>66</v>
      </c>
      <c r="DS37" s="88" t="s">
        <v>66</v>
      </c>
      <c r="DT37" s="88" t="s">
        <v>66</v>
      </c>
      <c r="DU37" s="88" t="s">
        <v>66</v>
      </c>
      <c r="DV37" s="88" t="s">
        <v>66</v>
      </c>
      <c r="DW37" s="88" t="s">
        <v>97</v>
      </c>
      <c r="DX37" s="88" t="s">
        <v>97</v>
      </c>
      <c r="DY37" s="88" t="s">
        <v>66</v>
      </c>
      <c r="DZ37" s="88" t="s">
        <v>66</v>
      </c>
      <c r="EA37" s="88" t="s">
        <v>108</v>
      </c>
      <c r="EB37" s="88" t="s">
        <v>108</v>
      </c>
      <c r="EC37" s="88">
        <v>1</v>
      </c>
      <c r="ED37" s="88">
        <v>1</v>
      </c>
      <c r="EE37" s="88">
        <v>1</v>
      </c>
      <c r="EF37" s="88">
        <v>1</v>
      </c>
      <c r="EG37" s="88">
        <v>1</v>
      </c>
      <c r="EH37" s="88">
        <v>1</v>
      </c>
      <c r="EI37" s="88">
        <v>1</v>
      </c>
      <c r="EJ37" s="88">
        <v>1</v>
      </c>
      <c r="EK37" s="88">
        <v>1</v>
      </c>
      <c r="EL37" s="88">
        <v>1</v>
      </c>
      <c r="EM37" s="88">
        <v>1</v>
      </c>
      <c r="EN37" s="88">
        <v>1</v>
      </c>
      <c r="EO37" s="88">
        <v>1</v>
      </c>
      <c r="EP37" s="88">
        <v>1</v>
      </c>
      <c r="EQ37" s="88">
        <v>1</v>
      </c>
      <c r="ER37" s="88">
        <v>1</v>
      </c>
      <c r="ES37" s="88">
        <v>1</v>
      </c>
      <c r="ET37" s="88">
        <v>1</v>
      </c>
      <c r="EU37" s="88">
        <v>1</v>
      </c>
      <c r="EV37" s="88">
        <v>1</v>
      </c>
      <c r="EW37" s="88">
        <f t="shared" ref="EW37:EX37" si="141">SUM(EC37,EE37,EG37,EI37,EK37,EM37,EO37,EQ37,ES37,EU37)</f>
        <v>10</v>
      </c>
      <c r="EX37" s="88">
        <f t="shared" si="141"/>
        <v>10</v>
      </c>
      <c r="EY37" s="92" t="str">
        <f t="shared" ref="EY37:EZ37" si="142">A37</f>
        <v xml:space="preserve">Kanbayashi </v>
      </c>
      <c r="EZ37" s="93">
        <f t="shared" si="142"/>
        <v>2012</v>
      </c>
      <c r="FA37" s="89" t="str">
        <f t="shared" si="3"/>
        <v>Y</v>
      </c>
      <c r="FB37" s="89" t="str">
        <f t="shared" si="4"/>
        <v>Y</v>
      </c>
      <c r="FC37" s="89" t="str">
        <f t="shared" si="5"/>
        <v>Y</v>
      </c>
      <c r="FD37" s="89" t="str">
        <f t="shared" si="6"/>
        <v>Y</v>
      </c>
      <c r="FE37" s="89" t="str">
        <f t="shared" si="7"/>
        <v>Y</v>
      </c>
      <c r="FF37" s="89" t="str">
        <f t="shared" si="88"/>
        <v>Y</v>
      </c>
      <c r="FG37" s="89" t="str">
        <f t="shared" si="9"/>
        <v>Y</v>
      </c>
      <c r="FH37" s="89" t="str">
        <f t="shared" si="10"/>
        <v>Y</v>
      </c>
      <c r="FI37" s="89" t="str">
        <f t="shared" si="11"/>
        <v>Y</v>
      </c>
      <c r="FJ37" s="89" t="str">
        <f t="shared" si="12"/>
        <v>Y</v>
      </c>
      <c r="FK37" s="89" t="str">
        <f t="shared" si="13"/>
        <v>Y</v>
      </c>
      <c r="FL37" s="89" t="str">
        <f t="shared" si="14"/>
        <v>Y</v>
      </c>
      <c r="FM37" s="89" t="str">
        <f t="shared" si="15"/>
        <v>Y</v>
      </c>
      <c r="FN37" s="89" t="str">
        <f t="shared" si="16"/>
        <v>Y</v>
      </c>
      <c r="FO37" s="89" t="str">
        <f t="shared" si="17"/>
        <v>Y</v>
      </c>
      <c r="FP37" s="89" t="str">
        <f t="shared" si="18"/>
        <v>Y</v>
      </c>
      <c r="FQ37" s="89" t="str">
        <f t="shared" si="19"/>
        <v>Y</v>
      </c>
      <c r="FR37" s="89" t="str">
        <f t="shared" si="20"/>
        <v>Y</v>
      </c>
      <c r="FS37" s="89" t="str">
        <f t="shared" si="21"/>
        <v>Y</v>
      </c>
      <c r="FT37" s="89" t="str">
        <f t="shared" si="22"/>
        <v>Y</v>
      </c>
      <c r="FU37" s="89" t="str">
        <f t="shared" si="23"/>
        <v>Y</v>
      </c>
      <c r="FV37" s="89" t="str">
        <f t="shared" si="24"/>
        <v>Y</v>
      </c>
      <c r="FW37" s="89" t="str">
        <f t="shared" si="25"/>
        <v>Y</v>
      </c>
      <c r="FX37" s="89" t="str">
        <f t="shared" si="26"/>
        <v>Y</v>
      </c>
      <c r="FY37" s="89" t="str">
        <f t="shared" si="27"/>
        <v>Y</v>
      </c>
      <c r="FZ37" s="89" t="str">
        <f t="shared" si="28"/>
        <v>Y</v>
      </c>
      <c r="GA37" s="89" t="str">
        <f t="shared" si="29"/>
        <v>Y</v>
      </c>
      <c r="GB37" s="89" t="str">
        <f t="shared" si="30"/>
        <v>Y</v>
      </c>
      <c r="GC37" s="89" t="str">
        <f t="shared" si="31"/>
        <v>Y</v>
      </c>
      <c r="GD37" s="89" t="str">
        <f t="shared" si="32"/>
        <v>Y</v>
      </c>
      <c r="GE37" s="89" t="str">
        <f t="shared" si="33"/>
        <v>Y</v>
      </c>
      <c r="GF37" s="89" t="str">
        <f t="shared" si="34"/>
        <v>Y</v>
      </c>
      <c r="GG37" s="89" t="str">
        <f t="shared" si="35"/>
        <v>Y</v>
      </c>
      <c r="GH37" s="89" t="str">
        <f t="shared" si="36"/>
        <v>Y</v>
      </c>
      <c r="GI37" s="89" t="str">
        <f t="shared" si="37"/>
        <v>Y</v>
      </c>
      <c r="GJ37" s="89" t="str">
        <f t="shared" si="38"/>
        <v>Y</v>
      </c>
      <c r="GK37" s="89" t="str">
        <f t="shared" si="39"/>
        <v>Y</v>
      </c>
      <c r="GL37" s="89" t="str">
        <f t="shared" si="40"/>
        <v>Y</v>
      </c>
      <c r="GM37" s="89" t="str">
        <f t="shared" si="41"/>
        <v>Y</v>
      </c>
      <c r="GN37" s="89" t="str">
        <f t="shared" si="42"/>
        <v>Y</v>
      </c>
      <c r="GO37" s="89" t="str">
        <f t="shared" si="43"/>
        <v>Y</v>
      </c>
      <c r="GP37" s="89" t="str">
        <f t="shared" si="44"/>
        <v>Y</v>
      </c>
      <c r="GQ37" s="89" t="str">
        <f t="shared" si="45"/>
        <v>Y</v>
      </c>
      <c r="GR37" s="89" t="str">
        <f t="shared" si="46"/>
        <v>Y</v>
      </c>
      <c r="GS37" s="89" t="str">
        <f t="shared" si="47"/>
        <v>Y</v>
      </c>
      <c r="GT37" s="89" t="str">
        <f t="shared" si="48"/>
        <v>Y</v>
      </c>
      <c r="GU37" s="89" t="str">
        <f t="shared" si="49"/>
        <v>Y</v>
      </c>
      <c r="GV37" s="89" t="str">
        <f t="shared" si="50"/>
        <v>Y</v>
      </c>
      <c r="GW37" s="89" t="str">
        <f t="shared" si="51"/>
        <v>Y</v>
      </c>
      <c r="GX37" s="89" t="str">
        <f t="shared" si="52"/>
        <v>Y</v>
      </c>
      <c r="GY37" s="89" t="str">
        <f t="shared" si="53"/>
        <v>Y</v>
      </c>
      <c r="GZ37" s="89" t="str">
        <f t="shared" si="54"/>
        <v>Y</v>
      </c>
      <c r="HA37" s="89" t="str">
        <f t="shared" si="55"/>
        <v>Y</v>
      </c>
      <c r="HB37" s="89" t="str">
        <f t="shared" si="56"/>
        <v>Y</v>
      </c>
      <c r="HC37" s="89" t="str">
        <f t="shared" si="57"/>
        <v>Y</v>
      </c>
      <c r="HD37" s="89" t="str">
        <f t="shared" si="58"/>
        <v>Y</v>
      </c>
      <c r="HE37" s="89" t="str">
        <f t="shared" si="59"/>
        <v>Y</v>
      </c>
      <c r="HF37" s="89" t="str">
        <f t="shared" si="60"/>
        <v>Y</v>
      </c>
      <c r="HG37" s="89" t="str">
        <f t="shared" si="61"/>
        <v>Y</v>
      </c>
      <c r="HH37" s="89" t="str">
        <f t="shared" si="62"/>
        <v>Y</v>
      </c>
      <c r="HI37" s="89" t="str">
        <f t="shared" si="63"/>
        <v>Y</v>
      </c>
      <c r="HJ37" s="89" t="str">
        <f t="shared" si="64"/>
        <v>Y</v>
      </c>
      <c r="HK37" s="89" t="str">
        <f t="shared" si="65"/>
        <v>Y</v>
      </c>
      <c r="HL37" s="89" t="str">
        <f t="shared" si="66"/>
        <v>Y</v>
      </c>
      <c r="HM37" s="89" t="str">
        <f t="shared" si="67"/>
        <v>Y</v>
      </c>
      <c r="HN37" s="94" t="str">
        <f t="shared" si="68"/>
        <v>Y</v>
      </c>
      <c r="HO37" s="89"/>
      <c r="HP37" s="94"/>
    </row>
    <row r="38" spans="1:224" ht="30" customHeight="1">
      <c r="A38" s="95" t="s">
        <v>189</v>
      </c>
      <c r="B38" s="96">
        <v>2006</v>
      </c>
      <c r="C38" s="96">
        <v>214</v>
      </c>
      <c r="D38" s="96">
        <v>214</v>
      </c>
      <c r="E38" s="97">
        <v>88</v>
      </c>
      <c r="F38" s="96">
        <v>88</v>
      </c>
      <c r="G38" s="96" t="s">
        <v>66</v>
      </c>
      <c r="H38" s="96" t="s">
        <v>66</v>
      </c>
      <c r="I38" s="96" t="s">
        <v>66</v>
      </c>
      <c r="J38" s="96" t="s">
        <v>66</v>
      </c>
      <c r="K38" s="96">
        <v>28.5</v>
      </c>
      <c r="L38" s="97">
        <v>28.5</v>
      </c>
      <c r="M38" s="97">
        <v>148</v>
      </c>
      <c r="N38" s="97">
        <v>148</v>
      </c>
      <c r="O38" s="97" t="s">
        <v>66</v>
      </c>
      <c r="P38" s="97" t="s">
        <v>66</v>
      </c>
      <c r="Q38" s="97">
        <v>0</v>
      </c>
      <c r="R38" s="97">
        <v>0</v>
      </c>
      <c r="S38" s="97">
        <v>154</v>
      </c>
      <c r="T38" s="97">
        <v>154</v>
      </c>
      <c r="U38" s="96">
        <v>302</v>
      </c>
      <c r="V38" s="96">
        <v>302</v>
      </c>
      <c r="W38" s="96">
        <v>0</v>
      </c>
      <c r="X38" s="96">
        <v>0</v>
      </c>
      <c r="Y38" s="96">
        <v>0</v>
      </c>
      <c r="Z38" s="96">
        <v>0</v>
      </c>
      <c r="AA38" s="96">
        <v>0</v>
      </c>
      <c r="AB38" s="96">
        <v>0</v>
      </c>
      <c r="AC38" s="98" t="s">
        <v>104</v>
      </c>
      <c r="AD38" s="97" t="s">
        <v>105</v>
      </c>
      <c r="AE38" s="96" t="s">
        <v>105</v>
      </c>
      <c r="AF38" s="96" t="s">
        <v>90</v>
      </c>
      <c r="AG38" s="96" t="s">
        <v>91</v>
      </c>
      <c r="AH38" s="96" t="s">
        <v>91</v>
      </c>
      <c r="AI38" s="96" t="s">
        <v>92</v>
      </c>
      <c r="AJ38" s="96" t="s">
        <v>92</v>
      </c>
      <c r="AK38" s="96" t="s">
        <v>92</v>
      </c>
      <c r="AL38" s="96" t="s">
        <v>92</v>
      </c>
      <c r="AM38" s="96">
        <v>302</v>
      </c>
      <c r="AN38" s="96">
        <v>302</v>
      </c>
      <c r="AO38" s="96">
        <v>0</v>
      </c>
      <c r="AP38" s="96">
        <v>0</v>
      </c>
      <c r="AQ38" s="96">
        <v>0</v>
      </c>
      <c r="AR38" s="96">
        <v>0</v>
      </c>
      <c r="AS38" s="98" t="s">
        <v>66</v>
      </c>
      <c r="AT38" s="99" t="s">
        <v>66</v>
      </c>
      <c r="AU38" s="98" t="s">
        <v>66</v>
      </c>
      <c r="AV38" s="99" t="s">
        <v>66</v>
      </c>
      <c r="AW38" s="98" t="s">
        <v>66</v>
      </c>
      <c r="AX38" s="99" t="s">
        <v>66</v>
      </c>
      <c r="AY38" s="96">
        <v>302</v>
      </c>
      <c r="AZ38" s="96">
        <v>302</v>
      </c>
      <c r="BA38" s="96">
        <v>53</v>
      </c>
      <c r="BB38" s="96">
        <v>53</v>
      </c>
      <c r="BC38" s="47">
        <f t="shared" si="81"/>
        <v>53</v>
      </c>
      <c r="BD38" s="96">
        <v>53</v>
      </c>
      <c r="BE38" s="96">
        <v>0</v>
      </c>
      <c r="BF38" s="96">
        <v>0</v>
      </c>
      <c r="BG38" s="96" t="s">
        <v>106</v>
      </c>
      <c r="BH38" s="96" t="s">
        <v>106</v>
      </c>
      <c r="BI38" s="96">
        <v>0</v>
      </c>
      <c r="BJ38" s="96">
        <v>0</v>
      </c>
      <c r="BK38" s="96">
        <v>53</v>
      </c>
      <c r="BL38" s="96">
        <v>53</v>
      </c>
      <c r="BM38" s="98" t="s">
        <v>94</v>
      </c>
      <c r="BN38" s="96" t="s">
        <v>94</v>
      </c>
      <c r="BO38" s="98" t="s">
        <v>94</v>
      </c>
      <c r="BP38" s="96" t="s">
        <v>94</v>
      </c>
      <c r="BQ38" s="98">
        <v>53</v>
      </c>
      <c r="BR38" s="96">
        <v>53</v>
      </c>
      <c r="BS38" s="98" t="s">
        <v>94</v>
      </c>
      <c r="BT38" s="96" t="s">
        <v>94</v>
      </c>
      <c r="BU38" s="98" t="s">
        <v>94</v>
      </c>
      <c r="BV38" s="96" t="s">
        <v>94</v>
      </c>
      <c r="BW38" s="98" t="s">
        <v>94</v>
      </c>
      <c r="BX38" s="98" t="s">
        <v>94</v>
      </c>
      <c r="BY38" s="98" t="s">
        <v>94</v>
      </c>
      <c r="BZ38" s="96" t="s">
        <v>94</v>
      </c>
      <c r="CA38" s="98" t="s">
        <v>94</v>
      </c>
      <c r="CB38" s="96" t="s">
        <v>94</v>
      </c>
      <c r="CC38" s="98" t="s">
        <v>94</v>
      </c>
      <c r="CD38" s="96" t="s">
        <v>94</v>
      </c>
      <c r="CE38" s="98" t="s">
        <v>94</v>
      </c>
      <c r="CF38" s="96" t="s">
        <v>94</v>
      </c>
      <c r="CG38" s="98" t="s">
        <v>94</v>
      </c>
      <c r="CH38" s="96" t="s">
        <v>94</v>
      </c>
      <c r="CI38" s="98" t="s">
        <v>94</v>
      </c>
      <c r="CJ38" s="96" t="s">
        <v>94</v>
      </c>
      <c r="CK38" s="98" t="s">
        <v>94</v>
      </c>
      <c r="CL38" s="96" t="s">
        <v>94</v>
      </c>
      <c r="CM38" s="98" t="s">
        <v>94</v>
      </c>
      <c r="CN38" s="96" t="s">
        <v>94</v>
      </c>
      <c r="CO38" s="98" t="s">
        <v>94</v>
      </c>
      <c r="CP38" s="96" t="s">
        <v>94</v>
      </c>
      <c r="CQ38" s="98" t="s">
        <v>94</v>
      </c>
      <c r="CR38" s="96" t="s">
        <v>94</v>
      </c>
      <c r="CS38" s="98" t="s">
        <v>94</v>
      </c>
      <c r="CT38" s="96" t="s">
        <v>94</v>
      </c>
      <c r="CU38" s="96" t="s">
        <v>66</v>
      </c>
      <c r="CV38" s="96" t="s">
        <v>66</v>
      </c>
      <c r="CW38" s="96" t="s">
        <v>66</v>
      </c>
      <c r="CX38" s="96" t="s">
        <v>66</v>
      </c>
      <c r="CY38" s="96" t="s">
        <v>66</v>
      </c>
      <c r="CZ38" s="96" t="s">
        <v>66</v>
      </c>
      <c r="DA38" s="96" t="s">
        <v>66</v>
      </c>
      <c r="DB38" s="96" t="s">
        <v>66</v>
      </c>
      <c r="DC38" s="96" t="s">
        <v>66</v>
      </c>
      <c r="DD38" s="96" t="s">
        <v>66</v>
      </c>
      <c r="DE38" s="96" t="s">
        <v>66</v>
      </c>
      <c r="DF38" s="96" t="s">
        <v>66</v>
      </c>
      <c r="DG38" s="96" t="s">
        <v>96</v>
      </c>
      <c r="DH38" s="96" t="s">
        <v>96</v>
      </c>
      <c r="DI38" s="96" t="s">
        <v>96</v>
      </c>
      <c r="DJ38" s="96" t="s">
        <v>96</v>
      </c>
      <c r="DK38" s="96" t="s">
        <v>92</v>
      </c>
      <c r="DL38" s="96" t="s">
        <v>92</v>
      </c>
      <c r="DM38" s="96" t="s">
        <v>66</v>
      </c>
      <c r="DN38" s="96" t="s">
        <v>66</v>
      </c>
      <c r="DO38" s="96" t="s">
        <v>66</v>
      </c>
      <c r="DP38" s="96" t="s">
        <v>66</v>
      </c>
      <c r="DQ38" s="96" t="s">
        <v>66</v>
      </c>
      <c r="DR38" s="97" t="s">
        <v>66</v>
      </c>
      <c r="DS38" s="96" t="s">
        <v>66</v>
      </c>
      <c r="DT38" s="96" t="s">
        <v>66</v>
      </c>
      <c r="DU38" s="96" t="s">
        <v>66</v>
      </c>
      <c r="DV38" s="96" t="s">
        <v>66</v>
      </c>
      <c r="DW38" s="96" t="s">
        <v>97</v>
      </c>
      <c r="DX38" s="96" t="s">
        <v>97</v>
      </c>
      <c r="DY38" s="96" t="s">
        <v>107</v>
      </c>
      <c r="DZ38" s="96" t="s">
        <v>107</v>
      </c>
      <c r="EA38" s="96" t="s">
        <v>108</v>
      </c>
      <c r="EB38" s="96" t="s">
        <v>108</v>
      </c>
      <c r="EC38" s="96">
        <v>1</v>
      </c>
      <c r="ED38" s="96">
        <v>1</v>
      </c>
      <c r="EE38" s="96">
        <v>1</v>
      </c>
      <c r="EF38" s="96">
        <v>1</v>
      </c>
      <c r="EG38" s="96">
        <v>1</v>
      </c>
      <c r="EH38" s="96">
        <v>1</v>
      </c>
      <c r="EI38" s="96">
        <v>1</v>
      </c>
      <c r="EJ38" s="96">
        <v>1</v>
      </c>
      <c r="EK38" s="96">
        <v>1</v>
      </c>
      <c r="EL38" s="96">
        <v>1</v>
      </c>
      <c r="EM38" s="96">
        <v>1</v>
      </c>
      <c r="EN38" s="96">
        <v>1</v>
      </c>
      <c r="EO38" s="96">
        <v>1</v>
      </c>
      <c r="EP38" s="96">
        <v>1</v>
      </c>
      <c r="EQ38" s="96">
        <v>1</v>
      </c>
      <c r="ER38" s="96">
        <v>1</v>
      </c>
      <c r="ES38" s="96">
        <v>1</v>
      </c>
      <c r="ET38" s="96">
        <v>1</v>
      </c>
      <c r="EU38" s="96">
        <v>1</v>
      </c>
      <c r="EV38" s="96">
        <v>1</v>
      </c>
      <c r="EW38" s="96">
        <f t="shared" ref="EW38:EX38" si="143">SUM(EC38,EE38,EG38,EI38,EK38,EM38,EO38,EQ38,ES38,EU38)</f>
        <v>10</v>
      </c>
      <c r="EX38" s="96">
        <f t="shared" si="143"/>
        <v>10</v>
      </c>
      <c r="EY38" s="100" t="str">
        <f t="shared" ref="EY38:EZ38" si="144">A38</f>
        <v>Schanzer</v>
      </c>
      <c r="EZ38" s="101">
        <f t="shared" si="144"/>
        <v>2006</v>
      </c>
      <c r="FA38" s="97" t="str">
        <f t="shared" si="3"/>
        <v>Y</v>
      </c>
      <c r="FB38" s="97" t="str">
        <f t="shared" si="4"/>
        <v>Y</v>
      </c>
      <c r="FC38" s="97" t="str">
        <f t="shared" si="5"/>
        <v>Y</v>
      </c>
      <c r="FD38" s="97" t="str">
        <f t="shared" si="6"/>
        <v>Y</v>
      </c>
      <c r="FE38" s="97" t="str">
        <f t="shared" si="7"/>
        <v>Y</v>
      </c>
      <c r="FF38" s="97" t="str">
        <f t="shared" si="88"/>
        <v>Y</v>
      </c>
      <c r="FG38" s="97" t="str">
        <f t="shared" si="9"/>
        <v>Y</v>
      </c>
      <c r="FH38" s="97" t="str">
        <f t="shared" si="10"/>
        <v>Y</v>
      </c>
      <c r="FI38" s="97" t="str">
        <f t="shared" si="11"/>
        <v>Y</v>
      </c>
      <c r="FJ38" s="97" t="str">
        <f t="shared" si="12"/>
        <v>Y</v>
      </c>
      <c r="FK38" s="97" t="str">
        <f t="shared" si="13"/>
        <v>Y</v>
      </c>
      <c r="FL38" s="97" t="str">
        <f t="shared" si="14"/>
        <v>Y</v>
      </c>
      <c r="FM38" s="97" t="str">
        <f t="shared" si="15"/>
        <v>Y</v>
      </c>
      <c r="FN38" s="97" t="str">
        <f t="shared" si="16"/>
        <v>Y</v>
      </c>
      <c r="FO38" s="97" t="str">
        <f t="shared" si="17"/>
        <v>Y</v>
      </c>
      <c r="FP38" s="97" t="str">
        <f t="shared" si="18"/>
        <v>Y</v>
      </c>
      <c r="FQ38" s="97" t="str">
        <f t="shared" si="19"/>
        <v>Y</v>
      </c>
      <c r="FR38" s="97" t="str">
        <f t="shared" si="20"/>
        <v>Y</v>
      </c>
      <c r="FS38" s="97" t="str">
        <f t="shared" si="21"/>
        <v>Y</v>
      </c>
      <c r="FT38" s="97" t="str">
        <f t="shared" si="22"/>
        <v>Y</v>
      </c>
      <c r="FU38" s="97" t="str">
        <f t="shared" si="23"/>
        <v>Y</v>
      </c>
      <c r="FV38" s="97" t="str">
        <f t="shared" si="24"/>
        <v>Y</v>
      </c>
      <c r="FW38" s="97" t="str">
        <f t="shared" si="25"/>
        <v>Y</v>
      </c>
      <c r="FX38" s="97" t="str">
        <f t="shared" si="26"/>
        <v>Y</v>
      </c>
      <c r="FY38" s="97" t="str">
        <f t="shared" si="27"/>
        <v>Y</v>
      </c>
      <c r="FZ38" s="97" t="str">
        <f t="shared" si="28"/>
        <v>Y</v>
      </c>
      <c r="GA38" s="97" t="str">
        <f t="shared" si="29"/>
        <v>Y</v>
      </c>
      <c r="GB38" s="97" t="str">
        <f t="shared" si="30"/>
        <v>Y</v>
      </c>
      <c r="GC38" s="97" t="str">
        <f t="shared" si="31"/>
        <v>Y</v>
      </c>
      <c r="GD38" s="97" t="str">
        <f t="shared" si="32"/>
        <v>Y</v>
      </c>
      <c r="GE38" s="97" t="str">
        <f t="shared" si="33"/>
        <v>Y</v>
      </c>
      <c r="GF38" s="97" t="str">
        <f t="shared" si="34"/>
        <v>Y</v>
      </c>
      <c r="GG38" s="97" t="str">
        <f t="shared" si="35"/>
        <v>Y</v>
      </c>
      <c r="GH38" s="97" t="str">
        <f t="shared" si="36"/>
        <v>Y</v>
      </c>
      <c r="GI38" s="97" t="str">
        <f t="shared" si="37"/>
        <v>Y</v>
      </c>
      <c r="GJ38" s="97" t="str">
        <f t="shared" si="38"/>
        <v>Y</v>
      </c>
      <c r="GK38" s="97" t="str">
        <f t="shared" si="39"/>
        <v>Y</v>
      </c>
      <c r="GL38" s="97" t="str">
        <f t="shared" si="40"/>
        <v>Y</v>
      </c>
      <c r="GM38" s="97" t="str">
        <f t="shared" si="41"/>
        <v>Y</v>
      </c>
      <c r="GN38" s="97" t="str">
        <f t="shared" si="42"/>
        <v>Y</v>
      </c>
      <c r="GO38" s="97" t="str">
        <f t="shared" si="43"/>
        <v>Y</v>
      </c>
      <c r="GP38" s="97" t="str">
        <f t="shared" si="44"/>
        <v>Y</v>
      </c>
      <c r="GQ38" s="97" t="str">
        <f t="shared" si="45"/>
        <v>Y</v>
      </c>
      <c r="GR38" s="97" t="str">
        <f t="shared" si="46"/>
        <v>Y</v>
      </c>
      <c r="GS38" s="97" t="str">
        <f t="shared" si="47"/>
        <v>Y</v>
      </c>
      <c r="GT38" s="97" t="str">
        <f t="shared" si="48"/>
        <v>Y</v>
      </c>
      <c r="GU38" s="97" t="str">
        <f t="shared" si="49"/>
        <v>Y</v>
      </c>
      <c r="GV38" s="97" t="str">
        <f t="shared" si="50"/>
        <v>Y</v>
      </c>
      <c r="GW38" s="97" t="str">
        <f t="shared" si="51"/>
        <v>Y</v>
      </c>
      <c r="GX38" s="97" t="str">
        <f t="shared" si="52"/>
        <v>Y</v>
      </c>
      <c r="GY38" s="97" t="str">
        <f t="shared" si="53"/>
        <v>Y</v>
      </c>
      <c r="GZ38" s="97" t="str">
        <f t="shared" si="54"/>
        <v>Y</v>
      </c>
      <c r="HA38" s="97" t="str">
        <f t="shared" si="55"/>
        <v>Y</v>
      </c>
      <c r="HB38" s="97" t="str">
        <f t="shared" si="56"/>
        <v>Y</v>
      </c>
      <c r="HC38" s="97" t="str">
        <f t="shared" si="57"/>
        <v>Y</v>
      </c>
      <c r="HD38" s="97" t="str">
        <f t="shared" si="58"/>
        <v>Y</v>
      </c>
      <c r="HE38" s="97" t="str">
        <f t="shared" si="59"/>
        <v>Y</v>
      </c>
      <c r="HF38" s="97" t="str">
        <f t="shared" si="60"/>
        <v>Y</v>
      </c>
      <c r="HG38" s="97" t="str">
        <f t="shared" si="61"/>
        <v>Y</v>
      </c>
      <c r="HH38" s="97" t="str">
        <f t="shared" si="62"/>
        <v>Y</v>
      </c>
      <c r="HI38" s="97" t="str">
        <f t="shared" si="63"/>
        <v>Y</v>
      </c>
      <c r="HJ38" s="97" t="str">
        <f t="shared" si="64"/>
        <v>Y</v>
      </c>
      <c r="HK38" s="97" t="str">
        <f t="shared" si="65"/>
        <v>Y</v>
      </c>
      <c r="HL38" s="97" t="str">
        <f t="shared" si="66"/>
        <v>Y</v>
      </c>
      <c r="HM38" s="97" t="str">
        <f t="shared" si="67"/>
        <v>Y</v>
      </c>
      <c r="HN38" s="102" t="str">
        <f t="shared" si="68"/>
        <v>Y</v>
      </c>
      <c r="HO38" s="97"/>
      <c r="HP38" s="102"/>
    </row>
    <row r="39" spans="1:224" ht="15.75" customHeight="1"/>
    <row r="40" spans="1:224" ht="15.75" customHeight="1"/>
    <row r="41" spans="1:224" ht="15.75" customHeight="1"/>
    <row r="42" spans="1:224" ht="15.75" customHeight="1"/>
    <row r="43" spans="1:224" ht="15.75" customHeight="1"/>
    <row r="44" spans="1:224" ht="15.75" customHeight="1"/>
    <row r="45" spans="1:224" ht="15.75" customHeight="1"/>
    <row r="46" spans="1:224" ht="15.75" customHeight="1"/>
    <row r="47" spans="1:224" ht="15.75" customHeight="1"/>
    <row r="48" spans="1:2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71">
    <mergeCell ref="CU1:CV1"/>
    <mergeCell ref="CW1:CX1"/>
    <mergeCell ref="CY1:CZ1"/>
    <mergeCell ref="DA1:DB1"/>
    <mergeCell ref="CK1:CL1"/>
    <mergeCell ref="CM1:CN1"/>
    <mergeCell ref="CO1:CP1"/>
    <mergeCell ref="CQ1:CR1"/>
    <mergeCell ref="CS1:CT1"/>
    <mergeCell ref="CA1:CB1"/>
    <mergeCell ref="CC1:CD1"/>
    <mergeCell ref="CE1:CF1"/>
    <mergeCell ref="CG1:CH1"/>
    <mergeCell ref="CI1:CJ1"/>
    <mergeCell ref="BQ1:BR1"/>
    <mergeCell ref="BS1:BT1"/>
    <mergeCell ref="BU1:BV1"/>
    <mergeCell ref="BW1:BX1"/>
    <mergeCell ref="BY1:BZ1"/>
    <mergeCell ref="BG1:BH1"/>
    <mergeCell ref="BI1:BJ1"/>
    <mergeCell ref="BK1:BL1"/>
    <mergeCell ref="BM1:BN1"/>
    <mergeCell ref="BO1:BP1"/>
    <mergeCell ref="AS1:AT1"/>
    <mergeCell ref="AU1:AV1"/>
    <mergeCell ref="AW1:AX1"/>
    <mergeCell ref="AY1:AZ1"/>
    <mergeCell ref="BA1:BB1"/>
    <mergeCell ref="AI1:AJ1"/>
    <mergeCell ref="AK1:AL1"/>
    <mergeCell ref="AM1:AN1"/>
    <mergeCell ref="AO1:AP1"/>
    <mergeCell ref="AQ1:AR1"/>
    <mergeCell ref="W1:X1"/>
    <mergeCell ref="Y1:Z1"/>
    <mergeCell ref="AA1:AB1"/>
    <mergeCell ref="AD1:AE1"/>
    <mergeCell ref="AG1:AH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  <mergeCell ref="EO1:EP1"/>
    <mergeCell ref="EQ1:ER1"/>
    <mergeCell ref="ES1:ET1"/>
    <mergeCell ref="EU1:EV1"/>
    <mergeCell ref="EW1:EX1"/>
    <mergeCell ref="DQ1:DR1"/>
    <mergeCell ref="DS1:DT1"/>
    <mergeCell ref="EI1:EJ1"/>
    <mergeCell ref="EK1:EL1"/>
    <mergeCell ref="EM1:EN1"/>
    <mergeCell ref="DU1:DV1"/>
    <mergeCell ref="DW1:DX1"/>
    <mergeCell ref="DY1:DZ1"/>
    <mergeCell ref="EA1:EB1"/>
    <mergeCell ref="EC1:ED1"/>
    <mergeCell ref="EE1:EF1"/>
    <mergeCell ref="EG1:EH1"/>
    <mergeCell ref="DC1:DD1"/>
    <mergeCell ref="DI1:DJ1"/>
    <mergeCell ref="DK1:DL1"/>
    <mergeCell ref="DM1:DN1"/>
    <mergeCell ref="DO1:DP1"/>
  </mergeCells>
  <conditionalFormatting sqref="H3:H21 H23:H27 H30:H33 H37">
    <cfRule type="cellIs" dxfId="104" priority="1" operator="equal">
      <formula>"?"</formula>
    </cfRule>
  </conditionalFormatting>
  <conditionalFormatting sqref="J3:J21 J23:J27 J30:J33 J37">
    <cfRule type="cellIs" dxfId="103" priority="2" operator="equal">
      <formula>"?"</formula>
    </cfRule>
  </conditionalFormatting>
  <conditionalFormatting sqref="K3:L21 K23:L33 K37:L38">
    <cfRule type="cellIs" dxfId="102" priority="3" operator="equal">
      <formula>"?"</formula>
    </cfRule>
  </conditionalFormatting>
  <conditionalFormatting sqref="U3:U16 U18:U21 U23:U33 U37:U38">
    <cfRule type="cellIs" dxfId="101" priority="4" operator="equal">
      <formula>"?"</formula>
    </cfRule>
  </conditionalFormatting>
  <conditionalFormatting sqref="W3:W16 W18:W21 W23:W33 W37:W38">
    <cfRule type="cellIs" dxfId="100" priority="5" operator="equal">
      <formula>"?"</formula>
    </cfRule>
  </conditionalFormatting>
  <conditionalFormatting sqref="Y3:Y16 Y18:Y21 Y23:Y33 Y37:Y38">
    <cfRule type="cellIs" dxfId="99" priority="6" operator="equal">
      <formula>"?"</formula>
    </cfRule>
  </conditionalFormatting>
  <conditionalFormatting sqref="AA3:AA21 AB17 AA23:AA33 AA37:AA38">
    <cfRule type="cellIs" dxfId="98" priority="7" operator="equal">
      <formula>"?"</formula>
    </cfRule>
  </conditionalFormatting>
  <conditionalFormatting sqref="AG3:AG21 AG23:AG34 AG37:AG38">
    <cfRule type="cellIs" dxfId="97" priority="8" operator="equal">
      <formula>"?"</formula>
    </cfRule>
  </conditionalFormatting>
  <conditionalFormatting sqref="AI3:AI21 AI23:AI34 AI37:AI38">
    <cfRule type="cellIs" dxfId="96" priority="9" operator="equal">
      <formula>"?"</formula>
    </cfRule>
  </conditionalFormatting>
  <conditionalFormatting sqref="AM3:AO21 AP17:AR17 AM23:AO34 AM37:AO38">
    <cfRule type="cellIs" dxfId="95" priority="10" operator="equal">
      <formula>"?"</formula>
    </cfRule>
  </conditionalFormatting>
  <conditionalFormatting sqref="AP28:AP29 AP38">
    <cfRule type="cellIs" dxfId="94" priority="11" operator="equal">
      <formula>"?"</formula>
    </cfRule>
  </conditionalFormatting>
  <conditionalFormatting sqref="AQ3:AQ21 AQ23:AQ34 AQ37:AQ38">
    <cfRule type="cellIs" dxfId="93" priority="12" operator="equal">
      <formula>"?"</formula>
    </cfRule>
  </conditionalFormatting>
  <conditionalFormatting sqref="AS3:AY21 AS23:AW25 AX23:AY34 AS27:AW34 AS37:AY38">
    <cfRule type="cellIs" dxfId="92" priority="13" operator="equal">
      <formula>"?"</formula>
    </cfRule>
  </conditionalFormatting>
  <conditionalFormatting sqref="BA3:BA21 BA23:BA34 BA37:BA38">
    <cfRule type="cellIs" dxfId="91" priority="14" operator="equal">
      <formula>"?"</formula>
    </cfRule>
  </conditionalFormatting>
  <conditionalFormatting sqref="BM3:BM13 BM15:BM16 BM18:BM21 BM23 BM25:BM34 BN28:BP29 BN31:BP32 BN34:BP34 BM37:BM38 BN38:BP38">
    <cfRule type="cellIs" dxfId="90" priority="15" operator="equal">
      <formula>"?"</formula>
    </cfRule>
  </conditionalFormatting>
  <conditionalFormatting sqref="BN6">
    <cfRule type="cellIs" dxfId="89" priority="16" operator="equal">
      <formula>"?"</formula>
    </cfRule>
  </conditionalFormatting>
  <conditionalFormatting sqref="BN23">
    <cfRule type="cellIs" dxfId="88" priority="17" operator="equal">
      <formula>"?"</formula>
    </cfRule>
  </conditionalFormatting>
  <conditionalFormatting sqref="BO3:BO9 BO11:BO13">
    <cfRule type="cellIs" dxfId="87" priority="18" operator="equal">
      <formula>"?"</formula>
    </cfRule>
  </conditionalFormatting>
  <conditionalFormatting sqref="BO16 BO18:BO21 BO23 BO37:CT37">
    <cfRule type="cellIs" dxfId="86" priority="19" operator="equal">
      <formula>"?"</formula>
    </cfRule>
  </conditionalFormatting>
  <conditionalFormatting sqref="BP6">
    <cfRule type="cellIs" dxfId="85" priority="20" operator="equal">
      <formula>"?"</formula>
    </cfRule>
  </conditionalFormatting>
  <conditionalFormatting sqref="BP23">
    <cfRule type="cellIs" dxfId="84" priority="21" operator="equal">
      <formula>"?"</formula>
    </cfRule>
  </conditionalFormatting>
  <conditionalFormatting sqref="BP16:CR16 BO25:BO27 BO30">
    <cfRule type="cellIs" dxfId="83" priority="22" operator="equal">
      <formula>"?"</formula>
    </cfRule>
  </conditionalFormatting>
  <conditionalFormatting sqref="BQ3 BQ5:BQ13 BQ15 BQ18:BQ21 BQ23 BQ25:BQ34 BS31 BU31 BW31 BY31 CA31 CC31 CE31 CG31 CI31 CK31 CM31 CO31 CQ31 CS31 BQ38">
    <cfRule type="cellIs" dxfId="82" priority="23" operator="equal">
      <formula>"?"</formula>
    </cfRule>
  </conditionalFormatting>
  <conditionalFormatting sqref="BS3:BT3 BS5:BS9 BS11:BS13">
    <cfRule type="cellIs" dxfId="81" priority="24" operator="equal">
      <formula>"?"</formula>
    </cfRule>
  </conditionalFormatting>
  <conditionalFormatting sqref="BS15 BS25:BS27 BS30 BS34:CT34">
    <cfRule type="cellIs" dxfId="80" priority="25" operator="equal">
      <formula>"?"</formula>
    </cfRule>
  </conditionalFormatting>
  <conditionalFormatting sqref="BS18:BS21 BS23">
    <cfRule type="cellIs" dxfId="79" priority="26" operator="equal">
      <formula>"?"</formula>
    </cfRule>
  </conditionalFormatting>
  <conditionalFormatting sqref="BT6">
    <cfRule type="cellIs" dxfId="78" priority="27" operator="equal">
      <formula>"?"</formula>
    </cfRule>
  </conditionalFormatting>
  <conditionalFormatting sqref="BT23:CR23">
    <cfRule type="cellIs" dxfId="77" priority="28" operator="equal">
      <formula>"?"</formula>
    </cfRule>
  </conditionalFormatting>
  <conditionalFormatting sqref="BU3:BU6 BV4:BX4">
    <cfRule type="cellIs" dxfId="76" priority="29" operator="equal">
      <formula>"?"</formula>
    </cfRule>
  </conditionalFormatting>
  <conditionalFormatting sqref="BU8:BU9 BU11:BU13 BU18:BU19 BU26:BU27 BU30">
    <cfRule type="cellIs" dxfId="75" priority="30" operator="equal">
      <formula>"?"</formula>
    </cfRule>
  </conditionalFormatting>
  <conditionalFormatting sqref="BV6">
    <cfRule type="cellIs" dxfId="74" priority="31" operator="equal">
      <formula>"?"</formula>
    </cfRule>
  </conditionalFormatting>
  <conditionalFormatting sqref="BW3:BW6 BX4">
    <cfRule type="cellIs" dxfId="73" priority="32" operator="equal">
      <formula>"?"</formula>
    </cfRule>
  </conditionalFormatting>
  <conditionalFormatting sqref="BW8:BW9 BW11:BW13 BW18:BW19 BW26:BW27 BW30">
    <cfRule type="cellIs" dxfId="72" priority="33" operator="equal">
      <formula>"?"</formula>
    </cfRule>
  </conditionalFormatting>
  <conditionalFormatting sqref="BX6">
    <cfRule type="cellIs" dxfId="71" priority="34" operator="equal">
      <formula>"?"</formula>
    </cfRule>
  </conditionalFormatting>
  <conditionalFormatting sqref="BY3 BY5:BY6">
    <cfRule type="cellIs" dxfId="70" priority="35" operator="equal">
      <formula>"?"</formula>
    </cfRule>
  </conditionalFormatting>
  <conditionalFormatting sqref="BY8:BY9 BY11:BY13 BY15 BY18:BY19 BY26:BY27 BY30">
    <cfRule type="cellIs" dxfId="69" priority="36" operator="equal">
      <formula>"?"</formula>
    </cfRule>
  </conditionalFormatting>
  <conditionalFormatting sqref="BZ6">
    <cfRule type="cellIs" dxfId="68" priority="37" operator="equal">
      <formula>"?"</formula>
    </cfRule>
  </conditionalFormatting>
  <conditionalFormatting sqref="CA3 CA5:CA6">
    <cfRule type="cellIs" dxfId="67" priority="38" operator="equal">
      <formula>"?"</formula>
    </cfRule>
  </conditionalFormatting>
  <conditionalFormatting sqref="CA8:CA9 CA11:CA13 CA15 CA18:CA19 CA26:CA27 CA30">
    <cfRule type="cellIs" dxfId="66" priority="39" operator="equal">
      <formula>"?"</formula>
    </cfRule>
  </conditionalFormatting>
  <conditionalFormatting sqref="CB6">
    <cfRule type="cellIs" dxfId="65" priority="40" operator="equal">
      <formula>"?"</formula>
    </cfRule>
  </conditionalFormatting>
  <conditionalFormatting sqref="CC3:CD3 CC5:CC6">
    <cfRule type="cellIs" dxfId="64" priority="41" operator="equal">
      <formula>"?"</formula>
    </cfRule>
  </conditionalFormatting>
  <conditionalFormatting sqref="CC8:CC9 CC11:CC13 CC15 CC17:CC19 CD17 CC26:CC27 CC30">
    <cfRule type="cellIs" dxfId="63" priority="42" operator="equal">
      <formula>"?"</formula>
    </cfRule>
  </conditionalFormatting>
  <conditionalFormatting sqref="CD6">
    <cfRule type="cellIs" dxfId="62" priority="43" operator="equal">
      <formula>"?"</formula>
    </cfRule>
  </conditionalFormatting>
  <conditionalFormatting sqref="CE3:CE6">
    <cfRule type="cellIs" dxfId="61" priority="44" operator="equal">
      <formula>"?"</formula>
    </cfRule>
  </conditionalFormatting>
  <conditionalFormatting sqref="CE8:CE9 CE11:CE13 CE17:CE19 CF17 CE26:CE27 CE30">
    <cfRule type="cellIs" dxfId="60" priority="45" operator="equal">
      <formula>"?"</formula>
    </cfRule>
  </conditionalFormatting>
  <conditionalFormatting sqref="CF6">
    <cfRule type="cellIs" dxfId="59" priority="46" operator="equal">
      <formula>"?"</formula>
    </cfRule>
  </conditionalFormatting>
  <conditionalFormatting sqref="CG3:CG6">
    <cfRule type="cellIs" dxfId="58" priority="47" operator="equal">
      <formula>"?"</formula>
    </cfRule>
  </conditionalFormatting>
  <conditionalFormatting sqref="CG8:CG9 CG11:CG13 CG17:CG19 CH17 CG26:CG27 CG30">
    <cfRule type="cellIs" dxfId="57" priority="48" operator="equal">
      <formula>"?"</formula>
    </cfRule>
  </conditionalFormatting>
  <conditionalFormatting sqref="CH6">
    <cfRule type="cellIs" dxfId="56" priority="49" operator="equal">
      <formula>"?"</formula>
    </cfRule>
  </conditionalFormatting>
  <conditionalFormatting sqref="CI3:CL3 CI5:CI6">
    <cfRule type="cellIs" dxfId="55" priority="50" operator="equal">
      <formula>"?"</formula>
    </cfRule>
  </conditionalFormatting>
  <conditionalFormatting sqref="CI8:CI9 CI11:CI13 CI15 CI18:CI19 CI26:CI27 CI30">
    <cfRule type="cellIs" dxfId="54" priority="51" operator="equal">
      <formula>"?"</formula>
    </cfRule>
  </conditionalFormatting>
  <conditionalFormatting sqref="CJ6:CN6">
    <cfRule type="cellIs" dxfId="53" priority="52" operator="equal">
      <formula>"?"</formula>
    </cfRule>
  </conditionalFormatting>
  <conditionalFormatting sqref="CO3 CO5:CO6">
    <cfRule type="cellIs" dxfId="52" priority="53" operator="equal">
      <formula>"?"</formula>
    </cfRule>
  </conditionalFormatting>
  <conditionalFormatting sqref="CO8:CO9 CO11:CO13 CO15 CO18:CO19 CO26:CO27 CO30">
    <cfRule type="cellIs" dxfId="51" priority="54" operator="equal">
      <formula>"?"</formula>
    </cfRule>
  </conditionalFormatting>
  <conditionalFormatting sqref="CP6">
    <cfRule type="cellIs" dxfId="50" priority="55" operator="equal">
      <formula>"?"</formula>
    </cfRule>
  </conditionalFormatting>
  <conditionalFormatting sqref="CQ3:CQ6 CR3:CT4">
    <cfRule type="cellIs" dxfId="49" priority="56" operator="equal">
      <formula>"?"</formula>
    </cfRule>
  </conditionalFormatting>
  <conditionalFormatting sqref="CQ8:CQ9 CQ11:CQ13 CQ15 CQ18:CQ19 CQ26:CQ27 CQ30">
    <cfRule type="cellIs" dxfId="48" priority="57" operator="equal">
      <formula>"?"</formula>
    </cfRule>
  </conditionalFormatting>
  <conditionalFormatting sqref="CR6">
    <cfRule type="cellIs" dxfId="47" priority="58" operator="equal">
      <formula>"?"</formula>
    </cfRule>
  </conditionalFormatting>
  <conditionalFormatting sqref="CS3 CS5:CS6">
    <cfRule type="cellIs" dxfId="46" priority="59" operator="equal">
      <formula>"?"</formula>
    </cfRule>
  </conditionalFormatting>
  <conditionalFormatting sqref="CS8:CS9 CS11:CS15 CS18:CS19">
    <cfRule type="cellIs" dxfId="45" priority="60" operator="equal">
      <formula>"?"</formula>
    </cfRule>
  </conditionalFormatting>
  <conditionalFormatting sqref="CS23:CS27 CS30">
    <cfRule type="cellIs" dxfId="44" priority="61" operator="equal">
      <formula>"?"</formula>
    </cfRule>
  </conditionalFormatting>
  <conditionalFormatting sqref="CT30">
    <cfRule type="cellIs" dxfId="43" priority="62" operator="equal">
      <formula>"?"</formula>
    </cfRule>
  </conditionalFormatting>
  <conditionalFormatting sqref="CU3:DI21 CU23:DI34 CU37:DI38">
    <cfRule type="cellIs" dxfId="42" priority="63" operator="equal">
      <formula>"?"</formula>
    </cfRule>
  </conditionalFormatting>
  <conditionalFormatting sqref="DJ3:DJ21 DJ23:DJ26 DI28:DI29 DJ28:DJ34 DJ37:DJ38 DI38">
    <cfRule type="cellIs" dxfId="41" priority="64" operator="equal">
      <formula>"?"</formula>
    </cfRule>
  </conditionalFormatting>
  <conditionalFormatting sqref="DK3:DK21 DL17 DK23:DK34 DK37:DK38">
    <cfRule type="cellIs" dxfId="40" priority="65" operator="equal">
      <formula>"?"</formula>
    </cfRule>
  </conditionalFormatting>
  <conditionalFormatting sqref="DM3:DQ21 DM23:DQ34 DM37:DQ38">
    <cfRule type="cellIs" dxfId="39" priority="66" operator="equal">
      <formula>"?"</formula>
    </cfRule>
  </conditionalFormatting>
  <conditionalFormatting sqref="DS3:DU21 DS23:DU34 DS37:DU38">
    <cfRule type="cellIs" dxfId="38" priority="67" operator="equal">
      <formula>"?"</formula>
    </cfRule>
  </conditionalFormatting>
  <conditionalFormatting sqref="DV6:DW21 DY6:EB21 DX9:DX21 DV23:EB34 DV37:EB38">
    <cfRule type="cellIs" dxfId="37" priority="68" operator="equal">
      <formula>"?"</formula>
    </cfRule>
  </conditionalFormatting>
  <conditionalFormatting sqref="EC3:EC21 EC23:EC38">
    <cfRule type="cellIs" dxfId="36" priority="69" operator="equal">
      <formula>"?"</formula>
    </cfRule>
  </conditionalFormatting>
  <conditionalFormatting sqref="FA3:HN38">
    <cfRule type="cellIs" dxfId="35" priority="70" operator="equal">
      <formula>"N"</formula>
    </cfRule>
  </conditionalFormatting>
  <conditionalFormatting sqref="FA3:HN38">
    <cfRule type="cellIs" dxfId="34" priority="71" operator="equal">
      <formula>"Y"</formula>
    </cfRule>
  </conditionalFormatting>
  <conditionalFormatting sqref="FA35:GJ36 GM35:HN36">
    <cfRule type="cellIs" dxfId="33" priority="72" operator="equal">
      <formula>"N"</formula>
    </cfRule>
  </conditionalFormatting>
  <conditionalFormatting sqref="FA35:GJ36 GM35:HN36">
    <cfRule type="cellIs" dxfId="32" priority="73" operator="equal">
      <formula>"Y"</formula>
    </cfRule>
  </conditionalFormatting>
  <conditionalFormatting sqref="U35:AB36 AG35:AG36 AI35:AI36 AQ35:AQ36 AS35:AY36 BA35:BA36 BQ35:BQ36 DK35:DK36">
    <cfRule type="cellIs" dxfId="31" priority="74" operator="equal">
      <formula>"?"</formula>
    </cfRule>
  </conditionalFormatting>
  <conditionalFormatting sqref="BM35:BP36">
    <cfRule type="cellIs" dxfId="30" priority="75" operator="equal">
      <formula>"?"</formula>
    </cfRule>
  </conditionalFormatting>
  <conditionalFormatting sqref="DJ35:DJ36">
    <cfRule type="cellIs" dxfId="29" priority="76" operator="equal">
      <formula>"?"</formula>
    </cfRule>
  </conditionalFormatting>
  <conditionalFormatting sqref="K35:L36">
    <cfRule type="cellIs" dxfId="28" priority="77" operator="equal">
      <formula>"?"</formula>
    </cfRule>
  </conditionalFormatting>
  <conditionalFormatting sqref="AM35:AO36">
    <cfRule type="cellIs" dxfId="27" priority="78" operator="equal">
      <formula>"?"</formula>
    </cfRule>
  </conditionalFormatting>
  <conditionalFormatting sqref="BS35:CT36">
    <cfRule type="cellIs" dxfId="26" priority="79" operator="equal">
      <formula>"?"</formula>
    </cfRule>
  </conditionalFormatting>
  <conditionalFormatting sqref="CU35:DI36">
    <cfRule type="cellIs" dxfId="25" priority="80" operator="equal">
      <formula>"?"</formula>
    </cfRule>
  </conditionalFormatting>
  <conditionalFormatting sqref="DM35:DQ36">
    <cfRule type="cellIs" dxfId="24" priority="81" operator="equal">
      <formula>"?"</formula>
    </cfRule>
  </conditionalFormatting>
  <conditionalFormatting sqref="DS35:DU36">
    <cfRule type="cellIs" dxfId="23" priority="82" operator="equal">
      <formula>"?"</formula>
    </cfRule>
  </conditionalFormatting>
  <conditionalFormatting sqref="DV35:EB36">
    <cfRule type="cellIs" dxfId="22" priority="83" operator="equal">
      <formula>"?"</formula>
    </cfRule>
  </conditionalFormatting>
  <conditionalFormatting sqref="K22">
    <cfRule type="cellIs" dxfId="21" priority="84" operator="equal">
      <formula>"?"</formula>
    </cfRule>
  </conditionalFormatting>
  <conditionalFormatting sqref="U22">
    <cfRule type="cellIs" dxfId="20" priority="85" operator="equal">
      <formula>"?"</formula>
    </cfRule>
  </conditionalFormatting>
  <conditionalFormatting sqref="W22">
    <cfRule type="cellIs" dxfId="19" priority="86" operator="equal">
      <formula>"?"</formula>
    </cfRule>
  </conditionalFormatting>
  <conditionalFormatting sqref="Y22">
    <cfRule type="cellIs" dxfId="18" priority="87" operator="equal">
      <formula>"?"</formula>
    </cfRule>
  </conditionalFormatting>
  <conditionalFormatting sqref="AA22">
    <cfRule type="cellIs" dxfId="17" priority="88" operator="equal">
      <formula>"?"</formula>
    </cfRule>
  </conditionalFormatting>
  <conditionalFormatting sqref="AG22">
    <cfRule type="cellIs" dxfId="16" priority="89" operator="equal">
      <formula>"?"</formula>
    </cfRule>
  </conditionalFormatting>
  <conditionalFormatting sqref="AI22">
    <cfRule type="cellIs" dxfId="15" priority="90" operator="equal">
      <formula>"?"</formula>
    </cfRule>
  </conditionalFormatting>
  <conditionalFormatting sqref="AO22">
    <cfRule type="cellIs" dxfId="14" priority="91" operator="equal">
      <formula>"?"</formula>
    </cfRule>
  </conditionalFormatting>
  <conditionalFormatting sqref="AQ22">
    <cfRule type="cellIs" dxfId="13" priority="92" operator="equal">
      <formula>"?"</formula>
    </cfRule>
  </conditionalFormatting>
  <conditionalFormatting sqref="AS22:AY22">
    <cfRule type="cellIs" dxfId="12" priority="93" operator="equal">
      <formula>"?"</formula>
    </cfRule>
  </conditionalFormatting>
  <conditionalFormatting sqref="BA22">
    <cfRule type="cellIs" dxfId="11" priority="94" operator="equal">
      <formula>"?"</formula>
    </cfRule>
  </conditionalFormatting>
  <conditionalFormatting sqref="BM22">
    <cfRule type="cellIs" dxfId="10" priority="95" operator="equal">
      <formula>"?"</formula>
    </cfRule>
  </conditionalFormatting>
  <conditionalFormatting sqref="BQ22">
    <cfRule type="cellIs" dxfId="9" priority="96" operator="equal">
      <formula>"?"</formula>
    </cfRule>
  </conditionalFormatting>
  <conditionalFormatting sqref="CS22">
    <cfRule type="cellIs" dxfId="8" priority="97" operator="equal">
      <formula>"?"</formula>
    </cfRule>
  </conditionalFormatting>
  <conditionalFormatting sqref="CU22 CW22 CY22 DA22 DC22 DE22 DG22 DI22">
    <cfRule type="cellIs" dxfId="7" priority="98" operator="equal">
      <formula>"?"</formula>
    </cfRule>
  </conditionalFormatting>
  <conditionalFormatting sqref="DK22">
    <cfRule type="cellIs" dxfId="6" priority="99" operator="equal">
      <formula>"?"</formula>
    </cfRule>
  </conditionalFormatting>
  <conditionalFormatting sqref="DM22 DO22 DQ22">
    <cfRule type="cellIs" dxfId="5" priority="100" operator="equal">
      <formula>"?"</formula>
    </cfRule>
  </conditionalFormatting>
  <conditionalFormatting sqref="DS22 DU22">
    <cfRule type="cellIs" dxfId="4" priority="101" operator="equal">
      <formula>"?"</formula>
    </cfRule>
  </conditionalFormatting>
  <conditionalFormatting sqref="DY22 EA22">
    <cfRule type="cellIs" dxfId="3" priority="102" operator="equal">
      <formula>"?"</formula>
    </cfRule>
  </conditionalFormatting>
  <conditionalFormatting sqref="EC22">
    <cfRule type="cellIs" dxfId="2" priority="103" operator="equal">
      <formula>"?"</formula>
    </cfRule>
  </conditionalFormatting>
  <conditionalFormatting sqref="DW22:DX22">
    <cfRule type="cellIs" dxfId="1" priority="104" operator="equal">
      <formula>"?"</formula>
    </cfRule>
  </conditionalFormatting>
  <conditionalFormatting sqref="BS28:CT29 BS38:CT38">
    <cfRule type="cellIs" dxfId="0" priority="105" operator="equal">
      <formula>"?"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988"/>
  <sheetViews>
    <sheetView workbookViewId="0">
      <selection activeCell="W40" sqref="W40"/>
    </sheetView>
  </sheetViews>
  <sheetFormatPr baseColWidth="10" defaultColWidth="14.5" defaultRowHeight="15" customHeight="1"/>
  <cols>
    <col min="1" max="11" width="10.6640625" customWidth="1"/>
    <col min="12" max="12" width="11.6640625" customWidth="1"/>
    <col min="13" max="13" width="10.6640625" customWidth="1"/>
    <col min="14" max="14" width="12.33203125" customWidth="1"/>
    <col min="15" max="19" width="10.6640625" customWidth="1"/>
    <col min="20" max="22" width="10.6640625" hidden="1" customWidth="1"/>
    <col min="23" max="25" width="10.6640625" customWidth="1"/>
    <col min="26" max="42" width="16.33203125" customWidth="1"/>
    <col min="43" max="60" width="10.6640625" customWidth="1"/>
  </cols>
  <sheetData>
    <row r="1" spans="1:60" ht="48">
      <c r="A1" s="103" t="s">
        <v>190</v>
      </c>
      <c r="B1" s="103" t="s">
        <v>191</v>
      </c>
      <c r="C1" s="103" t="s">
        <v>192</v>
      </c>
      <c r="D1" s="104" t="s">
        <v>193</v>
      </c>
      <c r="E1" s="104" t="s">
        <v>194</v>
      </c>
      <c r="F1" s="104" t="s">
        <v>195</v>
      </c>
      <c r="G1" s="104" t="s">
        <v>196</v>
      </c>
      <c r="H1" s="104" t="s">
        <v>197</v>
      </c>
      <c r="I1" s="104" t="s">
        <v>198</v>
      </c>
      <c r="J1" s="105" t="s">
        <v>104</v>
      </c>
      <c r="K1" s="105" t="s">
        <v>88</v>
      </c>
      <c r="L1" s="105" t="s">
        <v>110</v>
      </c>
      <c r="M1" s="105" t="s">
        <v>199</v>
      </c>
      <c r="N1" s="105" t="s">
        <v>15</v>
      </c>
      <c r="O1" s="106" t="s">
        <v>200</v>
      </c>
      <c r="P1" s="106" t="s">
        <v>201</v>
      </c>
      <c r="Q1" s="106" t="s">
        <v>202</v>
      </c>
      <c r="R1" s="107" t="s">
        <v>203</v>
      </c>
      <c r="S1" s="108" t="s">
        <v>204</v>
      </c>
      <c r="T1" s="5" t="s">
        <v>205</v>
      </c>
      <c r="U1" s="5" t="s">
        <v>206</v>
      </c>
      <c r="V1" s="5" t="s">
        <v>207</v>
      </c>
      <c r="W1" s="109" t="s">
        <v>208</v>
      </c>
      <c r="X1" s="110" t="s">
        <v>209</v>
      </c>
      <c r="Y1" s="110" t="s">
        <v>210</v>
      </c>
      <c r="Z1" s="111" t="s">
        <v>211</v>
      </c>
      <c r="AA1" s="111" t="s">
        <v>212</v>
      </c>
      <c r="AB1" s="111" t="s">
        <v>213</v>
      </c>
      <c r="AC1" s="111" t="s">
        <v>214</v>
      </c>
      <c r="AD1" s="111" t="s">
        <v>215</v>
      </c>
      <c r="AE1" s="111" t="s">
        <v>216</v>
      </c>
      <c r="AF1" s="111" t="s">
        <v>217</v>
      </c>
      <c r="AG1" s="111" t="s">
        <v>218</v>
      </c>
      <c r="AH1" s="111" t="s">
        <v>219</v>
      </c>
      <c r="AI1" s="111" t="s">
        <v>220</v>
      </c>
      <c r="AJ1" s="111" t="s">
        <v>221</v>
      </c>
      <c r="AK1" s="111" t="s">
        <v>222</v>
      </c>
      <c r="AL1" s="111" t="s">
        <v>223</v>
      </c>
      <c r="AM1" s="111" t="s">
        <v>224</v>
      </c>
      <c r="AN1" s="111" t="s">
        <v>225</v>
      </c>
      <c r="AO1" s="112" t="s">
        <v>226</v>
      </c>
      <c r="AP1" s="112" t="s">
        <v>227</v>
      </c>
      <c r="AQ1" s="113" t="s">
        <v>228</v>
      </c>
      <c r="AR1" s="113" t="s">
        <v>229</v>
      </c>
      <c r="AS1" s="113" t="s">
        <v>230</v>
      </c>
      <c r="AT1" s="113" t="s">
        <v>231</v>
      </c>
      <c r="AU1" s="114" t="s">
        <v>232</v>
      </c>
      <c r="AV1" s="114" t="s">
        <v>233</v>
      </c>
      <c r="AW1" s="114" t="s">
        <v>234</v>
      </c>
      <c r="AX1" s="104" t="s">
        <v>235</v>
      </c>
      <c r="AY1" s="104" t="s">
        <v>236</v>
      </c>
      <c r="AZ1" s="104" t="s">
        <v>237</v>
      </c>
      <c r="BA1" s="104" t="s">
        <v>238</v>
      </c>
      <c r="BB1" s="104" t="s">
        <v>239</v>
      </c>
      <c r="BC1" s="115" t="s">
        <v>240</v>
      </c>
      <c r="BD1" s="115" t="s">
        <v>241</v>
      </c>
      <c r="BE1" s="116" t="s">
        <v>242</v>
      </c>
      <c r="BF1" s="117" t="s">
        <v>243</v>
      </c>
      <c r="BG1" s="116" t="s">
        <v>244</v>
      </c>
      <c r="BH1" s="118" t="s">
        <v>245</v>
      </c>
    </row>
    <row r="2" spans="1:60">
      <c r="A2" s="119" t="str">
        <f>Sheet1!A3</f>
        <v>Adams</v>
      </c>
      <c r="B2" s="119">
        <f>Sheet1!B3</f>
        <v>1996</v>
      </c>
      <c r="C2" s="120" t="str">
        <f>_xlfn.CONCAT(data!A2," ",data!B4)</f>
        <v>Adams 2005</v>
      </c>
      <c r="D2" s="119">
        <f>Sheet1!C3</f>
        <v>68</v>
      </c>
      <c r="E2" s="119">
        <f>Sheet1!E3</f>
        <v>43</v>
      </c>
      <c r="F2" s="119" t="str">
        <f>Sheet1!G3</f>
        <v>NS</v>
      </c>
      <c r="G2" s="119" t="str">
        <f>Sheet1!I3</f>
        <v>NS</v>
      </c>
      <c r="H2" s="119" t="str">
        <f>Sheet1!K3</f>
        <v>NS</v>
      </c>
      <c r="I2" s="119" t="str">
        <f>Sheet1!O3</f>
        <v>NS</v>
      </c>
      <c r="J2" s="119">
        <f>Sheet1!U3</f>
        <v>0</v>
      </c>
      <c r="K2" s="119">
        <f>Sheet1!W3</f>
        <v>111</v>
      </c>
      <c r="L2" s="119">
        <f>Sheet1!Y3</f>
        <v>0</v>
      </c>
      <c r="M2" s="119">
        <f>Sheet1!AA3</f>
        <v>0</v>
      </c>
      <c r="N2" s="119" t="str">
        <f>Sheet1!AC3</f>
        <v>inpat_psych</v>
      </c>
      <c r="O2" s="121" t="str">
        <f>Sheet1!AF3</f>
        <v>n_am</v>
      </c>
      <c r="P2" s="119" t="str">
        <f>Sheet1!AI3</f>
        <v>yes</v>
      </c>
      <c r="Q2" s="119" t="str">
        <f>Sheet1!AK3</f>
        <v>yes</v>
      </c>
      <c r="R2" s="119">
        <f>Sheet1!AY3</f>
        <v>111</v>
      </c>
      <c r="S2" s="119">
        <f>Sheet1!BC3</f>
        <v>0</v>
      </c>
      <c r="T2" s="119"/>
      <c r="U2" s="119"/>
      <c r="V2" s="119"/>
      <c r="W2" s="119" t="str">
        <f>Sheet1!BG3</f>
        <v>multiple</v>
      </c>
      <c r="X2" s="119">
        <f>Sheet1!BI3</f>
        <v>0</v>
      </c>
      <c r="Y2" s="119">
        <f>Sheet1!BK3</f>
        <v>0</v>
      </c>
      <c r="Z2" s="119" t="str">
        <f>Sheet1!BM3</f>
        <v>NA</v>
      </c>
      <c r="AA2" s="119" t="str">
        <f>Sheet1!BO3</f>
        <v>NA</v>
      </c>
      <c r="AB2" s="119" t="str">
        <f>Sheet1!BQ3</f>
        <v>NA</v>
      </c>
      <c r="AC2" s="119" t="str">
        <f>Sheet1!BS3</f>
        <v>NA</v>
      </c>
      <c r="AD2" s="119">
        <f>Sheet1!BU3</f>
        <v>0</v>
      </c>
      <c r="AE2" s="119">
        <f>Sheet1!BW3</f>
        <v>0</v>
      </c>
      <c r="AF2" s="119">
        <f>Sheet1!BY3</f>
        <v>0</v>
      </c>
      <c r="AG2" s="119">
        <f>Sheet1!CA3</f>
        <v>0</v>
      </c>
      <c r="AH2" s="119" t="str">
        <f>Sheet1!CC3</f>
        <v>NA</v>
      </c>
      <c r="AI2" s="119">
        <f>Sheet1!CE3</f>
        <v>0</v>
      </c>
      <c r="AJ2" s="119">
        <f>Sheet1!CG3</f>
        <v>0</v>
      </c>
      <c r="AK2" s="119" t="str">
        <f>Sheet1!CI3</f>
        <v>NA</v>
      </c>
      <c r="AL2" s="119" t="str">
        <f>Sheet1!CK3</f>
        <v>NA</v>
      </c>
      <c r="AM2" s="119">
        <f>Sheet1!CM3</f>
        <v>0</v>
      </c>
      <c r="AN2" s="119">
        <f>Sheet1!CO3</f>
        <v>0</v>
      </c>
      <c r="AO2" s="119" t="str">
        <f>Sheet1!CQ3</f>
        <v>NA</v>
      </c>
      <c r="AP2" s="119" t="str">
        <f>Sheet1!CS3</f>
        <v>NA</v>
      </c>
      <c r="AQ2" s="119" t="str">
        <f>Sheet1!CV3</f>
        <v>NS</v>
      </c>
      <c r="AR2" s="119" t="str">
        <f>Sheet1!CW3</f>
        <v>some</v>
      </c>
      <c r="AS2" s="119" t="str">
        <f>Sheet1!CY3</f>
        <v>some</v>
      </c>
      <c r="AT2" s="119" t="str">
        <f>Sheet1!DA3</f>
        <v>some</v>
      </c>
      <c r="AU2" s="119" t="str">
        <f>Sheet1!DC3</f>
        <v>NS</v>
      </c>
      <c r="AV2" s="119" t="str">
        <f>Sheet1!DE3</f>
        <v>all</v>
      </c>
      <c r="AW2" s="119" t="str">
        <f>Sheet1!DG3</f>
        <v>NS</v>
      </c>
      <c r="AX2" s="119" t="str">
        <f>Sheet1!DI3</f>
        <v>all</v>
      </c>
      <c r="AY2" s="119" t="str">
        <f>Sheet1!DK3</f>
        <v>NS</v>
      </c>
      <c r="AZ2" s="119" t="str">
        <f>Sheet1!DM3</f>
        <v>NS</v>
      </c>
      <c r="BA2" s="119" t="str">
        <f>Sheet1!DO3</f>
        <v>NS</v>
      </c>
      <c r="BB2" s="119" t="str">
        <f>Sheet1!DQ3</f>
        <v>NS</v>
      </c>
      <c r="BC2" s="119" t="str">
        <f>Sheet1!DS3</f>
        <v>NS</v>
      </c>
      <c r="BD2" s="119" t="str">
        <f>Sheet1!DU3</f>
        <v>NS</v>
      </c>
      <c r="BE2" s="119" t="str">
        <f>IF(Sheet1!DW3="Psychotic Disorder","yes","no")</f>
        <v>yes</v>
      </c>
      <c r="BF2" s="119" t="str">
        <f>Sheet1!DY3</f>
        <v>NS</v>
      </c>
      <c r="BG2" s="119" t="str">
        <f>Sheet1!EA3</f>
        <v>NS</v>
      </c>
      <c r="BH2" s="119">
        <f>Sheet1!EW3</f>
        <v>10</v>
      </c>
    </row>
    <row r="3" spans="1:60">
      <c r="A3" s="119" t="str">
        <f>Sheet1!A4</f>
        <v>Bechter</v>
      </c>
      <c r="B3" s="119">
        <f>Sheet1!B4</f>
        <v>2010</v>
      </c>
      <c r="C3" s="120" t="str">
        <f>_xlfn.CONCAT(data!A3," ",data!B5)</f>
        <v>Bechter 2022</v>
      </c>
      <c r="D3" s="119">
        <f>Sheet1!C4</f>
        <v>21</v>
      </c>
      <c r="E3" s="119">
        <f>Sheet1!E4</f>
        <v>18</v>
      </c>
      <c r="F3" s="119" t="str">
        <f>Sheet1!G4</f>
        <v>NS</v>
      </c>
      <c r="G3" s="119" t="str">
        <f>Sheet1!I4</f>
        <v>NS</v>
      </c>
      <c r="H3" s="119">
        <f>Sheet1!K4</f>
        <v>33.200000000000003</v>
      </c>
      <c r="I3" s="119" t="str">
        <f>Sheet1!O4</f>
        <v>NS</v>
      </c>
      <c r="J3" s="119">
        <f>Sheet1!U4</f>
        <v>0</v>
      </c>
      <c r="K3" s="119">
        <f>Sheet1!W4</f>
        <v>39</v>
      </c>
      <c r="L3" s="119">
        <f>Sheet1!Y4</f>
        <v>0</v>
      </c>
      <c r="M3" s="119">
        <f>Sheet1!AA4</f>
        <v>0</v>
      </c>
      <c r="N3" s="119" t="str">
        <f>Sheet1!AC4</f>
        <v>inpat_psych</v>
      </c>
      <c r="O3" s="121" t="str">
        <f>Sheet1!AF4</f>
        <v>euro</v>
      </c>
      <c r="P3" s="119" t="str">
        <f>Sheet1!AI4</f>
        <v>yes</v>
      </c>
      <c r="Q3" s="119" t="str">
        <f>Sheet1!AK4</f>
        <v>no</v>
      </c>
      <c r="R3" s="119">
        <f>Sheet1!AY4</f>
        <v>39</v>
      </c>
      <c r="S3" s="119">
        <f>Sheet1!BC4</f>
        <v>1</v>
      </c>
      <c r="T3" s="119"/>
      <c r="U3" s="119"/>
      <c r="V3" s="119"/>
      <c r="W3" s="119" t="str">
        <f>Sheet1!BG4</f>
        <v>multiple</v>
      </c>
      <c r="X3" s="119">
        <f>Sheet1!BI4</f>
        <v>1</v>
      </c>
      <c r="Y3" s="119" t="str">
        <f>Sheet1!BK4</f>
        <v>NA</v>
      </c>
      <c r="Z3" s="119">
        <f>Sheet1!BM4</f>
        <v>1</v>
      </c>
      <c r="AA3" s="119" t="str">
        <f>Sheet1!BO4</f>
        <v>NA</v>
      </c>
      <c r="AB3" s="119" t="str">
        <f>Sheet1!BQ4</f>
        <v>NA</v>
      </c>
      <c r="AC3" s="119" t="str">
        <f>Sheet1!BS4</f>
        <v>NA</v>
      </c>
      <c r="AD3" s="119">
        <f>Sheet1!BU4</f>
        <v>0</v>
      </c>
      <c r="AE3" s="119">
        <f>Sheet1!BW4</f>
        <v>0</v>
      </c>
      <c r="AF3" s="119" t="str">
        <f>Sheet1!BY4</f>
        <v>NA</v>
      </c>
      <c r="AG3" s="119" t="str">
        <f>Sheet1!CA4</f>
        <v>NA</v>
      </c>
      <c r="AH3" s="119" t="str">
        <f>Sheet1!CC4</f>
        <v>NA</v>
      </c>
      <c r="AI3" s="119">
        <f>Sheet1!CE4</f>
        <v>0</v>
      </c>
      <c r="AJ3" s="119">
        <f>Sheet1!CG4</f>
        <v>0</v>
      </c>
      <c r="AK3" s="119" t="str">
        <f>Sheet1!CI4</f>
        <v>NA</v>
      </c>
      <c r="AL3" s="119" t="str">
        <f>Sheet1!CK4</f>
        <v>NA</v>
      </c>
      <c r="AM3" s="119">
        <f>Sheet1!CM4</f>
        <v>0</v>
      </c>
      <c r="AN3" s="119" t="str">
        <f>Sheet1!CO4</f>
        <v>NA</v>
      </c>
      <c r="AO3" s="119" t="str">
        <f>Sheet1!CQ4</f>
        <v>NA</v>
      </c>
      <c r="AP3" s="119" t="str">
        <f>Sheet1!CS4</f>
        <v>NA</v>
      </c>
      <c r="AQ3" s="119" t="str">
        <f>Sheet1!CV4</f>
        <v>some</v>
      </c>
      <c r="AR3" s="119" t="str">
        <f>Sheet1!CW4</f>
        <v>some</v>
      </c>
      <c r="AS3" s="119" t="str">
        <f>Sheet1!CY4</f>
        <v>NS</v>
      </c>
      <c r="AT3" s="119" t="str">
        <f>Sheet1!DA4</f>
        <v>some</v>
      </c>
      <c r="AU3" s="119" t="str">
        <f>Sheet1!DC4</f>
        <v>all</v>
      </c>
      <c r="AV3" s="119" t="str">
        <f>Sheet1!DE4</f>
        <v>all</v>
      </c>
      <c r="AW3" s="119" t="str">
        <f>Sheet1!DG4</f>
        <v>NS</v>
      </c>
      <c r="AX3" s="119" t="str">
        <f>Sheet1!DI4</f>
        <v>all</v>
      </c>
      <c r="AY3" s="119" t="str">
        <f>Sheet1!DK4</f>
        <v>yes</v>
      </c>
      <c r="AZ3" s="119" t="str">
        <f>Sheet1!DM4</f>
        <v>some</v>
      </c>
      <c r="BA3" s="119" t="str">
        <f>Sheet1!DO4</f>
        <v>NS</v>
      </c>
      <c r="BB3" s="119" t="str">
        <f>Sheet1!DQ4</f>
        <v>NS</v>
      </c>
      <c r="BC3" s="119" t="str">
        <f>Sheet1!DS4</f>
        <v>NS</v>
      </c>
      <c r="BD3" s="119" t="str">
        <f>Sheet1!DU4</f>
        <v>NS</v>
      </c>
      <c r="BE3" s="119" t="str">
        <f>IF(Sheet1!DW4="Psychotic Disorder","yes","no")</f>
        <v>yes</v>
      </c>
      <c r="BF3" s="119" t="str">
        <f>Sheet1!DY4</f>
        <v>NS</v>
      </c>
      <c r="BG3" s="119" t="str">
        <f>Sheet1!EA4</f>
        <v>ICD-10</v>
      </c>
      <c r="BH3" s="119">
        <f>Sheet1!EW4</f>
        <v>9</v>
      </c>
    </row>
    <row r="4" spans="1:60">
      <c r="A4" s="119" t="str">
        <f>Sheet1!A5</f>
        <v>Caton</v>
      </c>
      <c r="B4" s="119">
        <f>Sheet1!B5</f>
        <v>2005</v>
      </c>
      <c r="C4" s="120" t="str">
        <f>_xlfn.CONCAT(data!A4," ",data!B6)</f>
        <v>Caton 2011</v>
      </c>
      <c r="D4" s="119">
        <f>Sheet1!C5</f>
        <v>278</v>
      </c>
      <c r="E4" s="119">
        <f>Sheet1!E5</f>
        <v>108</v>
      </c>
      <c r="F4" s="119">
        <f>Sheet1!G5</f>
        <v>27.1</v>
      </c>
      <c r="G4" s="119">
        <f>Sheet1!I5</f>
        <v>30.1</v>
      </c>
      <c r="H4" s="119">
        <f>Sheet1!K5</f>
        <v>28.5</v>
      </c>
      <c r="I4" s="119">
        <f>Sheet1!O5</f>
        <v>56</v>
      </c>
      <c r="J4" s="119">
        <f>Sheet1!U5</f>
        <v>386</v>
      </c>
      <c r="K4" s="119">
        <f>Sheet1!W5</f>
        <v>0</v>
      </c>
      <c r="L4" s="119">
        <f>Sheet1!Y5</f>
        <v>0</v>
      </c>
      <c r="M4" s="119">
        <f>Sheet1!AA5</f>
        <v>0</v>
      </c>
      <c r="N4" s="119" t="str">
        <f>Sheet1!AC5</f>
        <v>gen_hospital</v>
      </c>
      <c r="O4" s="121" t="str">
        <f>Sheet1!AF5</f>
        <v>n_am</v>
      </c>
      <c r="P4" s="119" t="str">
        <f>Sheet1!AI5</f>
        <v>yes</v>
      </c>
      <c r="Q4" s="119" t="str">
        <f>Sheet1!AK5</f>
        <v>yes</v>
      </c>
      <c r="R4" s="119">
        <f>Sheet1!AY5</f>
        <v>386</v>
      </c>
      <c r="S4" s="119">
        <f>Sheet1!BC5</f>
        <v>169</v>
      </c>
      <c r="T4" s="119"/>
      <c r="U4" s="119"/>
      <c r="V4" s="119"/>
      <c r="W4" s="119" t="str">
        <f>Sheet1!BG5</f>
        <v>single</v>
      </c>
      <c r="X4" s="119" t="str">
        <f>Sheet1!BI5</f>
        <v>NA</v>
      </c>
      <c r="Y4" s="119">
        <f>Sheet1!BK5</f>
        <v>169</v>
      </c>
      <c r="Z4" s="119" t="str">
        <f>Sheet1!BM5</f>
        <v>NA</v>
      </c>
      <c r="AA4" s="119" t="str">
        <f>Sheet1!BO5</f>
        <v>NA</v>
      </c>
      <c r="AB4" s="119">
        <f>Sheet1!BQ5</f>
        <v>169</v>
      </c>
      <c r="AC4" s="119" t="str">
        <f>Sheet1!BS5</f>
        <v>NA</v>
      </c>
      <c r="AD4" s="119" t="str">
        <f>Sheet1!BU5</f>
        <v>NA</v>
      </c>
      <c r="AE4" s="119" t="str">
        <f>Sheet1!BW5</f>
        <v>NA</v>
      </c>
      <c r="AF4" s="119" t="str">
        <f>Sheet1!BY5</f>
        <v>NA</v>
      </c>
      <c r="AG4" s="119" t="str">
        <f>Sheet1!CA5</f>
        <v>NA</v>
      </c>
      <c r="AH4" s="119" t="str">
        <f>Sheet1!CC5</f>
        <v>NA</v>
      </c>
      <c r="AI4" s="119" t="str">
        <f>Sheet1!CE5</f>
        <v>NA</v>
      </c>
      <c r="AJ4" s="119" t="str">
        <f>Sheet1!CG5</f>
        <v>NA</v>
      </c>
      <c r="AK4" s="119" t="str">
        <f>Sheet1!CI5</f>
        <v>NA</v>
      </c>
      <c r="AL4" s="119" t="str">
        <f>Sheet1!CK5</f>
        <v>NA</v>
      </c>
      <c r="AM4" s="119" t="str">
        <f>Sheet1!CM5</f>
        <v>NA</v>
      </c>
      <c r="AN4" s="119" t="str">
        <f>Sheet1!CO5</f>
        <v>NA</v>
      </c>
      <c r="AO4" s="119" t="str">
        <f>Sheet1!CQ5</f>
        <v>NA</v>
      </c>
      <c r="AP4" s="119" t="str">
        <f>Sheet1!CS5</f>
        <v>NA</v>
      </c>
      <c r="AQ4" s="119" t="str">
        <f>Sheet1!CV5</f>
        <v>NS</v>
      </c>
      <c r="AR4" s="119" t="str">
        <f>Sheet1!CW5</f>
        <v>NS</v>
      </c>
      <c r="AS4" s="119" t="str">
        <f>Sheet1!CY5</f>
        <v>NS</v>
      </c>
      <c r="AT4" s="119" t="str">
        <f>Sheet1!DA5</f>
        <v>NS</v>
      </c>
      <c r="AU4" s="119" t="str">
        <f>Sheet1!DC5</f>
        <v>NS</v>
      </c>
      <c r="AV4" s="119" t="str">
        <f>Sheet1!DE5</f>
        <v>NS</v>
      </c>
      <c r="AW4" s="119" t="str">
        <f>Sheet1!DG5</f>
        <v>all</v>
      </c>
      <c r="AX4" s="119" t="str">
        <f>Sheet1!DI5</f>
        <v>all</v>
      </c>
      <c r="AY4" s="119" t="str">
        <f>Sheet1!DK5</f>
        <v>yes</v>
      </c>
      <c r="AZ4" s="119" t="str">
        <f>Sheet1!DM5</f>
        <v>NS</v>
      </c>
      <c r="BA4" s="119" t="str">
        <f>Sheet1!DO5</f>
        <v>NS</v>
      </c>
      <c r="BB4" s="119" t="str">
        <f>Sheet1!DQ5</f>
        <v>NS</v>
      </c>
      <c r="BC4" s="119" t="str">
        <f>Sheet1!DS5</f>
        <v>NS</v>
      </c>
      <c r="BD4" s="119" t="str">
        <f>Sheet1!DU5</f>
        <v>NS</v>
      </c>
      <c r="BE4" s="119" t="str">
        <f>IF(Sheet1!DW5="Psychotic Disorder","yes","no")</f>
        <v>yes</v>
      </c>
      <c r="BF4" s="119" t="str">
        <f>Sheet1!DY5</f>
        <v>PRISM</v>
      </c>
      <c r="BG4" s="119" t="str">
        <f>Sheet1!EA5</f>
        <v>DSM-IV</v>
      </c>
      <c r="BH4" s="119">
        <f>Sheet1!EW5</f>
        <v>9</v>
      </c>
    </row>
    <row r="5" spans="1:60">
      <c r="A5" s="119" t="str">
        <f>Sheet1!A6</f>
        <v>Correa-Oliveira</v>
      </c>
      <c r="B5" s="119">
        <f>Sheet1!B6</f>
        <v>2022</v>
      </c>
      <c r="C5" s="120" t="str">
        <f>_xlfn.CONCAT(data!A5," ",data!B7)</f>
        <v>Correa-Oliveira 2020</v>
      </c>
      <c r="D5" s="119">
        <f>Sheet1!C6</f>
        <v>152</v>
      </c>
      <c r="E5" s="119">
        <f>Sheet1!E6</f>
        <v>85</v>
      </c>
      <c r="F5" s="119" t="str">
        <f>Sheet1!G6</f>
        <v>NS</v>
      </c>
      <c r="G5" s="119" t="str">
        <f>Sheet1!I6</f>
        <v>NS</v>
      </c>
      <c r="H5" s="119">
        <f>Sheet1!K6</f>
        <v>23.5</v>
      </c>
      <c r="I5" s="119">
        <f>Sheet1!O6</f>
        <v>153</v>
      </c>
      <c r="J5" s="119">
        <f>Sheet1!U6</f>
        <v>0</v>
      </c>
      <c r="K5" s="119">
        <f>Sheet1!W6</f>
        <v>0</v>
      </c>
      <c r="L5" s="119">
        <f>Sheet1!Y6</f>
        <v>237</v>
      </c>
      <c r="M5" s="119">
        <f>Sheet1!AA6</f>
        <v>0</v>
      </c>
      <c r="N5" s="119" t="str">
        <f>Sheet1!AC6</f>
        <v>outpat_psych</v>
      </c>
      <c r="O5" s="121" t="str">
        <f>Sheet1!AF6</f>
        <v>s_am</v>
      </c>
      <c r="P5" s="119" t="str">
        <f>Sheet1!AI6</f>
        <v>no</v>
      </c>
      <c r="Q5" s="119" t="str">
        <f>Sheet1!AK6</f>
        <v>yes</v>
      </c>
      <c r="R5" s="119">
        <f>Sheet1!AY6</f>
        <v>237</v>
      </c>
      <c r="S5" s="119">
        <f>Sheet1!BC6</f>
        <v>84</v>
      </c>
      <c r="T5" s="119"/>
      <c r="U5" s="119"/>
      <c r="V5" s="119"/>
      <c r="W5" s="119" t="str">
        <f>Sheet1!BG6</f>
        <v>multiple</v>
      </c>
      <c r="X5" s="119">
        <f>Sheet1!BI6</f>
        <v>23</v>
      </c>
      <c r="Y5" s="119">
        <f>Sheet1!BK6</f>
        <v>61</v>
      </c>
      <c r="Z5" s="119" t="str">
        <f>Sheet1!BM6</f>
        <v>NA</v>
      </c>
      <c r="AA5" s="119" t="str">
        <f>Sheet1!BO6</f>
        <v>NA</v>
      </c>
      <c r="AB5" s="119">
        <f>Sheet1!BQ6</f>
        <v>61</v>
      </c>
      <c r="AC5" s="119" t="str">
        <f>Sheet1!BS6</f>
        <v>NA</v>
      </c>
      <c r="AD5" s="119" t="str">
        <f>Sheet1!BU6</f>
        <v>NA</v>
      </c>
      <c r="AE5" s="119" t="str">
        <f>Sheet1!BW6</f>
        <v>NA</v>
      </c>
      <c r="AF5" s="119" t="str">
        <f>Sheet1!BY6</f>
        <v>NA</v>
      </c>
      <c r="AG5" s="119" t="str">
        <f>Sheet1!CA6</f>
        <v>NA</v>
      </c>
      <c r="AH5" s="119" t="str">
        <f>Sheet1!CC6</f>
        <v>NA</v>
      </c>
      <c r="AI5" s="119" t="str">
        <f>Sheet1!CE6</f>
        <v>NA</v>
      </c>
      <c r="AJ5" s="119" t="str">
        <f>Sheet1!CG6</f>
        <v>NA</v>
      </c>
      <c r="AK5" s="119" t="str">
        <f>Sheet1!CI6</f>
        <v>NA</v>
      </c>
      <c r="AL5" s="119" t="str">
        <f>Sheet1!CK6</f>
        <v>NA</v>
      </c>
      <c r="AM5" s="119" t="str">
        <f>Sheet1!CM6</f>
        <v>NA</v>
      </c>
      <c r="AN5" s="119" t="str">
        <f>Sheet1!CO6</f>
        <v>NA</v>
      </c>
      <c r="AO5" s="119" t="str">
        <f>Sheet1!CQ6</f>
        <v>NA</v>
      </c>
      <c r="AP5" s="119">
        <f>Sheet1!CS6</f>
        <v>23</v>
      </c>
      <c r="AQ5" s="119" t="str">
        <f>Sheet1!CV6</f>
        <v>NS</v>
      </c>
      <c r="AR5" s="119" t="str">
        <f>Sheet1!CW6</f>
        <v>all</v>
      </c>
      <c r="AS5" s="119" t="str">
        <f>Sheet1!CY6</f>
        <v>all</v>
      </c>
      <c r="AT5" s="119" t="str">
        <f>Sheet1!DA6</f>
        <v>NS</v>
      </c>
      <c r="AU5" s="119" t="str">
        <f>Sheet1!DC6</f>
        <v>NS</v>
      </c>
      <c r="AV5" s="119" t="str">
        <f>Sheet1!DE6</f>
        <v>all</v>
      </c>
      <c r="AW5" s="119" t="str">
        <f>Sheet1!DG6</f>
        <v>all</v>
      </c>
      <c r="AX5" s="119" t="str">
        <f>Sheet1!DI6</f>
        <v>all</v>
      </c>
      <c r="AY5" s="119" t="str">
        <f>Sheet1!DK6</f>
        <v>yes</v>
      </c>
      <c r="AZ5" s="119" t="str">
        <f>Sheet1!DM6</f>
        <v>all</v>
      </c>
      <c r="BA5" s="119" t="str">
        <f>Sheet1!DO6</f>
        <v>NS</v>
      </c>
      <c r="BB5" s="119" t="str">
        <f>Sheet1!DQ6</f>
        <v>NS</v>
      </c>
      <c r="BC5" s="119" t="str">
        <f>Sheet1!DS6</f>
        <v>NS</v>
      </c>
      <c r="BD5" s="119" t="str">
        <f>Sheet1!DU6</f>
        <v>NS</v>
      </c>
      <c r="BE5" s="119" t="str">
        <f>IF(Sheet1!DW6="Psychotic Disorder","yes","no")</f>
        <v>yes</v>
      </c>
      <c r="BF5" s="119" t="str">
        <f>Sheet1!DY6</f>
        <v>SCID</v>
      </c>
      <c r="BG5" s="119" t="str">
        <f>Sheet1!EA6</f>
        <v>DSM-5</v>
      </c>
      <c r="BH5" s="119">
        <f>Sheet1!EW6</f>
        <v>10</v>
      </c>
    </row>
    <row r="6" spans="1:60">
      <c r="A6" s="119" t="str">
        <f>Sheet1!A7</f>
        <v>Drake</v>
      </c>
      <c r="B6" s="119">
        <f>Sheet1!B7</f>
        <v>2011</v>
      </c>
      <c r="C6" s="120" t="str">
        <f>_xlfn.CONCAT(data!A6," ",data!B8)</f>
        <v>Drake 2018</v>
      </c>
      <c r="D6" s="119">
        <f>Sheet1!C7</f>
        <v>152</v>
      </c>
      <c r="E6" s="119">
        <f>Sheet1!E7</f>
        <v>99</v>
      </c>
      <c r="F6" s="119">
        <f>Sheet1!G7</f>
        <v>27.2</v>
      </c>
      <c r="G6" s="119">
        <f>Sheet1!I7</f>
        <v>30.4</v>
      </c>
      <c r="H6" s="119" t="str">
        <f>Sheet1!K7</f>
        <v>NS</v>
      </c>
      <c r="I6" s="119">
        <f>Sheet1!O7</f>
        <v>52</v>
      </c>
      <c r="J6" s="119">
        <f>Sheet1!U7</f>
        <v>351</v>
      </c>
      <c r="K6" s="119">
        <f>Sheet1!W7</f>
        <v>0</v>
      </c>
      <c r="L6" s="119">
        <f>Sheet1!Y7</f>
        <v>0</v>
      </c>
      <c r="M6" s="119">
        <f>Sheet1!AA7</f>
        <v>0</v>
      </c>
      <c r="N6" s="119" t="str">
        <f>Sheet1!AC7</f>
        <v>gen_hospital</v>
      </c>
      <c r="O6" s="121" t="str">
        <f>Sheet1!AF7</f>
        <v>n_am</v>
      </c>
      <c r="P6" s="119" t="str">
        <f>Sheet1!AI7</f>
        <v>yes</v>
      </c>
      <c r="Q6" s="119" t="str">
        <f>Sheet1!AK7</f>
        <v>yes</v>
      </c>
      <c r="R6" s="119">
        <f>Sheet1!AY7</f>
        <v>351</v>
      </c>
      <c r="S6" s="119">
        <f>Sheet1!BC7</f>
        <v>134</v>
      </c>
      <c r="T6" s="119"/>
      <c r="U6" s="119"/>
      <c r="V6" s="119"/>
      <c r="W6" s="119" t="str">
        <f>Sheet1!BG7</f>
        <v>single</v>
      </c>
      <c r="X6" s="119" t="str">
        <f>Sheet1!BI7</f>
        <v>NA</v>
      </c>
      <c r="Y6" s="119">
        <f>Sheet1!BK7</f>
        <v>134</v>
      </c>
      <c r="Z6" s="119" t="str">
        <f>Sheet1!BM7</f>
        <v>NA</v>
      </c>
      <c r="AA6" s="119" t="str">
        <f>Sheet1!BO7</f>
        <v>NA</v>
      </c>
      <c r="AB6" s="119">
        <f>Sheet1!BQ7</f>
        <v>134</v>
      </c>
      <c r="AC6" s="119" t="str">
        <f>Sheet1!BS7</f>
        <v>NA</v>
      </c>
      <c r="AD6" s="119" t="str">
        <f>Sheet1!BU7</f>
        <v>NA</v>
      </c>
      <c r="AE6" s="119" t="str">
        <f>Sheet1!BW7</f>
        <v>NA</v>
      </c>
      <c r="AF6" s="119" t="str">
        <f>Sheet1!BY7</f>
        <v>NA</v>
      </c>
      <c r="AG6" s="119" t="str">
        <f>Sheet1!CA7</f>
        <v>NA</v>
      </c>
      <c r="AH6" s="119" t="str">
        <f>Sheet1!CC7</f>
        <v>NA</v>
      </c>
      <c r="AI6" s="119" t="str">
        <f>Sheet1!CE7</f>
        <v>NA</v>
      </c>
      <c r="AJ6" s="119" t="str">
        <f>Sheet1!CG7</f>
        <v>NA</v>
      </c>
      <c r="AK6" s="119" t="str">
        <f>Sheet1!CI7</f>
        <v>NA</v>
      </c>
      <c r="AL6" s="119" t="str">
        <f>Sheet1!CK7</f>
        <v>NA</v>
      </c>
      <c r="AM6" s="119" t="str">
        <f>Sheet1!CM7</f>
        <v>NA</v>
      </c>
      <c r="AN6" s="119" t="str">
        <f>Sheet1!CO7</f>
        <v>NA</v>
      </c>
      <c r="AO6" s="119" t="str">
        <f>Sheet1!CQ7</f>
        <v>NA</v>
      </c>
      <c r="AP6" s="119" t="str">
        <f>Sheet1!CS7</f>
        <v>NA</v>
      </c>
      <c r="AQ6" s="119" t="str">
        <f>Sheet1!CV7</f>
        <v>NS</v>
      </c>
      <c r="AR6" s="119" t="str">
        <f>Sheet1!CW7</f>
        <v>NS</v>
      </c>
      <c r="AS6" s="119" t="str">
        <f>Sheet1!CY7</f>
        <v>NS</v>
      </c>
      <c r="AT6" s="119" t="str">
        <f>Sheet1!DA7</f>
        <v>NS</v>
      </c>
      <c r="AU6" s="119" t="str">
        <f>Sheet1!DC7</f>
        <v>NS</v>
      </c>
      <c r="AV6" s="119" t="str">
        <f>Sheet1!DE7</f>
        <v>NS</v>
      </c>
      <c r="AW6" s="119" t="str">
        <f>Sheet1!DG7</f>
        <v>all</v>
      </c>
      <c r="AX6" s="119" t="str">
        <f>Sheet1!DI7</f>
        <v>all</v>
      </c>
      <c r="AY6" s="119" t="str">
        <f>Sheet1!DK7</f>
        <v>yes</v>
      </c>
      <c r="AZ6" s="119" t="str">
        <f>Sheet1!DM7</f>
        <v>NS</v>
      </c>
      <c r="BA6" s="119" t="str">
        <f>Sheet1!DO7</f>
        <v>NS</v>
      </c>
      <c r="BB6" s="119" t="str">
        <f>Sheet1!DQ7</f>
        <v>NS</v>
      </c>
      <c r="BC6" s="119" t="str">
        <f>Sheet1!DS7</f>
        <v>NS</v>
      </c>
      <c r="BD6" s="119" t="str">
        <f>Sheet1!DU7</f>
        <v>NS</v>
      </c>
      <c r="BE6" s="119" t="str">
        <f>IF(Sheet1!DW7="Psychotic Disorder","yes","no")</f>
        <v>yes</v>
      </c>
      <c r="BF6" s="119" t="str">
        <f>Sheet1!DY7</f>
        <v>PRISM</v>
      </c>
      <c r="BG6" s="119" t="str">
        <f>Sheet1!EA7</f>
        <v>DSM-IV</v>
      </c>
      <c r="BH6" s="119">
        <f>Sheet1!EW7</f>
        <v>9</v>
      </c>
    </row>
    <row r="7" spans="1:60">
      <c r="A7" s="119" t="str">
        <f>Sheet1!A8</f>
        <v>Endres</v>
      </c>
      <c r="B7" s="119">
        <f>Sheet1!B8</f>
        <v>2020</v>
      </c>
      <c r="C7" s="120" t="str">
        <f>_xlfn.CONCAT(data!A7," ",data!B9)</f>
        <v>Endres 2020</v>
      </c>
      <c r="D7" s="119">
        <f>Sheet1!C8</f>
        <v>32</v>
      </c>
      <c r="E7" s="119">
        <f>Sheet1!E8</f>
        <v>44</v>
      </c>
      <c r="F7" s="119" t="str">
        <f>Sheet1!G8</f>
        <v>NS</v>
      </c>
      <c r="G7" s="119" t="str">
        <f>Sheet1!I8</f>
        <v>NS</v>
      </c>
      <c r="H7" s="119">
        <f>Sheet1!K8</f>
        <v>37.22</v>
      </c>
      <c r="I7" s="119" t="str">
        <f>Sheet1!O8</f>
        <v>NS</v>
      </c>
      <c r="J7" s="119">
        <f>Sheet1!U8</f>
        <v>0</v>
      </c>
      <c r="K7" s="119">
        <f>Sheet1!W8</f>
        <v>76</v>
      </c>
      <c r="L7" s="119">
        <f>Sheet1!Y8</f>
        <v>0</v>
      </c>
      <c r="M7" s="119">
        <f>Sheet1!AA8</f>
        <v>0</v>
      </c>
      <c r="N7" s="119" t="str">
        <f>Sheet1!AC8</f>
        <v>inpat_psych</v>
      </c>
      <c r="O7" s="121" t="str">
        <f>Sheet1!AF8</f>
        <v>euro</v>
      </c>
      <c r="P7" s="119" t="str">
        <f>Sheet1!AI8</f>
        <v>no</v>
      </c>
      <c r="Q7" s="119" t="str">
        <f>Sheet1!AK8</f>
        <v>no</v>
      </c>
      <c r="R7" s="119">
        <f>Sheet1!AY8</f>
        <v>76</v>
      </c>
      <c r="S7" s="119">
        <f>Sheet1!BC8</f>
        <v>3</v>
      </c>
      <c r="T7" s="119"/>
      <c r="U7" s="119"/>
      <c r="V7" s="119"/>
      <c r="W7" s="119" t="str">
        <f>Sheet1!BG8</f>
        <v>multiple</v>
      </c>
      <c r="X7" s="119">
        <f>Sheet1!BI8</f>
        <v>2</v>
      </c>
      <c r="Y7" s="119">
        <f>Sheet1!BK8</f>
        <v>1</v>
      </c>
      <c r="Z7" s="119">
        <f>Sheet1!BM8</f>
        <v>2</v>
      </c>
      <c r="AA7" s="119">
        <f>Sheet1!BO8</f>
        <v>0</v>
      </c>
      <c r="AB7" s="119">
        <f>Sheet1!BQ8</f>
        <v>1</v>
      </c>
      <c r="AC7" s="119">
        <f>Sheet1!BS8</f>
        <v>0</v>
      </c>
      <c r="AD7" s="119">
        <f>Sheet1!BU8</f>
        <v>0</v>
      </c>
      <c r="AE7" s="119">
        <f>Sheet1!BW8</f>
        <v>0</v>
      </c>
      <c r="AF7" s="119">
        <f>Sheet1!BY8</f>
        <v>0</v>
      </c>
      <c r="AG7" s="119">
        <f>Sheet1!CA8</f>
        <v>0</v>
      </c>
      <c r="AH7" s="119">
        <f>Sheet1!CC8</f>
        <v>0</v>
      </c>
      <c r="AI7" s="119">
        <f>Sheet1!CE8</f>
        <v>0</v>
      </c>
      <c r="AJ7" s="119">
        <f>Sheet1!CG8</f>
        <v>0</v>
      </c>
      <c r="AK7" s="119">
        <f>Sheet1!CI8</f>
        <v>0</v>
      </c>
      <c r="AL7" s="119">
        <f>Sheet1!CK8</f>
        <v>0</v>
      </c>
      <c r="AM7" s="119">
        <f>Sheet1!CM8</f>
        <v>0</v>
      </c>
      <c r="AN7" s="119">
        <f>Sheet1!CO8</f>
        <v>0</v>
      </c>
      <c r="AO7" s="119">
        <f>Sheet1!CQ8</f>
        <v>0</v>
      </c>
      <c r="AP7" s="119">
        <f>Sheet1!CS8</f>
        <v>0</v>
      </c>
      <c r="AQ7" s="119" t="str">
        <f>Sheet1!CV8</f>
        <v>all</v>
      </c>
      <c r="AR7" s="119" t="str">
        <f>Sheet1!CW8</f>
        <v>NS</v>
      </c>
      <c r="AS7" s="119" t="str">
        <f>Sheet1!CY8</f>
        <v>NS</v>
      </c>
      <c r="AT7" s="119" t="str">
        <f>Sheet1!DA8</f>
        <v>all</v>
      </c>
      <c r="AU7" s="119" t="str">
        <f>Sheet1!DC8</f>
        <v>all</v>
      </c>
      <c r="AV7" s="119" t="str">
        <f>Sheet1!DE8</f>
        <v>all</v>
      </c>
      <c r="AW7" s="119" t="str">
        <f>Sheet1!DG8</f>
        <v>all</v>
      </c>
      <c r="AX7" s="119" t="str">
        <f>Sheet1!DI8</f>
        <v>all</v>
      </c>
      <c r="AY7" s="119" t="str">
        <f>Sheet1!DK8</f>
        <v>NS</v>
      </c>
      <c r="AZ7" s="119" t="str">
        <f>Sheet1!DM8</f>
        <v>NS</v>
      </c>
      <c r="BA7" s="119" t="str">
        <f>Sheet1!DO8</f>
        <v>NS</v>
      </c>
      <c r="BB7" s="119" t="str">
        <f>Sheet1!DQ8</f>
        <v>NS</v>
      </c>
      <c r="BC7" s="119" t="str">
        <f>Sheet1!DS8</f>
        <v>NS</v>
      </c>
      <c r="BD7" s="119" t="str">
        <f>Sheet1!DU8</f>
        <v>NS</v>
      </c>
      <c r="BE7" s="119" t="str">
        <f>IF(Sheet1!DW8="Psychotic Disorder","yes","no")</f>
        <v>yes</v>
      </c>
      <c r="BF7" s="119" t="str">
        <f>Sheet1!DY8</f>
        <v>NS</v>
      </c>
      <c r="BG7" s="119" t="str">
        <f>Sheet1!EA8</f>
        <v>ICD-10</v>
      </c>
      <c r="BH7" s="119">
        <f>Sheet1!EW8</f>
        <v>10</v>
      </c>
    </row>
    <row r="8" spans="1:60">
      <c r="A8" s="119" t="str">
        <f>Sheet1!A9</f>
        <v>Etlouba</v>
      </c>
      <c r="B8" s="119">
        <f>Sheet1!B9</f>
        <v>2018</v>
      </c>
      <c r="C8" s="120" t="str">
        <f>_xlfn.CONCAT(data!A8," ",data!B10)</f>
        <v>Etlouba 2022</v>
      </c>
      <c r="D8" s="119">
        <f>Sheet1!C9</f>
        <v>95</v>
      </c>
      <c r="E8" s="119">
        <f>Sheet1!E9</f>
        <v>64</v>
      </c>
      <c r="F8" s="119">
        <f>Sheet1!G9</f>
        <v>28.7</v>
      </c>
      <c r="G8" s="119">
        <f>Sheet1!I9</f>
        <v>36.700000000000003</v>
      </c>
      <c r="H8" s="119">
        <f>Sheet1!K9</f>
        <v>34.299999999999997</v>
      </c>
      <c r="I8" s="119">
        <f>Sheet1!O9</f>
        <v>5</v>
      </c>
      <c r="J8" s="119">
        <f>Sheet1!U9</f>
        <v>159</v>
      </c>
      <c r="K8" s="119">
        <f>Sheet1!W9</f>
        <v>0</v>
      </c>
      <c r="L8" s="119">
        <f>Sheet1!Y9</f>
        <v>0</v>
      </c>
      <c r="M8" s="119">
        <f>Sheet1!AA9</f>
        <v>0</v>
      </c>
      <c r="N8" s="119" t="str">
        <f>Sheet1!AC9</f>
        <v>gen_hospital</v>
      </c>
      <c r="O8" s="121" t="str">
        <f>Sheet1!AF9</f>
        <v>afri</v>
      </c>
      <c r="P8" s="119" t="str">
        <f>Sheet1!AI9</f>
        <v>no</v>
      </c>
      <c r="Q8" s="119" t="str">
        <f>Sheet1!AK9</f>
        <v>yes</v>
      </c>
      <c r="R8" s="119">
        <f>Sheet1!AY9</f>
        <v>159</v>
      </c>
      <c r="S8" s="119">
        <f>Sheet1!BC9</f>
        <v>124</v>
      </c>
      <c r="T8" s="119"/>
      <c r="U8" s="119"/>
      <c r="V8" s="119"/>
      <c r="W8" s="119" t="str">
        <f>Sheet1!BG9</f>
        <v>multiple</v>
      </c>
      <c r="X8" s="119">
        <f>Sheet1!BI9</f>
        <v>87</v>
      </c>
      <c r="Y8" s="119">
        <f>Sheet1!BK9</f>
        <v>37</v>
      </c>
      <c r="Z8" s="119">
        <f>Sheet1!BM9</f>
        <v>0</v>
      </c>
      <c r="AA8" s="119">
        <f>Sheet1!BO9</f>
        <v>0</v>
      </c>
      <c r="AB8" s="119">
        <f>Sheet1!BQ9</f>
        <v>37</v>
      </c>
      <c r="AC8" s="119">
        <f>Sheet1!BS9</f>
        <v>0</v>
      </c>
      <c r="AD8" s="119">
        <f>Sheet1!BU9</f>
        <v>2</v>
      </c>
      <c r="AE8" s="119">
        <f>Sheet1!BW9</f>
        <v>0</v>
      </c>
      <c r="AF8" s="119">
        <f>Sheet1!BY9</f>
        <v>4</v>
      </c>
      <c r="AG8" s="119">
        <f>Sheet1!CA9</f>
        <v>0</v>
      </c>
      <c r="AH8" s="119">
        <f>Sheet1!CC9</f>
        <v>75</v>
      </c>
      <c r="AI8" s="119">
        <f>Sheet1!CE9</f>
        <v>0</v>
      </c>
      <c r="AJ8" s="119">
        <f>Sheet1!CG9</f>
        <v>0</v>
      </c>
      <c r="AK8" s="119">
        <f>Sheet1!CI9</f>
        <v>3</v>
      </c>
      <c r="AL8" s="119">
        <f>Sheet1!CK9</f>
        <v>0</v>
      </c>
      <c r="AM8" s="119">
        <f>Sheet1!CM9</f>
        <v>0</v>
      </c>
      <c r="AN8" s="119">
        <f>Sheet1!CO9</f>
        <v>2</v>
      </c>
      <c r="AO8" s="119">
        <f>Sheet1!CQ9</f>
        <v>1</v>
      </c>
      <c r="AP8" s="119">
        <f>Sheet1!CS9</f>
        <v>0</v>
      </c>
      <c r="AQ8" s="119" t="str">
        <f>Sheet1!CV9</f>
        <v>NS</v>
      </c>
      <c r="AR8" s="119" t="str">
        <f>Sheet1!CW9</f>
        <v>yes - NS</v>
      </c>
      <c r="AS8" s="119" t="str">
        <f>Sheet1!CY9</f>
        <v>yes - NS</v>
      </c>
      <c r="AT8" s="119" t="str">
        <f>Sheet1!DA9</f>
        <v>NS</v>
      </c>
      <c r="AU8" s="119" t="str">
        <f>Sheet1!DC9</f>
        <v>yes - NS</v>
      </c>
      <c r="AV8" s="119" t="str">
        <f>Sheet1!DE9</f>
        <v>yes - NS</v>
      </c>
      <c r="AW8" s="119" t="str">
        <f>Sheet1!DG9</f>
        <v>yes - NS</v>
      </c>
      <c r="AX8" s="119" t="str">
        <f>Sheet1!DI9</f>
        <v>all</v>
      </c>
      <c r="AY8" s="119" t="str">
        <f>Sheet1!DK9</f>
        <v>NS</v>
      </c>
      <c r="AZ8" s="119" t="str">
        <f>Sheet1!DM9</f>
        <v>all</v>
      </c>
      <c r="BA8" s="119" t="str">
        <f>Sheet1!DO9</f>
        <v>NS</v>
      </c>
      <c r="BB8" s="119" t="str">
        <f>Sheet1!DQ9</f>
        <v>NS</v>
      </c>
      <c r="BC8" s="119" t="str">
        <f>Sheet1!DS9</f>
        <v>yes - NS</v>
      </c>
      <c r="BD8" s="119" t="str">
        <f>Sheet1!DU9</f>
        <v>NS</v>
      </c>
      <c r="BE8" s="119" t="str">
        <f>IF(Sheet1!DW9="Psychotic Disorder","yes","no")</f>
        <v>no</v>
      </c>
      <c r="BF8" s="119" t="str">
        <f>Sheet1!DY9</f>
        <v>NS</v>
      </c>
      <c r="BG8" s="119" t="str">
        <f>Sheet1!EA9</f>
        <v>NS</v>
      </c>
      <c r="BH8" s="119">
        <f>Sheet1!EW9</f>
        <v>10</v>
      </c>
    </row>
    <row r="9" spans="1:60">
      <c r="A9" s="119" t="str">
        <f>Sheet1!A10</f>
        <v>Fraser</v>
      </c>
      <c r="B9" s="119">
        <f>Sheet1!B10</f>
        <v>2020</v>
      </c>
      <c r="C9" s="120" t="str">
        <f>_xlfn.CONCAT(data!A9," ",data!B11)</f>
        <v>Fraser 2018</v>
      </c>
      <c r="D9" s="119">
        <f>Sheet1!C10</f>
        <v>47</v>
      </c>
      <c r="E9" s="119">
        <f>Sheet1!E10</f>
        <v>14</v>
      </c>
      <c r="F9" s="119">
        <f>Sheet1!G10</f>
        <v>21.3</v>
      </c>
      <c r="G9" s="119">
        <f>Sheet1!I10</f>
        <v>20.100000000000001</v>
      </c>
      <c r="H9" s="119">
        <f>Sheet1!K10</f>
        <v>20.6</v>
      </c>
      <c r="I9" s="119" t="str">
        <f>Sheet1!O10</f>
        <v>NS</v>
      </c>
      <c r="J9" s="119">
        <f>Sheet1!U10</f>
        <v>0</v>
      </c>
      <c r="K9" s="119">
        <f>Sheet1!W10</f>
        <v>61</v>
      </c>
      <c r="L9" s="119">
        <f>Sheet1!Y10</f>
        <v>0</v>
      </c>
      <c r="M9" s="119">
        <f>Sheet1!AA10</f>
        <v>0</v>
      </c>
      <c r="N9" s="119" t="str">
        <f>Sheet1!AC10</f>
        <v>inpat_psych</v>
      </c>
      <c r="O9" s="121" t="str">
        <f>Sheet1!AF10</f>
        <v>aus</v>
      </c>
      <c r="P9" s="119" t="str">
        <f>Sheet1!AI10</f>
        <v>yes</v>
      </c>
      <c r="Q9" s="119" t="str">
        <f>Sheet1!AK10</f>
        <v>yes</v>
      </c>
      <c r="R9" s="119">
        <f>Sheet1!AY10</f>
        <v>61</v>
      </c>
      <c r="S9" s="119">
        <f>Sheet1!BC10</f>
        <v>34</v>
      </c>
      <c r="T9" s="119"/>
      <c r="U9" s="119"/>
      <c r="V9" s="119"/>
      <c r="W9" s="119" t="str">
        <f>Sheet1!BG10</f>
        <v>single</v>
      </c>
      <c r="X9" s="119" t="str">
        <f>Sheet1!BI10</f>
        <v>NA</v>
      </c>
      <c r="Y9" s="119">
        <f>Sheet1!BK10</f>
        <v>34</v>
      </c>
      <c r="Z9" s="119" t="str">
        <f>Sheet1!BM10</f>
        <v>NA</v>
      </c>
      <c r="AA9" s="119" t="str">
        <f>Sheet1!BO10</f>
        <v>NA</v>
      </c>
      <c r="AB9" s="119">
        <f>Sheet1!BQ10</f>
        <v>34</v>
      </c>
      <c r="AC9" s="119" t="str">
        <f>Sheet1!BS10</f>
        <v>NA</v>
      </c>
      <c r="AD9" s="119" t="str">
        <f>Sheet1!BU10</f>
        <v>NA</v>
      </c>
      <c r="AE9" s="119" t="str">
        <f>Sheet1!BW10</f>
        <v>NA</v>
      </c>
      <c r="AF9" s="119" t="str">
        <f>Sheet1!BY10</f>
        <v>NA</v>
      </c>
      <c r="AG9" s="119" t="str">
        <f>Sheet1!CA10</f>
        <v>NA</v>
      </c>
      <c r="AH9" s="119" t="str">
        <f>Sheet1!CC10</f>
        <v>NA</v>
      </c>
      <c r="AI9" s="119" t="str">
        <f>Sheet1!CE10</f>
        <v>NA</v>
      </c>
      <c r="AJ9" s="119" t="str">
        <f>Sheet1!CG10</f>
        <v>NA</v>
      </c>
      <c r="AK9" s="119" t="str">
        <f>Sheet1!CI10</f>
        <v>NA</v>
      </c>
      <c r="AL9" s="119" t="str">
        <f>Sheet1!CK10</f>
        <v>NA</v>
      </c>
      <c r="AM9" s="119" t="str">
        <f>Sheet1!CM10</f>
        <v>NA</v>
      </c>
      <c r="AN9" s="119" t="str">
        <f>Sheet1!CO10</f>
        <v>NA</v>
      </c>
      <c r="AO9" s="119" t="str">
        <f>Sheet1!CQ10</f>
        <v>NA</v>
      </c>
      <c r="AP9" s="119" t="str">
        <f>Sheet1!CS10</f>
        <v>NA</v>
      </c>
      <c r="AQ9" s="119" t="str">
        <f>Sheet1!CV10</f>
        <v>NS</v>
      </c>
      <c r="AR9" s="119" t="str">
        <f>Sheet1!CW10</f>
        <v>NS</v>
      </c>
      <c r="AS9" s="119" t="str">
        <f>Sheet1!CY10</f>
        <v>NS</v>
      </c>
      <c r="AT9" s="119" t="str">
        <f>Sheet1!DA10</f>
        <v>NS</v>
      </c>
      <c r="AU9" s="119" t="str">
        <f>Sheet1!DC10</f>
        <v>NS</v>
      </c>
      <c r="AV9" s="119" t="str">
        <f>Sheet1!DE10</f>
        <v>NS</v>
      </c>
      <c r="AW9" s="119" t="str">
        <f>Sheet1!DG10</f>
        <v>yes - NS</v>
      </c>
      <c r="AX9" s="119" t="str">
        <f>Sheet1!DI10</f>
        <v>all</v>
      </c>
      <c r="AY9" s="119" t="str">
        <f>Sheet1!DK10</f>
        <v>yes</v>
      </c>
      <c r="AZ9" s="119" t="str">
        <f>Sheet1!DM10</f>
        <v>NS</v>
      </c>
      <c r="BA9" s="119" t="str">
        <f>Sheet1!DO10</f>
        <v>NS</v>
      </c>
      <c r="BB9" s="119" t="str">
        <f>Sheet1!DQ10</f>
        <v>NS</v>
      </c>
      <c r="BC9" s="119" t="str">
        <f>Sheet1!DS10</f>
        <v>NS</v>
      </c>
      <c r="BD9" s="119" t="str">
        <f>Sheet1!DU10</f>
        <v>NS</v>
      </c>
      <c r="BE9" s="119" t="str">
        <f>IF(Sheet1!DW10="Psychotic Disorder","yes","no")</f>
        <v>yes</v>
      </c>
      <c r="BF9" s="119" t="str">
        <f>Sheet1!DY10</f>
        <v>PRISM</v>
      </c>
      <c r="BG9" s="119" t="str">
        <f>Sheet1!EA10</f>
        <v>DSM-IV</v>
      </c>
      <c r="BH9" s="119">
        <f>Sheet1!EW10</f>
        <v>9</v>
      </c>
    </row>
    <row r="10" spans="1:60">
      <c r="A10" s="119" t="str">
        <f>Sheet1!A11</f>
        <v>Funayama</v>
      </c>
      <c r="B10" s="119">
        <f>Sheet1!B11</f>
        <v>2022</v>
      </c>
      <c r="C10" s="120" t="str">
        <f>_xlfn.CONCAT(data!A10," ",data!B12)</f>
        <v>Funayama 2021</v>
      </c>
      <c r="D10" s="119">
        <f>Sheet1!C11</f>
        <v>68</v>
      </c>
      <c r="E10" s="119">
        <f>Sheet1!E11</f>
        <v>119</v>
      </c>
      <c r="F10" s="119">
        <f>Sheet1!G11</f>
        <v>36.700000000000003</v>
      </c>
      <c r="G10" s="119">
        <f>Sheet1!I11</f>
        <v>32.299999999999997</v>
      </c>
      <c r="H10" s="119" t="str">
        <f>Sheet1!K11</f>
        <v>NS</v>
      </c>
      <c r="I10" s="119" t="str">
        <f>Sheet1!O11</f>
        <v>NS</v>
      </c>
      <c r="J10" s="119">
        <f>Sheet1!U11</f>
        <v>0</v>
      </c>
      <c r="K10" s="119">
        <f>Sheet1!W11</f>
        <v>187</v>
      </c>
      <c r="L10" s="119">
        <f>Sheet1!Y11</f>
        <v>0</v>
      </c>
      <c r="M10" s="119">
        <f>Sheet1!AA11</f>
        <v>0</v>
      </c>
      <c r="N10" s="119" t="str">
        <f>Sheet1!AC11</f>
        <v>inpat_psych</v>
      </c>
      <c r="O10" s="121" t="str">
        <f>Sheet1!AF11</f>
        <v>asia</v>
      </c>
      <c r="P10" s="119" t="str">
        <f>Sheet1!AI11</f>
        <v>no</v>
      </c>
      <c r="Q10" s="119" t="str">
        <f>Sheet1!AK11</f>
        <v>yes</v>
      </c>
      <c r="R10" s="119">
        <f>Sheet1!AY11</f>
        <v>187</v>
      </c>
      <c r="S10" s="119">
        <f>Sheet1!BC11</f>
        <v>4</v>
      </c>
      <c r="T10" s="119"/>
      <c r="U10" s="119"/>
      <c r="V10" s="119"/>
      <c r="W10" s="119" t="str">
        <f>Sheet1!BG11</f>
        <v>single</v>
      </c>
      <c r="X10" s="119">
        <f>Sheet1!BI11</f>
        <v>4</v>
      </c>
      <c r="Y10" s="119" t="str">
        <f>Sheet1!BK11</f>
        <v>NA</v>
      </c>
      <c r="Z10" s="119">
        <f>Sheet1!BM11</f>
        <v>4</v>
      </c>
      <c r="AA10" s="119" t="str">
        <f>Sheet1!BO11</f>
        <v>NA</v>
      </c>
      <c r="AB10" s="119" t="str">
        <f>Sheet1!BQ11</f>
        <v>NA</v>
      </c>
      <c r="AC10" s="119" t="str">
        <f>Sheet1!BS11</f>
        <v>NA</v>
      </c>
      <c r="AD10" s="119" t="str">
        <f>Sheet1!BU11</f>
        <v>NA</v>
      </c>
      <c r="AE10" s="119" t="str">
        <f>Sheet1!BW11</f>
        <v>NA</v>
      </c>
      <c r="AF10" s="119" t="str">
        <f>Sheet1!BY11</f>
        <v>NA</v>
      </c>
      <c r="AG10" s="119" t="str">
        <f>Sheet1!CA11</f>
        <v>NA</v>
      </c>
      <c r="AH10" s="119" t="str">
        <f>Sheet1!CC11</f>
        <v>NA</v>
      </c>
      <c r="AI10" s="119" t="str">
        <f>Sheet1!CE11</f>
        <v>NA</v>
      </c>
      <c r="AJ10" s="119" t="str">
        <f>Sheet1!CG11</f>
        <v>NA</v>
      </c>
      <c r="AK10" s="119" t="str">
        <f>Sheet1!CI11</f>
        <v>NA</v>
      </c>
      <c r="AL10" s="119" t="str">
        <f>Sheet1!CK11</f>
        <v>NA</v>
      </c>
      <c r="AM10" s="119" t="str">
        <f>Sheet1!CM11</f>
        <v>NA</v>
      </c>
      <c r="AN10" s="119" t="str">
        <f>Sheet1!CO11</f>
        <v>NA</v>
      </c>
      <c r="AO10" s="119" t="str">
        <f>Sheet1!CQ11</f>
        <v>NA</v>
      </c>
      <c r="AP10" s="119" t="str">
        <f>Sheet1!CS11</f>
        <v>NA</v>
      </c>
      <c r="AQ10" s="119" t="str">
        <f>Sheet1!CV11</f>
        <v>yes - NS</v>
      </c>
      <c r="AR10" s="119" t="str">
        <f>Sheet1!CW11</f>
        <v>NS</v>
      </c>
      <c r="AS10" s="119" t="str">
        <f>Sheet1!CY11</f>
        <v>NS</v>
      </c>
      <c r="AT10" s="119" t="str">
        <f>Sheet1!DA11</f>
        <v>yes - NS</v>
      </c>
      <c r="AU10" s="119" t="str">
        <f>Sheet1!DC11</f>
        <v>yes - NS</v>
      </c>
      <c r="AV10" s="119" t="str">
        <f>Sheet1!DE11</f>
        <v>all</v>
      </c>
      <c r="AW10" s="119" t="str">
        <f>Sheet1!DG11</f>
        <v>NS</v>
      </c>
      <c r="AX10" s="119" t="str">
        <f>Sheet1!DI11</f>
        <v>all</v>
      </c>
      <c r="AY10" s="119" t="str">
        <f>Sheet1!DK11</f>
        <v>NS</v>
      </c>
      <c r="AZ10" s="119" t="str">
        <f>Sheet1!DM11</f>
        <v>all</v>
      </c>
      <c r="BA10" s="119" t="str">
        <f>Sheet1!DO11</f>
        <v>all</v>
      </c>
      <c r="BB10" s="119" t="str">
        <f>Sheet1!DQ11</f>
        <v>no</v>
      </c>
      <c r="BC10" s="119" t="str">
        <f>Sheet1!DS11</f>
        <v>NS</v>
      </c>
      <c r="BD10" s="119" t="str">
        <f>Sheet1!DU11</f>
        <v>NS</v>
      </c>
      <c r="BE10" s="119" t="str">
        <f>IF(Sheet1!DW11="Psychotic Disorder","yes","no")</f>
        <v>no</v>
      </c>
      <c r="BF10" s="119" t="str">
        <f>Sheet1!DY11</f>
        <v>NS</v>
      </c>
      <c r="BG10" s="119" t="str">
        <f>Sheet1!EA11</f>
        <v>ICD-10</v>
      </c>
      <c r="BH10" s="119">
        <f>Sheet1!EW11</f>
        <v>10</v>
      </c>
    </row>
    <row r="11" spans="1:60">
      <c r="A11" s="119" t="str">
        <f>Sheet1!A12</f>
        <v>Giannitelli</v>
      </c>
      <c r="B11" s="119">
        <f>Sheet1!B12</f>
        <v>2018</v>
      </c>
      <c r="C11" s="120" t="str">
        <f>_xlfn.CONCAT(data!A11," ",data!B13)</f>
        <v>Giannitelli 2019</v>
      </c>
      <c r="D11" s="119" t="str">
        <f>Sheet1!C12</f>
        <v>NS</v>
      </c>
      <c r="E11" s="119" t="str">
        <f>Sheet1!E12</f>
        <v>NS</v>
      </c>
      <c r="F11" s="119" t="str">
        <f>Sheet1!G12</f>
        <v>NS</v>
      </c>
      <c r="G11" s="119" t="str">
        <f>Sheet1!I12</f>
        <v>NS</v>
      </c>
      <c r="H11" s="119" t="str">
        <f>Sheet1!K12</f>
        <v>NS</v>
      </c>
      <c r="I11" s="119" t="str">
        <f>Sheet1!O12</f>
        <v>NS</v>
      </c>
      <c r="J11" s="119">
        <f>Sheet1!U12</f>
        <v>160</v>
      </c>
      <c r="K11" s="119" t="str">
        <f>Sheet1!W12</f>
        <v>NS</v>
      </c>
      <c r="L11" s="119" t="str">
        <f>Sheet1!Y12</f>
        <v>NS</v>
      </c>
      <c r="M11" s="119" t="str">
        <f>Sheet1!AA12</f>
        <v>NS</v>
      </c>
      <c r="N11" s="119" t="str">
        <f>Sheet1!AC12</f>
        <v>gen_hospital</v>
      </c>
      <c r="O11" s="121" t="str">
        <f>Sheet1!AF12</f>
        <v>euro</v>
      </c>
      <c r="P11" s="119" t="str">
        <f>Sheet1!AI12</f>
        <v>no</v>
      </c>
      <c r="Q11" s="119" t="str">
        <f>Sheet1!AK12</f>
        <v>NS</v>
      </c>
      <c r="R11" s="119">
        <f>Sheet1!AY12</f>
        <v>160</v>
      </c>
      <c r="S11" s="119">
        <f>Sheet1!BC12</f>
        <v>20</v>
      </c>
      <c r="T11" s="119"/>
      <c r="U11" s="119"/>
      <c r="V11" s="119"/>
      <c r="W11" s="119" t="str">
        <f>Sheet1!BG12</f>
        <v>multiple</v>
      </c>
      <c r="X11" s="119">
        <f>Sheet1!BI12</f>
        <v>20</v>
      </c>
      <c r="Y11" s="119" t="str">
        <f>Sheet1!BK12</f>
        <v>NA</v>
      </c>
      <c r="Z11" s="119">
        <f>Sheet1!BM12</f>
        <v>3</v>
      </c>
      <c r="AA11" s="119">
        <f>Sheet1!BO12</f>
        <v>15</v>
      </c>
      <c r="AB11" s="119">
        <f>Sheet1!BQ12</f>
        <v>0</v>
      </c>
      <c r="AC11" s="119">
        <f>Sheet1!BS12</f>
        <v>0</v>
      </c>
      <c r="AD11" s="119">
        <f>Sheet1!BU12</f>
        <v>0</v>
      </c>
      <c r="AE11" s="119">
        <f>Sheet1!BW12</f>
        <v>2</v>
      </c>
      <c r="AF11" s="119">
        <f>Sheet1!BY12</f>
        <v>0</v>
      </c>
      <c r="AG11" s="119">
        <f>Sheet1!CA12</f>
        <v>0</v>
      </c>
      <c r="AH11" s="119">
        <f>Sheet1!CC12</f>
        <v>0</v>
      </c>
      <c r="AI11" s="119">
        <f>Sheet1!CE12</f>
        <v>0</v>
      </c>
      <c r="AJ11" s="119">
        <f>Sheet1!CG12</f>
        <v>0</v>
      </c>
      <c r="AK11" s="119">
        <f>Sheet1!CI12</f>
        <v>0</v>
      </c>
      <c r="AL11" s="119">
        <f>Sheet1!CK12</f>
        <v>0</v>
      </c>
      <c r="AM11" s="119">
        <f>Sheet1!CM12</f>
        <v>0</v>
      </c>
      <c r="AN11" s="119">
        <f>Sheet1!CO12</f>
        <v>0</v>
      </c>
      <c r="AO11" s="119">
        <f>Sheet1!CQ12</f>
        <v>0</v>
      </c>
      <c r="AP11" s="119">
        <f>Sheet1!CS12</f>
        <v>0</v>
      </c>
      <c r="AQ11" s="119" t="str">
        <f>Sheet1!CV12</f>
        <v>NS</v>
      </c>
      <c r="AR11" s="119" t="str">
        <f>Sheet1!CW12</f>
        <v>NS</v>
      </c>
      <c r="AS11" s="119" t="str">
        <f>Sheet1!CY12</f>
        <v>NS</v>
      </c>
      <c r="AT11" s="119" t="str">
        <f>Sheet1!DA12</f>
        <v>yes - NS</v>
      </c>
      <c r="AU11" s="119" t="str">
        <f>Sheet1!DC12</f>
        <v>NS</v>
      </c>
      <c r="AV11" s="119" t="str">
        <f>Sheet1!DE12</f>
        <v>yes - NS</v>
      </c>
      <c r="AW11" s="119" t="str">
        <f>Sheet1!DG12</f>
        <v>NS</v>
      </c>
      <c r="AX11" s="119" t="str">
        <f>Sheet1!DI12</f>
        <v>NS</v>
      </c>
      <c r="AY11" s="119" t="str">
        <f>Sheet1!DK12</f>
        <v>NS</v>
      </c>
      <c r="AZ11" s="119" t="str">
        <f>Sheet1!DM12</f>
        <v>NS</v>
      </c>
      <c r="BA11" s="119" t="str">
        <f>Sheet1!DO12</f>
        <v>NS</v>
      </c>
      <c r="BB11" s="119" t="str">
        <f>Sheet1!DQ12</f>
        <v>NS</v>
      </c>
      <c r="BC11" s="119" t="str">
        <f>Sheet1!DS12</f>
        <v>NS</v>
      </c>
      <c r="BD11" s="119" t="str">
        <f>Sheet1!DU12</f>
        <v>NS</v>
      </c>
      <c r="BE11" s="119" t="str">
        <f>IF(Sheet1!DW12="Psychotic Disorder","yes","no")</f>
        <v>yes</v>
      </c>
      <c r="BF11" s="119" t="str">
        <f>Sheet1!DY12</f>
        <v>NS</v>
      </c>
      <c r="BG11" s="119" t="str">
        <f>Sheet1!EA12</f>
        <v>NS</v>
      </c>
      <c r="BH11" s="119">
        <f>Sheet1!EW12</f>
        <v>10</v>
      </c>
    </row>
    <row r="12" spans="1:60">
      <c r="A12" s="119" t="str">
        <f>Sheet1!A13</f>
        <v>Guasp</v>
      </c>
      <c r="B12" s="119">
        <f>Sheet1!B13</f>
        <v>2021</v>
      </c>
      <c r="C12" s="120" t="str">
        <f>_xlfn.CONCAT(data!A12," ",data!B14)</f>
        <v>Guasp 1987</v>
      </c>
      <c r="D12" s="119">
        <f>Sheet1!C13</f>
        <v>61</v>
      </c>
      <c r="E12" s="119">
        <f>Sheet1!E13</f>
        <v>44</v>
      </c>
      <c r="F12" s="119" t="str">
        <f>Sheet1!G13</f>
        <v>NS</v>
      </c>
      <c r="G12" s="119" t="str">
        <f>Sheet1!I13</f>
        <v>NS</v>
      </c>
      <c r="H12" s="119" t="str">
        <f>Sheet1!K13</f>
        <v>NS</v>
      </c>
      <c r="I12" s="119" t="str">
        <f>Sheet1!O13</f>
        <v>NS</v>
      </c>
      <c r="J12" s="119">
        <f>Sheet1!U13</f>
        <v>0</v>
      </c>
      <c r="K12" s="119">
        <f>Sheet1!W13</f>
        <v>105</v>
      </c>
      <c r="L12" s="119">
        <f>Sheet1!Y13</f>
        <v>0</v>
      </c>
      <c r="M12" s="119">
        <f>Sheet1!AA13</f>
        <v>0</v>
      </c>
      <c r="N12" s="119" t="str">
        <f>Sheet1!AC13</f>
        <v>inpat_psych</v>
      </c>
      <c r="O12" s="121" t="str">
        <f>Sheet1!AF13</f>
        <v>euro</v>
      </c>
      <c r="P12" s="119" t="str">
        <f>Sheet1!AI13</f>
        <v>yes</v>
      </c>
      <c r="Q12" s="119" t="str">
        <f>Sheet1!AK13</f>
        <v>yes</v>
      </c>
      <c r="R12" s="119">
        <f>Sheet1!AY13</f>
        <v>105</v>
      </c>
      <c r="S12" s="119">
        <f>Sheet1!BC13</f>
        <v>4</v>
      </c>
      <c r="T12" s="119"/>
      <c r="U12" s="119"/>
      <c r="V12" s="119"/>
      <c r="W12" s="119" t="str">
        <f>Sheet1!BG13</f>
        <v>multiple</v>
      </c>
      <c r="X12" s="119">
        <f>Sheet1!BI13</f>
        <v>4</v>
      </c>
      <c r="Y12" s="119">
        <f>Sheet1!BK13</f>
        <v>0</v>
      </c>
      <c r="Z12" s="119">
        <f>Sheet1!BM13</f>
        <v>0</v>
      </c>
      <c r="AA12" s="119">
        <f>Sheet1!BO13</f>
        <v>0</v>
      </c>
      <c r="AB12" s="119">
        <f>Sheet1!BQ13</f>
        <v>0</v>
      </c>
      <c r="AC12" s="119">
        <f>Sheet1!BS13</f>
        <v>0</v>
      </c>
      <c r="AD12" s="119">
        <f>Sheet1!BU13</f>
        <v>0</v>
      </c>
      <c r="AE12" s="119">
        <f>Sheet1!BW13</f>
        <v>0</v>
      </c>
      <c r="AF12" s="119">
        <f>Sheet1!BY13</f>
        <v>1</v>
      </c>
      <c r="AG12" s="119">
        <f>Sheet1!CA13</f>
        <v>0</v>
      </c>
      <c r="AH12" s="119">
        <f>Sheet1!CC13</f>
        <v>1</v>
      </c>
      <c r="AI12" s="119">
        <f>Sheet1!CE13</f>
        <v>1</v>
      </c>
      <c r="AJ12" s="119">
        <f>Sheet1!CG13</f>
        <v>0</v>
      </c>
      <c r="AK12" s="119">
        <f>Sheet1!CI13</f>
        <v>0</v>
      </c>
      <c r="AL12" s="119">
        <f>Sheet1!CK13</f>
        <v>0</v>
      </c>
      <c r="AM12" s="119">
        <f>Sheet1!CM13</f>
        <v>0</v>
      </c>
      <c r="AN12" s="119">
        <f>Sheet1!CO13</f>
        <v>1</v>
      </c>
      <c r="AO12" s="119">
        <f>Sheet1!CQ13</f>
        <v>0</v>
      </c>
      <c r="AP12" s="119">
        <f>Sheet1!CS13</f>
        <v>0</v>
      </c>
      <c r="AQ12" s="119" t="str">
        <f>Sheet1!CV13</f>
        <v>all</v>
      </c>
      <c r="AR12" s="119" t="str">
        <f>Sheet1!CW13</f>
        <v>NS</v>
      </c>
      <c r="AS12" s="119" t="str">
        <f>Sheet1!CY13</f>
        <v>NS</v>
      </c>
      <c r="AT12" s="119" t="str">
        <f>Sheet1!DA13</f>
        <v>some</v>
      </c>
      <c r="AU12" s="119" t="str">
        <f>Sheet1!DC13</f>
        <v>all</v>
      </c>
      <c r="AV12" s="119" t="str">
        <f>Sheet1!DE13</f>
        <v>all</v>
      </c>
      <c r="AW12" s="119" t="str">
        <f>Sheet1!DG13</f>
        <v>all</v>
      </c>
      <c r="AX12" s="119" t="str">
        <f>Sheet1!DI13</f>
        <v>all</v>
      </c>
      <c r="AY12" s="119" t="str">
        <f>Sheet1!DK13</f>
        <v>NS</v>
      </c>
      <c r="AZ12" s="119" t="str">
        <f>Sheet1!DM13</f>
        <v>all</v>
      </c>
      <c r="BA12" s="119" t="str">
        <f>Sheet1!DO13</f>
        <v>NS</v>
      </c>
      <c r="BB12" s="119" t="str">
        <f>Sheet1!DQ13</f>
        <v>NS</v>
      </c>
      <c r="BC12" s="119" t="str">
        <f>Sheet1!DS13</f>
        <v>NS</v>
      </c>
      <c r="BD12" s="119" t="str">
        <f>Sheet1!DU13</f>
        <v>NS</v>
      </c>
      <c r="BE12" s="119" t="str">
        <f>IF(Sheet1!DW13="Psychotic Disorder","yes","no")</f>
        <v>yes</v>
      </c>
      <c r="BF12" s="119" t="str">
        <f>Sheet1!DY13</f>
        <v>SCID</v>
      </c>
      <c r="BG12" s="119" t="str">
        <f>Sheet1!EA13</f>
        <v>DSM-IV</v>
      </c>
      <c r="BH12" s="119">
        <f>Sheet1!EW13</f>
        <v>10</v>
      </c>
    </row>
    <row r="13" spans="1:60">
      <c r="A13" s="119" t="str">
        <f>Sheet1!A14</f>
        <v>Harris</v>
      </c>
      <c r="B13" s="119">
        <f>Sheet1!B14</f>
        <v>2019</v>
      </c>
      <c r="C13" s="120" t="str">
        <f>_xlfn.CONCAT(data!A13," ",data!B15)</f>
        <v>Harris 2020</v>
      </c>
      <c r="D13" s="119">
        <f>Sheet1!C14</f>
        <v>480</v>
      </c>
      <c r="E13" s="119">
        <f>Sheet1!E14</f>
        <v>325</v>
      </c>
      <c r="F13" s="119" t="str">
        <f>Sheet1!G14</f>
        <v>NS</v>
      </c>
      <c r="G13" s="119" t="str">
        <f>Sheet1!I14</f>
        <v>NS</v>
      </c>
      <c r="H13" s="119">
        <f>Sheet1!K14</f>
        <v>32</v>
      </c>
      <c r="I13" s="119" t="str">
        <f>Sheet1!O14</f>
        <v>NS</v>
      </c>
      <c r="J13" s="119" t="str">
        <f>Sheet1!U14</f>
        <v>NS</v>
      </c>
      <c r="K13" s="119" t="str">
        <f>Sheet1!W14</f>
        <v>NS</v>
      </c>
      <c r="L13" s="119">
        <f>Sheet1!Y14</f>
        <v>0</v>
      </c>
      <c r="M13" s="119">
        <f>Sheet1!AA14</f>
        <v>0</v>
      </c>
      <c r="N13" s="119" t="str">
        <f>Sheet1!AC14</f>
        <v>NS</v>
      </c>
      <c r="O13" s="121" t="str">
        <f>Sheet1!AF14</f>
        <v>aus</v>
      </c>
      <c r="P13" s="119" t="str">
        <f>Sheet1!AI14</f>
        <v>no</v>
      </c>
      <c r="Q13" s="119" t="str">
        <f>Sheet1!AK14</f>
        <v>no</v>
      </c>
      <c r="R13" s="119">
        <f>Sheet1!AY14</f>
        <v>805</v>
      </c>
      <c r="S13" s="119">
        <f>Sheet1!BC14</f>
        <v>1</v>
      </c>
      <c r="T13" s="119"/>
      <c r="U13" s="119"/>
      <c r="V13" s="119"/>
      <c r="W13" s="119" t="str">
        <f>Sheet1!BG14</f>
        <v>NS</v>
      </c>
      <c r="X13" s="119">
        <f>Sheet1!BI14</f>
        <v>1</v>
      </c>
      <c r="Y13" s="119" t="str">
        <f>Sheet1!BK14</f>
        <v>NA</v>
      </c>
      <c r="Z13" s="119" t="str">
        <f>Sheet1!BM14</f>
        <v>NA</v>
      </c>
      <c r="AA13" s="119" t="str">
        <f>Sheet1!BO14</f>
        <v>NA</v>
      </c>
      <c r="AB13" s="119" t="str">
        <f>Sheet1!BQ14</f>
        <v>NA</v>
      </c>
      <c r="AC13" s="119" t="str">
        <f>Sheet1!BS14</f>
        <v>NA</v>
      </c>
      <c r="AD13" s="119" t="str">
        <f>Sheet1!BU14</f>
        <v>NA</v>
      </c>
      <c r="AE13" s="119" t="str">
        <f>Sheet1!BW14</f>
        <v>NA</v>
      </c>
      <c r="AF13" s="119" t="str">
        <f>Sheet1!BY14</f>
        <v>NA</v>
      </c>
      <c r="AG13" s="119" t="str">
        <f>Sheet1!CA14</f>
        <v>NA</v>
      </c>
      <c r="AH13" s="119" t="str">
        <f>Sheet1!CC14</f>
        <v>NA</v>
      </c>
      <c r="AI13" s="119" t="str">
        <f>Sheet1!CE14</f>
        <v>NA</v>
      </c>
      <c r="AJ13" s="119" t="str">
        <f>Sheet1!CG14</f>
        <v>NA</v>
      </c>
      <c r="AK13" s="119" t="str">
        <f>Sheet1!CI14</f>
        <v>NA</v>
      </c>
      <c r="AL13" s="119" t="str">
        <f>Sheet1!CK14</f>
        <v>NA</v>
      </c>
      <c r="AM13" s="119" t="str">
        <f>Sheet1!CM14</f>
        <v>NA</v>
      </c>
      <c r="AN13" s="119" t="str">
        <f>Sheet1!CO14</f>
        <v>NA</v>
      </c>
      <c r="AO13" s="119" t="str">
        <f>Sheet1!CQ14</f>
        <v>NA</v>
      </c>
      <c r="AP13" s="119">
        <f>Sheet1!CS14</f>
        <v>1</v>
      </c>
      <c r="AQ13" s="119" t="str">
        <f>Sheet1!CV14</f>
        <v>some</v>
      </c>
      <c r="AR13" s="119" t="str">
        <f>Sheet1!CW14</f>
        <v>all</v>
      </c>
      <c r="AS13" s="119" t="str">
        <f>Sheet1!CY14</f>
        <v>some</v>
      </c>
      <c r="AT13" s="119" t="str">
        <f>Sheet1!DA14</f>
        <v>some</v>
      </c>
      <c r="AU13" s="119" t="str">
        <f>Sheet1!DC14</f>
        <v>some</v>
      </c>
      <c r="AV13" s="119" t="str">
        <f>Sheet1!DE14</f>
        <v>some</v>
      </c>
      <c r="AW13" s="119" t="str">
        <f>Sheet1!DG14</f>
        <v>NS</v>
      </c>
      <c r="AX13" s="119" t="str">
        <f>Sheet1!DI14</f>
        <v>NS</v>
      </c>
      <c r="AY13" s="119" t="str">
        <f>Sheet1!DK14</f>
        <v>NS</v>
      </c>
      <c r="AZ13" s="119" t="str">
        <f>Sheet1!DM14</f>
        <v>some</v>
      </c>
      <c r="BA13" s="119" t="str">
        <f>Sheet1!DO14</f>
        <v>NS</v>
      </c>
      <c r="BB13" s="119" t="str">
        <f>Sheet1!DQ14</f>
        <v>NS</v>
      </c>
      <c r="BC13" s="119" t="str">
        <f>Sheet1!DS14</f>
        <v>NS</v>
      </c>
      <c r="BD13" s="119" t="str">
        <f>Sheet1!DU14</f>
        <v>NS</v>
      </c>
      <c r="BE13" s="119" t="str">
        <f>IF(Sheet1!DW14="Psychotic Disorder","yes","no")</f>
        <v>no</v>
      </c>
      <c r="BF13" s="119" t="str">
        <f>Sheet1!DY14</f>
        <v>NS</v>
      </c>
      <c r="BG13" s="119" t="str">
        <f>Sheet1!EA14</f>
        <v>NS</v>
      </c>
      <c r="BH13" s="119">
        <f>Sheet1!EW14</f>
        <v>10</v>
      </c>
    </row>
    <row r="14" spans="1:60">
      <c r="A14" s="119" t="str">
        <f>Sheet1!A15</f>
        <v>Johnstone</v>
      </c>
      <c r="B14" s="119">
        <f>Sheet1!B15</f>
        <v>1987</v>
      </c>
      <c r="C14" s="120" t="str">
        <f>_xlfn.CONCAT(data!A14," ",data!B16)</f>
        <v>Johnstone 2011</v>
      </c>
      <c r="D14" s="119" t="str">
        <f>Sheet1!C15</f>
        <v>NS</v>
      </c>
      <c r="E14" s="119" t="str">
        <f>Sheet1!E15</f>
        <v>NS</v>
      </c>
      <c r="F14" s="119" t="str">
        <f>Sheet1!G15</f>
        <v>NS</v>
      </c>
      <c r="G14" s="119" t="str">
        <f>Sheet1!I15</f>
        <v>NS</v>
      </c>
      <c r="H14" s="119" t="str">
        <f>Sheet1!K15</f>
        <v>NS</v>
      </c>
      <c r="I14" s="119" t="str">
        <f>Sheet1!O15</f>
        <v>NS</v>
      </c>
      <c r="J14" s="119">
        <f>Sheet1!U15</f>
        <v>0</v>
      </c>
      <c r="K14" s="119">
        <f>Sheet1!W15</f>
        <v>268</v>
      </c>
      <c r="L14" s="119">
        <f>Sheet1!Y15</f>
        <v>0</v>
      </c>
      <c r="M14" s="119">
        <f>Sheet1!AA15</f>
        <v>0</v>
      </c>
      <c r="N14" s="119" t="str">
        <f>Sheet1!AC15</f>
        <v>inpat_psych</v>
      </c>
      <c r="O14" s="121" t="str">
        <f>Sheet1!AF15</f>
        <v>euro</v>
      </c>
      <c r="P14" s="119" t="str">
        <f>Sheet1!AI15</f>
        <v>yes</v>
      </c>
      <c r="Q14" s="119" t="str">
        <f>Sheet1!AK15</f>
        <v>yes</v>
      </c>
      <c r="R14" s="119">
        <f>Sheet1!AY15</f>
        <v>268</v>
      </c>
      <c r="S14" s="119">
        <f>Sheet1!BC15</f>
        <v>15</v>
      </c>
      <c r="T14" s="119"/>
      <c r="U14" s="119"/>
      <c r="V14" s="119"/>
      <c r="W14" s="119" t="str">
        <f>Sheet1!BG15</f>
        <v>multiple</v>
      </c>
      <c r="X14" s="119">
        <f>Sheet1!BI15</f>
        <v>10</v>
      </c>
      <c r="Y14" s="119">
        <f>Sheet1!BK15</f>
        <v>5</v>
      </c>
      <c r="Z14" s="119">
        <f>Sheet1!BM15</f>
        <v>3</v>
      </c>
      <c r="AA14" s="119" t="str">
        <f>Sheet1!BO15</f>
        <v>NA</v>
      </c>
      <c r="AB14" s="119">
        <f>Sheet1!BQ15</f>
        <v>5</v>
      </c>
      <c r="AC14" s="119">
        <f>Sheet1!BS15</f>
        <v>0</v>
      </c>
      <c r="AD14" s="119">
        <f>Sheet1!BU15</f>
        <v>1</v>
      </c>
      <c r="AE14" s="119" t="str">
        <f>Sheet1!BW15</f>
        <v>NA</v>
      </c>
      <c r="AF14" s="119">
        <f>Sheet1!BY15</f>
        <v>0</v>
      </c>
      <c r="AG14" s="119">
        <f>Sheet1!CA15</f>
        <v>0</v>
      </c>
      <c r="AH14" s="119">
        <f>Sheet1!CC15</f>
        <v>4</v>
      </c>
      <c r="AI14" s="119" t="str">
        <f>Sheet1!CE15</f>
        <v>NA</v>
      </c>
      <c r="AJ14" s="119" t="str">
        <f>Sheet1!CG15</f>
        <v>NA</v>
      </c>
      <c r="AK14" s="119">
        <f>Sheet1!CI15</f>
        <v>0</v>
      </c>
      <c r="AL14" s="119">
        <f>Sheet1!CK15</f>
        <v>0</v>
      </c>
      <c r="AM14" s="119">
        <f>Sheet1!CM15</f>
        <v>1</v>
      </c>
      <c r="AN14" s="119">
        <f>Sheet1!CO15</f>
        <v>1</v>
      </c>
      <c r="AO14" s="119">
        <f>Sheet1!CQ15</f>
        <v>0</v>
      </c>
      <c r="AP14" s="119">
        <f>Sheet1!CS15</f>
        <v>0</v>
      </c>
      <c r="AQ14" s="119" t="str">
        <f>Sheet1!CV15</f>
        <v>NS</v>
      </c>
      <c r="AR14" s="119" t="str">
        <f>Sheet1!CW15</f>
        <v>some</v>
      </c>
      <c r="AS14" s="119">
        <f>Sheet1!CY15</f>
        <v>0</v>
      </c>
      <c r="AT14" s="119" t="str">
        <f>Sheet1!DA15</f>
        <v>some</v>
      </c>
      <c r="AU14" s="119" t="str">
        <f>Sheet1!DC15</f>
        <v>some</v>
      </c>
      <c r="AV14" s="119" t="str">
        <f>Sheet1!DE15</f>
        <v>some</v>
      </c>
      <c r="AW14" s="119">
        <f>Sheet1!DG15</f>
        <v>0</v>
      </c>
      <c r="AX14" s="119" t="str">
        <f>Sheet1!DI15</f>
        <v>all</v>
      </c>
      <c r="AY14" s="119" t="str">
        <f>Sheet1!DK15</f>
        <v>NS</v>
      </c>
      <c r="AZ14" s="119" t="str">
        <f>Sheet1!DM15</f>
        <v>some</v>
      </c>
      <c r="BA14" s="119" t="str">
        <f>Sheet1!DO15</f>
        <v>some</v>
      </c>
      <c r="BB14" s="119" t="str">
        <f>Sheet1!DQ15</f>
        <v>NS</v>
      </c>
      <c r="BC14" s="119" t="str">
        <f>Sheet1!DS15</f>
        <v>X-ray (Unspecified freq)</v>
      </c>
      <c r="BD14" s="119" t="str">
        <f>Sheet1!DU15</f>
        <v>NS</v>
      </c>
      <c r="BE14" s="119" t="str">
        <f>IF(Sheet1!DW15="Psychotic Disorder","yes","no")</f>
        <v>yes</v>
      </c>
      <c r="BF14" s="119" t="str">
        <f>Sheet1!DY15</f>
        <v>NS</v>
      </c>
      <c r="BG14" s="119" t="str">
        <f>Sheet1!EA15</f>
        <v>NS</v>
      </c>
      <c r="BH14" s="119">
        <f>Sheet1!EW15</f>
        <v>9</v>
      </c>
    </row>
    <row r="15" spans="1:60">
      <c r="A15" s="119" t="str">
        <f>Sheet1!A16</f>
        <v>Kelleher</v>
      </c>
      <c r="B15" s="119">
        <f>Sheet1!B16</f>
        <v>2020</v>
      </c>
      <c r="C15" s="120" t="str">
        <f>_xlfn.CONCAT(data!A15," ",data!B17)</f>
        <v>Kelleher 2012</v>
      </c>
      <c r="D15" s="119">
        <f>Sheet1!C16</f>
        <v>134</v>
      </c>
      <c r="E15" s="119">
        <f>Sheet1!E16</f>
        <v>78</v>
      </c>
      <c r="F15" s="119" t="str">
        <f>Sheet1!G16</f>
        <v>NS</v>
      </c>
      <c r="G15" s="119" t="str">
        <f>Sheet1!I16</f>
        <v>NS</v>
      </c>
      <c r="H15" s="119" t="str">
        <f>Sheet1!K16</f>
        <v>33 FEP, 45 TRS Cohort</v>
      </c>
      <c r="I15" s="119">
        <f>Sheet1!O16</f>
        <v>203</v>
      </c>
      <c r="J15" s="119">
        <f>Sheet1!U16</f>
        <v>4</v>
      </c>
      <c r="K15" s="119">
        <f>Sheet1!W16</f>
        <v>61</v>
      </c>
      <c r="L15" s="119">
        <f>Sheet1!Y16</f>
        <v>147</v>
      </c>
      <c r="M15" s="119">
        <f>Sheet1!AA16</f>
        <v>0</v>
      </c>
      <c r="N15" s="119" t="str">
        <f>Sheet1!AC16</f>
        <v>mixture</v>
      </c>
      <c r="O15" s="121" t="str">
        <f>Sheet1!AF16</f>
        <v>euro</v>
      </c>
      <c r="P15" s="119" t="str">
        <f>Sheet1!AI16</f>
        <v>yes</v>
      </c>
      <c r="Q15" s="119" t="str">
        <f>Sheet1!AK16</f>
        <v>no</v>
      </c>
      <c r="R15" s="119">
        <f>Sheet1!AY16</f>
        <v>212</v>
      </c>
      <c r="S15" s="119">
        <f>Sheet1!BC16</f>
        <v>2</v>
      </c>
      <c r="T15" s="119"/>
      <c r="U15" s="119"/>
      <c r="V15" s="119"/>
      <c r="W15" s="119" t="str">
        <f>Sheet1!BG16</f>
        <v>single</v>
      </c>
      <c r="X15" s="119">
        <f>Sheet1!BI16</f>
        <v>2</v>
      </c>
      <c r="Y15" s="119" t="str">
        <f>Sheet1!BK16</f>
        <v>NA</v>
      </c>
      <c r="Z15" s="119">
        <f>Sheet1!BM16</f>
        <v>2</v>
      </c>
      <c r="AA15" s="119" t="str">
        <f>Sheet1!BO16</f>
        <v>NA</v>
      </c>
      <c r="AB15" s="119" t="str">
        <f>Sheet1!BQ16</f>
        <v>NA</v>
      </c>
      <c r="AC15" s="119" t="str">
        <f>Sheet1!BS16</f>
        <v>NA</v>
      </c>
      <c r="AD15" s="119" t="str">
        <f>Sheet1!BU16</f>
        <v>NA</v>
      </c>
      <c r="AE15" s="119" t="str">
        <f>Sheet1!BW16</f>
        <v>NA</v>
      </c>
      <c r="AF15" s="119" t="str">
        <f>Sheet1!BY16</f>
        <v>NA</v>
      </c>
      <c r="AG15" s="119" t="str">
        <f>Sheet1!CA16</f>
        <v>NA</v>
      </c>
      <c r="AH15" s="119" t="str">
        <f>Sheet1!CC16</f>
        <v>NA</v>
      </c>
      <c r="AI15" s="119" t="str">
        <f>Sheet1!CE16</f>
        <v>NA</v>
      </c>
      <c r="AJ15" s="119" t="str">
        <f>Sheet1!CG16</f>
        <v>NA</v>
      </c>
      <c r="AK15" s="119" t="str">
        <f>Sheet1!CI16</f>
        <v>NA</v>
      </c>
      <c r="AL15" s="119" t="str">
        <f>Sheet1!CK16</f>
        <v>NA</v>
      </c>
      <c r="AM15" s="119" t="str">
        <f>Sheet1!CM16</f>
        <v>NA</v>
      </c>
      <c r="AN15" s="119" t="str">
        <f>Sheet1!CO16</f>
        <v>NA</v>
      </c>
      <c r="AO15" s="119" t="str">
        <f>Sheet1!CQ16</f>
        <v>NA</v>
      </c>
      <c r="AP15" s="119" t="str">
        <f>Sheet1!CS16</f>
        <v>NA</v>
      </c>
      <c r="AQ15" s="119" t="str">
        <f>Sheet1!CV16</f>
        <v>some</v>
      </c>
      <c r="AR15" s="119">
        <f>Sheet1!CW16</f>
        <v>0</v>
      </c>
      <c r="AS15" s="119">
        <f>Sheet1!CY16</f>
        <v>0</v>
      </c>
      <c r="AT15" s="119" t="str">
        <f>Sheet1!DA16</f>
        <v>some</v>
      </c>
      <c r="AU15" s="119" t="str">
        <f>Sheet1!DC16</f>
        <v>some</v>
      </c>
      <c r="AV15" s="119" t="str">
        <f>Sheet1!DE16</f>
        <v>all</v>
      </c>
      <c r="AW15" s="119">
        <f>Sheet1!DG16</f>
        <v>0</v>
      </c>
      <c r="AX15" s="119" t="str">
        <f>Sheet1!DI16</f>
        <v>all</v>
      </c>
      <c r="AY15" s="119" t="str">
        <f>Sheet1!DK16</f>
        <v>yes</v>
      </c>
      <c r="AZ15" s="119" t="str">
        <f>Sheet1!DM16</f>
        <v>some</v>
      </c>
      <c r="BA15" s="119" t="str">
        <f>Sheet1!DO16</f>
        <v>NS</v>
      </c>
      <c r="BB15" s="119" t="str">
        <f>Sheet1!DQ16</f>
        <v>NS</v>
      </c>
      <c r="BC15" s="119" t="str">
        <f>Sheet1!DS16</f>
        <v>some</v>
      </c>
      <c r="BD15" s="119" t="str">
        <f>Sheet1!DU16</f>
        <v>NS</v>
      </c>
      <c r="BE15" s="119" t="str">
        <f>IF(Sheet1!DW16="Psychotic Disorder","yes","no")</f>
        <v>yes</v>
      </c>
      <c r="BF15" s="119" t="str">
        <f>Sheet1!DY16</f>
        <v>SCID</v>
      </c>
      <c r="BG15" s="119" t="str">
        <f>Sheet1!EA16</f>
        <v>ICD-10</v>
      </c>
      <c r="BH15" s="119">
        <f>Sheet1!EW16</f>
        <v>10</v>
      </c>
    </row>
    <row r="16" spans="1:60">
      <c r="A16" s="119" t="str">
        <f>Sheet1!A17</f>
        <v>Kranaster</v>
      </c>
      <c r="B16" s="119">
        <f>Sheet1!B17</f>
        <v>2011</v>
      </c>
      <c r="C16" s="120" t="str">
        <f>_xlfn.CONCAT(data!A16," ",data!B18)</f>
        <v>Kranaster 2020</v>
      </c>
      <c r="D16" s="119">
        <f>Sheet1!C17</f>
        <v>95</v>
      </c>
      <c r="E16" s="119">
        <f>Sheet1!E17</f>
        <v>60</v>
      </c>
      <c r="F16" s="119" t="str">
        <f>Sheet1!G17</f>
        <v>NS</v>
      </c>
      <c r="G16" s="119" t="str">
        <f>Sheet1!I17</f>
        <v>NS</v>
      </c>
      <c r="H16" s="119">
        <f>Sheet1!K17</f>
        <v>29.8</v>
      </c>
      <c r="I16" s="119" t="str">
        <f>Sheet1!O17</f>
        <v>NS</v>
      </c>
      <c r="J16" s="119">
        <f>Sheet1!U17</f>
        <v>0</v>
      </c>
      <c r="K16" s="119">
        <f>Sheet1!W17</f>
        <v>155</v>
      </c>
      <c r="L16" s="119">
        <f>Sheet1!Y17</f>
        <v>0</v>
      </c>
      <c r="M16" s="119" t="str">
        <f>Sheet1!AA17</f>
        <v>NS</v>
      </c>
      <c r="N16" s="119" t="str">
        <f>Sheet1!AC17</f>
        <v>inpat_psych</v>
      </c>
      <c r="O16" s="121" t="str">
        <f>Sheet1!AF17</f>
        <v>euro</v>
      </c>
      <c r="P16" s="119" t="str">
        <f>Sheet1!AI17</f>
        <v>yes</v>
      </c>
      <c r="Q16" s="119" t="str">
        <f>Sheet1!AK17</f>
        <v>yes</v>
      </c>
      <c r="R16" s="119">
        <f>Sheet1!AY17</f>
        <v>155</v>
      </c>
      <c r="S16" s="119">
        <f>Sheet1!BC17</f>
        <v>5</v>
      </c>
      <c r="T16" s="119"/>
      <c r="U16" s="119"/>
      <c r="V16" s="119"/>
      <c r="W16" s="119" t="str">
        <f>Sheet1!BG17</f>
        <v>multiple</v>
      </c>
      <c r="X16" s="119">
        <f>Sheet1!BI17</f>
        <v>5</v>
      </c>
      <c r="Y16" s="119" t="str">
        <f>Sheet1!BK17</f>
        <v>NA</v>
      </c>
      <c r="Z16" s="119" t="str">
        <f>Sheet1!BM17</f>
        <v>NA</v>
      </c>
      <c r="AA16" s="119" t="str">
        <f>Sheet1!BO17</f>
        <v>NA</v>
      </c>
      <c r="AB16" s="119" t="str">
        <f>Sheet1!BQ17</f>
        <v>NA</v>
      </c>
      <c r="AC16" s="119" t="str">
        <f>Sheet1!BS17</f>
        <v>NA</v>
      </c>
      <c r="AD16" s="119" t="str">
        <f>Sheet1!BU17</f>
        <v>NA</v>
      </c>
      <c r="AE16" s="119" t="str">
        <f>Sheet1!BW17</f>
        <v>NA</v>
      </c>
      <c r="AF16" s="119" t="str">
        <f>Sheet1!BY17</f>
        <v>NA</v>
      </c>
      <c r="AG16" s="119" t="str">
        <f>Sheet1!CA17</f>
        <v>NA</v>
      </c>
      <c r="AH16" s="119">
        <f>Sheet1!CC17</f>
        <v>2</v>
      </c>
      <c r="AI16" s="119">
        <f>Sheet1!CE17</f>
        <v>0</v>
      </c>
      <c r="AJ16" s="119">
        <f>Sheet1!CG17</f>
        <v>1</v>
      </c>
      <c r="AK16" s="119" t="str">
        <f>Sheet1!CI17</f>
        <v>NA</v>
      </c>
      <c r="AL16" s="119" t="str">
        <f>Sheet1!CK17</f>
        <v>NA</v>
      </c>
      <c r="AM16" s="119" t="str">
        <f>Sheet1!CM17</f>
        <v>NA</v>
      </c>
      <c r="AN16" s="119" t="str">
        <f>Sheet1!CO17</f>
        <v>NA</v>
      </c>
      <c r="AO16" s="119">
        <f>Sheet1!CQ17</f>
        <v>2</v>
      </c>
      <c r="AP16" s="119" t="str">
        <f>Sheet1!CS17</f>
        <v>NA</v>
      </c>
      <c r="AQ16" s="119" t="str">
        <f>Sheet1!CV17</f>
        <v>NS</v>
      </c>
      <c r="AR16" s="119" t="str">
        <f>Sheet1!CW17</f>
        <v>NS</v>
      </c>
      <c r="AS16" s="119" t="str">
        <f>Sheet1!CY17</f>
        <v>NS</v>
      </c>
      <c r="AT16" s="119" t="str">
        <f>Sheet1!DA17</f>
        <v>NS</v>
      </c>
      <c r="AU16" s="119" t="str">
        <f>Sheet1!DC17</f>
        <v>all</v>
      </c>
      <c r="AV16" s="119" t="str">
        <f>Sheet1!DE17</f>
        <v>NS</v>
      </c>
      <c r="AW16" s="119" t="str">
        <f>Sheet1!DG17</f>
        <v>NS</v>
      </c>
      <c r="AX16" s="119" t="str">
        <f>Sheet1!DI17</f>
        <v>all</v>
      </c>
      <c r="AY16" s="119" t="str">
        <f>Sheet1!DK17</f>
        <v>yes</v>
      </c>
      <c r="AZ16" s="119" t="str">
        <f>Sheet1!DM17</f>
        <v>NS</v>
      </c>
      <c r="BA16" s="119" t="str">
        <f>Sheet1!DO17</f>
        <v>NS</v>
      </c>
      <c r="BB16" s="119" t="str">
        <f>Sheet1!DQ17</f>
        <v>NS</v>
      </c>
      <c r="BC16" s="119" t="str">
        <f>Sheet1!DS17</f>
        <v>NS</v>
      </c>
      <c r="BD16" s="119" t="str">
        <f>Sheet1!DU17</f>
        <v>NS</v>
      </c>
      <c r="BE16" s="119" t="str">
        <f>IF(Sheet1!DW17="Psychotic Disorder","yes","no")</f>
        <v>yes</v>
      </c>
      <c r="BF16" s="119" t="str">
        <f>Sheet1!DY17</f>
        <v>NS</v>
      </c>
      <c r="BG16" s="119" t="str">
        <f>Sheet1!EA17</f>
        <v>DSM-IV</v>
      </c>
      <c r="BH16" s="119">
        <f>Sheet1!EW17</f>
        <v>10</v>
      </c>
    </row>
    <row r="17" spans="1:60">
      <c r="A17" s="119" t="str">
        <f>Sheet1!A18</f>
        <v>Mantovani</v>
      </c>
      <c r="B17" s="119">
        <f>Sheet1!B18</f>
        <v>2012</v>
      </c>
      <c r="C17" s="120" t="str">
        <f>_xlfn.CONCAT(data!A17," ",data!B19)</f>
        <v>Mantovani 2017</v>
      </c>
      <c r="D17" s="119">
        <f>Sheet1!C18</f>
        <v>54</v>
      </c>
      <c r="E17" s="119">
        <f>Sheet1!E18</f>
        <v>31</v>
      </c>
      <c r="F17" s="119" t="str">
        <f>Sheet1!G18</f>
        <v>NS</v>
      </c>
      <c r="G17" s="119" t="str">
        <f>Sheet1!I18</f>
        <v>NS</v>
      </c>
      <c r="H17" s="119" t="str">
        <f>Sheet1!K18</f>
        <v>NS</v>
      </c>
      <c r="I17" s="119" t="str">
        <f>Sheet1!O18</f>
        <v>NS</v>
      </c>
      <c r="J17" s="119">
        <f>Sheet1!U18</f>
        <v>85</v>
      </c>
      <c r="K17" s="119">
        <f>Sheet1!W18</f>
        <v>0</v>
      </c>
      <c r="L17" s="119">
        <f>Sheet1!Y18</f>
        <v>0</v>
      </c>
      <c r="M17" s="119">
        <f>Sheet1!AA18</f>
        <v>0</v>
      </c>
      <c r="N17" s="119" t="str">
        <f>Sheet1!AC18</f>
        <v>gen_hospital</v>
      </c>
      <c r="O17" s="121" t="str">
        <f>Sheet1!AF18</f>
        <v>s_am</v>
      </c>
      <c r="P17" s="119" t="str">
        <f>Sheet1!AI18</f>
        <v>no</v>
      </c>
      <c r="Q17" s="119" t="str">
        <f>Sheet1!AK18</f>
        <v>yes</v>
      </c>
      <c r="R17" s="119">
        <f>Sheet1!AY18</f>
        <v>85</v>
      </c>
      <c r="S17" s="119">
        <f>Sheet1!BC18</f>
        <v>2</v>
      </c>
      <c r="T17" s="119"/>
      <c r="U17" s="119"/>
      <c r="V17" s="119"/>
      <c r="W17" s="119" t="str">
        <f>Sheet1!BG18</f>
        <v>single</v>
      </c>
      <c r="X17" s="119">
        <f>Sheet1!BI18</f>
        <v>2</v>
      </c>
      <c r="Y17" s="119" t="str">
        <f>Sheet1!BK18</f>
        <v>NA</v>
      </c>
      <c r="Z17" s="119">
        <f>Sheet1!BM18</f>
        <v>2</v>
      </c>
      <c r="AA17" s="119" t="str">
        <f>Sheet1!BO18</f>
        <v>NA</v>
      </c>
      <c r="AB17" s="119" t="str">
        <f>Sheet1!BQ18</f>
        <v>NA</v>
      </c>
      <c r="AC17" s="119" t="str">
        <f>Sheet1!BS18</f>
        <v>NA</v>
      </c>
      <c r="AD17" s="119" t="str">
        <f>Sheet1!BU18</f>
        <v>NA</v>
      </c>
      <c r="AE17" s="119" t="str">
        <f>Sheet1!BW18</f>
        <v>NA</v>
      </c>
      <c r="AF17" s="119" t="str">
        <f>Sheet1!BY18</f>
        <v>NA</v>
      </c>
      <c r="AG17" s="119" t="str">
        <f>Sheet1!CA18</f>
        <v>NA</v>
      </c>
      <c r="AH17" s="119" t="str">
        <f>Sheet1!CC18</f>
        <v>NA</v>
      </c>
      <c r="AI17" s="119" t="str">
        <f>Sheet1!CE18</f>
        <v>NA</v>
      </c>
      <c r="AJ17" s="119" t="str">
        <f>Sheet1!CG18</f>
        <v>NA</v>
      </c>
      <c r="AK17" s="119" t="str">
        <f>Sheet1!CI18</f>
        <v>NA</v>
      </c>
      <c r="AL17" s="119" t="str">
        <f>Sheet1!CK18</f>
        <v>NA</v>
      </c>
      <c r="AM17" s="119" t="str">
        <f>Sheet1!CM18</f>
        <v>NA</v>
      </c>
      <c r="AN17" s="119" t="str">
        <f>Sheet1!CO18</f>
        <v>NA</v>
      </c>
      <c r="AO17" s="119" t="str">
        <f>Sheet1!CQ18</f>
        <v>NA</v>
      </c>
      <c r="AP17" s="119" t="str">
        <f>Sheet1!CS18</f>
        <v>NA</v>
      </c>
      <c r="AQ17" s="119" t="str">
        <f>Sheet1!CV18</f>
        <v>yes - NS</v>
      </c>
      <c r="AR17" s="119" t="str">
        <f>Sheet1!CW18</f>
        <v>NS</v>
      </c>
      <c r="AS17" s="119" t="str">
        <f>Sheet1!CY18</f>
        <v>yes - NS</v>
      </c>
      <c r="AT17" s="119" t="str">
        <f>Sheet1!DA18</f>
        <v>NS</v>
      </c>
      <c r="AU17" s="119" t="str">
        <f>Sheet1!DC18</f>
        <v>NS</v>
      </c>
      <c r="AV17" s="119" t="str">
        <f>Sheet1!DE18</f>
        <v>yes - NS</v>
      </c>
      <c r="AW17" s="119" t="str">
        <f>Sheet1!DG18</f>
        <v>NS</v>
      </c>
      <c r="AX17" s="119" t="str">
        <f>Sheet1!DI18</f>
        <v>NS</v>
      </c>
      <c r="AY17" s="119" t="str">
        <f>Sheet1!DK18</f>
        <v>NS</v>
      </c>
      <c r="AZ17" s="119" t="str">
        <f>Sheet1!DM18</f>
        <v>yes - NS</v>
      </c>
      <c r="BA17" s="119" t="str">
        <f>Sheet1!DO18</f>
        <v>NS</v>
      </c>
      <c r="BB17" s="119" t="str">
        <f>Sheet1!DQ18</f>
        <v>NS</v>
      </c>
      <c r="BC17" s="119" t="str">
        <f>Sheet1!DS18</f>
        <v>some</v>
      </c>
      <c r="BD17" s="119" t="str">
        <f>Sheet1!DU18</f>
        <v>NS</v>
      </c>
      <c r="BE17" s="119" t="str">
        <f>IF(Sheet1!DW18="Psychotic Disorder","yes","no")</f>
        <v>yes</v>
      </c>
      <c r="BF17" s="119" t="str">
        <f>Sheet1!DY18</f>
        <v>Clinical Assessment</v>
      </c>
      <c r="BG17" s="119" t="str">
        <f>Sheet1!EA18</f>
        <v>DSM-IV</v>
      </c>
      <c r="BH17" s="119">
        <f>Sheet1!EW18</f>
        <v>10</v>
      </c>
    </row>
    <row r="18" spans="1:60">
      <c r="A18" s="119" t="str">
        <f>Sheet1!A19</f>
        <v>Marques</v>
      </c>
      <c r="B18" s="119">
        <f>Sheet1!B19</f>
        <v>2020</v>
      </c>
      <c r="C18" s="120" t="str">
        <f>_xlfn.CONCAT(data!A18," ",data!B20)</f>
        <v>Marques 2017 </v>
      </c>
      <c r="D18" s="119">
        <f>Sheet1!C19</f>
        <v>119</v>
      </c>
      <c r="E18" s="119">
        <f>Sheet1!E19</f>
        <v>81</v>
      </c>
      <c r="F18" s="119" t="str">
        <f>Sheet1!G19</f>
        <v>NS</v>
      </c>
      <c r="G18" s="119" t="str">
        <f>Sheet1!I19</f>
        <v>NS</v>
      </c>
      <c r="H18" s="119">
        <f>Sheet1!K19</f>
        <v>47</v>
      </c>
      <c r="I18" s="119">
        <f>Sheet1!O19</f>
        <v>200</v>
      </c>
      <c r="J18" s="119">
        <f>Sheet1!U19</f>
        <v>0</v>
      </c>
      <c r="K18" s="119">
        <f>Sheet1!W19</f>
        <v>200</v>
      </c>
      <c r="L18" s="119">
        <f>Sheet1!Y19</f>
        <v>0</v>
      </c>
      <c r="M18" s="119">
        <f>Sheet1!AA19</f>
        <v>0</v>
      </c>
      <c r="N18" s="119" t="str">
        <f>Sheet1!AC19</f>
        <v>inpat_psych</v>
      </c>
      <c r="O18" s="121" t="str">
        <f>Sheet1!AF19</f>
        <v>euro</v>
      </c>
      <c r="P18" s="119" t="str">
        <f>Sheet1!AI19</f>
        <v>no</v>
      </c>
      <c r="Q18" s="119" t="str">
        <f>Sheet1!AK19</f>
        <v>no</v>
      </c>
      <c r="R18" s="119">
        <f>Sheet1!AY19</f>
        <v>200</v>
      </c>
      <c r="S18" s="119">
        <f>Sheet1!BC19</f>
        <v>50</v>
      </c>
      <c r="T18" s="119"/>
      <c r="U18" s="119"/>
      <c r="V18" s="119"/>
      <c r="W18" s="119" t="str">
        <f>Sheet1!BG19</f>
        <v>multiple</v>
      </c>
      <c r="X18" s="119">
        <f>Sheet1!BI19</f>
        <v>50</v>
      </c>
      <c r="Y18" s="119">
        <f>Sheet1!BK19</f>
        <v>0</v>
      </c>
      <c r="Z18" s="119">
        <f>Sheet1!BM19</f>
        <v>1</v>
      </c>
      <c r="AA18" s="119">
        <f>Sheet1!BO19</f>
        <v>0</v>
      </c>
      <c r="AB18" s="119">
        <f>Sheet1!BQ19</f>
        <v>0</v>
      </c>
      <c r="AC18" s="119">
        <f>Sheet1!BS19</f>
        <v>0</v>
      </c>
      <c r="AD18" s="119">
        <f>Sheet1!BU19</f>
        <v>4</v>
      </c>
      <c r="AE18" s="119">
        <f>Sheet1!BW19</f>
        <v>7</v>
      </c>
      <c r="AF18" s="119">
        <f>Sheet1!BY19</f>
        <v>0</v>
      </c>
      <c r="AG18" s="119">
        <f>Sheet1!CA19</f>
        <v>0</v>
      </c>
      <c r="AH18" s="119">
        <f>Sheet1!CC19</f>
        <v>0</v>
      </c>
      <c r="AI18" s="119">
        <f>Sheet1!CE19</f>
        <v>19</v>
      </c>
      <c r="AJ18" s="119">
        <f>Sheet1!CG19</f>
        <v>0</v>
      </c>
      <c r="AK18" s="119">
        <f>Sheet1!CI19</f>
        <v>19</v>
      </c>
      <c r="AL18" s="119">
        <f>Sheet1!CK19</f>
        <v>0</v>
      </c>
      <c r="AM18" s="119">
        <f>Sheet1!CM19</f>
        <v>0</v>
      </c>
      <c r="AN18" s="119">
        <f>Sheet1!CO19</f>
        <v>0</v>
      </c>
      <c r="AO18" s="119">
        <f>Sheet1!CQ19</f>
        <v>0</v>
      </c>
      <c r="AP18" s="119">
        <f>Sheet1!CS19</f>
        <v>0</v>
      </c>
      <c r="AQ18" s="119" t="str">
        <f>Sheet1!CV19</f>
        <v>NS</v>
      </c>
      <c r="AR18" s="119" t="str">
        <f>Sheet1!CW19</f>
        <v>all</v>
      </c>
      <c r="AS18" s="119">
        <f>Sheet1!CY19</f>
        <v>0</v>
      </c>
      <c r="AT18" s="119" t="str">
        <f>Sheet1!DA19</f>
        <v>all</v>
      </c>
      <c r="AU18" s="119">
        <f>Sheet1!DC19</f>
        <v>0</v>
      </c>
      <c r="AV18" s="119" t="str">
        <f>Sheet1!DE19</f>
        <v>all</v>
      </c>
      <c r="AW18" s="119" t="str">
        <f>Sheet1!DG19</f>
        <v>all</v>
      </c>
      <c r="AX18" s="119" t="str">
        <f>Sheet1!DI19</f>
        <v>all</v>
      </c>
      <c r="AY18" s="119" t="str">
        <f>Sheet1!DK19</f>
        <v>NS</v>
      </c>
      <c r="AZ18" s="119" t="str">
        <f>Sheet1!DM19</f>
        <v>NS</v>
      </c>
      <c r="BA18" s="119" t="str">
        <f>Sheet1!DO19</f>
        <v>all</v>
      </c>
      <c r="BB18" s="119" t="str">
        <f>Sheet1!DQ19</f>
        <v>NS</v>
      </c>
      <c r="BC18" s="119" t="str">
        <f>Sheet1!DS19</f>
        <v>NS</v>
      </c>
      <c r="BD18" s="119" t="str">
        <f>Sheet1!DU19</f>
        <v>NS</v>
      </c>
      <c r="BE18" s="119" t="str">
        <f>IF(Sheet1!DW19="Psychotic Disorder","yes","no")</f>
        <v>yes</v>
      </c>
      <c r="BF18" s="119" t="str">
        <f>Sheet1!DY19</f>
        <v>Clinical Assessment</v>
      </c>
      <c r="BG18" s="119" t="str">
        <f>Sheet1!EA19</f>
        <v>ICD-9</v>
      </c>
      <c r="BH18" s="119">
        <f>Sheet1!EW19</f>
        <v>10</v>
      </c>
    </row>
    <row r="19" spans="1:60">
      <c r="A19" s="119" t="str">
        <f>Sheet1!A20</f>
        <v>Mauri</v>
      </c>
      <c r="B19" s="119">
        <f>Sheet1!B20</f>
        <v>2017</v>
      </c>
      <c r="C19" s="120" t="str">
        <f>_xlfn.CONCAT(data!A19," ",data!B21)</f>
        <v>Mauri 2022</v>
      </c>
      <c r="D19" s="119">
        <f>Sheet1!C20</f>
        <v>43</v>
      </c>
      <c r="E19" s="119">
        <f>Sheet1!E20</f>
        <v>5</v>
      </c>
      <c r="F19" s="119" t="str">
        <f>Sheet1!G20</f>
        <v>NS</v>
      </c>
      <c r="G19" s="119" t="str">
        <f>Sheet1!I20</f>
        <v>NS</v>
      </c>
      <c r="H19" s="119">
        <f>Sheet1!K20</f>
        <v>25.6</v>
      </c>
      <c r="I19" s="119" t="str">
        <f>Sheet1!O20</f>
        <v>NS</v>
      </c>
      <c r="J19" s="119">
        <f>Sheet1!U20</f>
        <v>0</v>
      </c>
      <c r="K19" s="119">
        <f>Sheet1!W20</f>
        <v>48</v>
      </c>
      <c r="L19" s="119">
        <f>Sheet1!Y20</f>
        <v>0</v>
      </c>
      <c r="M19" s="119">
        <f>Sheet1!AA20</f>
        <v>0</v>
      </c>
      <c r="N19" s="119" t="str">
        <f>Sheet1!AC20</f>
        <v>inpat_psych</v>
      </c>
      <c r="O19" s="121" t="str">
        <f>Sheet1!AF20</f>
        <v>euro</v>
      </c>
      <c r="P19" s="119" t="str">
        <f>Sheet1!AI20</f>
        <v>yes</v>
      </c>
      <c r="Q19" s="119" t="str">
        <f>Sheet1!AK20</f>
        <v>yes</v>
      </c>
      <c r="R19" s="119">
        <f>Sheet1!AY20</f>
        <v>48</v>
      </c>
      <c r="S19" s="119">
        <f>Sheet1!BC20</f>
        <v>23</v>
      </c>
      <c r="T19" s="119"/>
      <c r="U19" s="119"/>
      <c r="V19" s="119"/>
      <c r="W19" s="119" t="str">
        <f>Sheet1!BG20</f>
        <v>single</v>
      </c>
      <c r="X19" s="119" t="str">
        <f>Sheet1!BI20</f>
        <v>NA</v>
      </c>
      <c r="Y19" s="119">
        <f>Sheet1!BK20</f>
        <v>23</v>
      </c>
      <c r="Z19" s="119" t="str">
        <f>Sheet1!BM20</f>
        <v>NA</v>
      </c>
      <c r="AA19" s="119" t="str">
        <f>Sheet1!BO20</f>
        <v>NA</v>
      </c>
      <c r="AB19" s="119">
        <f>Sheet1!BQ20</f>
        <v>23</v>
      </c>
      <c r="AC19" s="119" t="str">
        <f>Sheet1!BS20</f>
        <v>NA</v>
      </c>
      <c r="AD19" s="119" t="str">
        <f>Sheet1!BU20</f>
        <v>NA</v>
      </c>
      <c r="AE19" s="119" t="str">
        <f>Sheet1!BW20</f>
        <v>NA</v>
      </c>
      <c r="AF19" s="119" t="str">
        <f>Sheet1!BY20</f>
        <v>NA</v>
      </c>
      <c r="AG19" s="119" t="str">
        <f>Sheet1!CA20</f>
        <v>NA</v>
      </c>
      <c r="AH19" s="119" t="str">
        <f>Sheet1!CC20</f>
        <v>NA</v>
      </c>
      <c r="AI19" s="119" t="str">
        <f>Sheet1!CE20</f>
        <v>NA</v>
      </c>
      <c r="AJ19" s="119" t="str">
        <f>Sheet1!CG20</f>
        <v>NA</v>
      </c>
      <c r="AK19" s="119" t="str">
        <f>Sheet1!CI20</f>
        <v>NA</v>
      </c>
      <c r="AL19" s="119" t="str">
        <f>Sheet1!CK20</f>
        <v>NA</v>
      </c>
      <c r="AM19" s="119" t="str">
        <f>Sheet1!CM20</f>
        <v>NA</v>
      </c>
      <c r="AN19" s="119" t="str">
        <f>Sheet1!CO20</f>
        <v>NA</v>
      </c>
      <c r="AO19" s="119" t="str">
        <f>Sheet1!CQ20</f>
        <v>NA</v>
      </c>
      <c r="AP19" s="119" t="str">
        <f>Sheet1!CS20</f>
        <v>NA</v>
      </c>
      <c r="AQ19" s="119" t="str">
        <f>Sheet1!CV20</f>
        <v>NS</v>
      </c>
      <c r="AR19" s="119" t="str">
        <f>Sheet1!CW20</f>
        <v>NS</v>
      </c>
      <c r="AS19" s="119" t="str">
        <f>Sheet1!CY20</f>
        <v>NS</v>
      </c>
      <c r="AT19" s="119" t="str">
        <f>Sheet1!DA20</f>
        <v>NS</v>
      </c>
      <c r="AU19" s="119" t="str">
        <f>Sheet1!DC20</f>
        <v>NS</v>
      </c>
      <c r="AV19" s="119" t="str">
        <f>Sheet1!DE20</f>
        <v>NS</v>
      </c>
      <c r="AW19" s="119" t="str">
        <f>Sheet1!DG20</f>
        <v>some</v>
      </c>
      <c r="AX19" s="119" t="str">
        <f>Sheet1!DI20</f>
        <v>all</v>
      </c>
      <c r="AY19" s="119" t="str">
        <f>Sheet1!DK20</f>
        <v>NS</v>
      </c>
      <c r="AZ19" s="119" t="str">
        <f>Sheet1!DM20</f>
        <v>NS</v>
      </c>
      <c r="BA19" s="119" t="str">
        <f>Sheet1!DO20</f>
        <v>NS</v>
      </c>
      <c r="BB19" s="119" t="str">
        <f>Sheet1!DQ20</f>
        <v>NS</v>
      </c>
      <c r="BC19" s="119" t="str">
        <f>Sheet1!DS20</f>
        <v>NS</v>
      </c>
      <c r="BD19" s="119" t="str">
        <f>Sheet1!DU20</f>
        <v>NS</v>
      </c>
      <c r="BE19" s="119" t="str">
        <f>IF(Sheet1!DW20="Psychotic Disorder","yes","no")</f>
        <v>yes</v>
      </c>
      <c r="BF19" s="119" t="str">
        <f>Sheet1!DY20</f>
        <v>BPRS</v>
      </c>
      <c r="BG19" s="119" t="str">
        <f>Sheet1!EA20</f>
        <v>DSM-IV</v>
      </c>
      <c r="BH19" s="119">
        <f>Sheet1!EW20</f>
        <v>9</v>
      </c>
    </row>
    <row r="20" spans="1:60">
      <c r="A20" s="119" t="str">
        <f>Sheet1!A21</f>
        <v>Misselbrook</v>
      </c>
      <c r="B20" s="119" t="str">
        <f>Sheet1!B21</f>
        <v>2017 </v>
      </c>
      <c r="C20" s="120" t="str">
        <f>_xlfn.CONCAT(data!A20," ",data!B22)</f>
        <v>Misselbrook 2021</v>
      </c>
      <c r="D20" s="119" t="str">
        <f>Sheet1!C21</f>
        <v>NS</v>
      </c>
      <c r="E20" s="119" t="str">
        <f>Sheet1!E21</f>
        <v>NS</v>
      </c>
      <c r="F20" s="119">
        <f>Sheet1!G21</f>
        <v>47.9</v>
      </c>
      <c r="G20" s="119">
        <f>Sheet1!I21</f>
        <v>60.16</v>
      </c>
      <c r="H20" s="119" t="str">
        <f>Sheet1!K21</f>
        <v>NS</v>
      </c>
      <c r="I20" s="119" t="str">
        <f>Sheet1!O21</f>
        <v>NS</v>
      </c>
      <c r="J20" s="119" t="str">
        <f>Sheet1!U21</f>
        <v>NS</v>
      </c>
      <c r="K20" s="119">
        <f>Sheet1!W21</f>
        <v>18297</v>
      </c>
      <c r="L20" s="119" t="str">
        <f>Sheet1!Y21</f>
        <v>NS</v>
      </c>
      <c r="M20" s="119" t="str">
        <f>Sheet1!AA21</f>
        <v>NS</v>
      </c>
      <c r="N20" s="119" t="str">
        <f>Sheet1!AC21</f>
        <v>mixture</v>
      </c>
      <c r="O20" s="121" t="str">
        <f>Sheet1!AF21</f>
        <v>euro</v>
      </c>
      <c r="P20" s="119" t="str">
        <f>Sheet1!AI21</f>
        <v>no</v>
      </c>
      <c r="Q20" s="119" t="str">
        <f>Sheet1!AK21</f>
        <v>no</v>
      </c>
      <c r="R20" s="119">
        <f>Sheet1!AY21</f>
        <v>18297</v>
      </c>
      <c r="S20" s="119">
        <f>Sheet1!BC21</f>
        <v>553</v>
      </c>
      <c r="T20" s="119"/>
      <c r="U20" s="119"/>
      <c r="V20" s="119"/>
      <c r="W20" s="119" t="str">
        <f>Sheet1!BG21</f>
        <v>multiple</v>
      </c>
      <c r="X20" s="119" t="str">
        <f>Sheet1!BI21</f>
        <v>NS</v>
      </c>
      <c r="Y20" s="119" t="str">
        <f>Sheet1!BK21</f>
        <v>NS</v>
      </c>
      <c r="Z20" s="119">
        <f>Sheet1!BM21</f>
        <v>5</v>
      </c>
      <c r="AA20" s="119" t="str">
        <f>Sheet1!BO21</f>
        <v>NS</v>
      </c>
      <c r="AB20" s="119" t="str">
        <f>Sheet1!BQ21</f>
        <v>NS</v>
      </c>
      <c r="AC20" s="119" t="str">
        <f>Sheet1!BS21</f>
        <v>NS</v>
      </c>
      <c r="AD20" s="119">
        <f>Sheet1!BU21</f>
        <v>6</v>
      </c>
      <c r="AE20" s="119" t="str">
        <f>Sheet1!BW21</f>
        <v>NS</v>
      </c>
      <c r="AF20" s="119">
        <f>Sheet1!BY21</f>
        <v>1</v>
      </c>
      <c r="AG20" s="119" t="str">
        <f>Sheet1!CA21</f>
        <v>NS</v>
      </c>
      <c r="AH20" s="119">
        <f>Sheet1!CC21</f>
        <v>12</v>
      </c>
      <c r="AI20" s="119">
        <f>Sheet1!CE21</f>
        <v>33</v>
      </c>
      <c r="AJ20" s="119">
        <f>Sheet1!CG21</f>
        <v>4</v>
      </c>
      <c r="AK20" s="119">
        <f>Sheet1!CI21</f>
        <v>21</v>
      </c>
      <c r="AL20" s="119" t="str">
        <f>Sheet1!CK21</f>
        <v>NS</v>
      </c>
      <c r="AM20" s="119">
        <f>Sheet1!CM21</f>
        <v>17</v>
      </c>
      <c r="AN20" s="119" t="str">
        <f>Sheet1!CO21</f>
        <v>NS</v>
      </c>
      <c r="AO20" s="119" t="str">
        <f>Sheet1!CQ21</f>
        <v>NS</v>
      </c>
      <c r="AP20" s="119">
        <f>Sheet1!CS21</f>
        <v>454</v>
      </c>
      <c r="AQ20" s="119" t="str">
        <f>Sheet1!CV21</f>
        <v>NS</v>
      </c>
      <c r="AR20" s="119" t="str">
        <f>Sheet1!CW21</f>
        <v>NS</v>
      </c>
      <c r="AS20" s="119" t="str">
        <f>Sheet1!CY21</f>
        <v>NS</v>
      </c>
      <c r="AT20" s="119" t="str">
        <f>Sheet1!DA21</f>
        <v>NS</v>
      </c>
      <c r="AU20" s="119" t="str">
        <f>Sheet1!DC21</f>
        <v>NS</v>
      </c>
      <c r="AV20" s="119" t="str">
        <f>Sheet1!DE21</f>
        <v>NS</v>
      </c>
      <c r="AW20" s="119" t="str">
        <f>Sheet1!DG21</f>
        <v>NS</v>
      </c>
      <c r="AX20" s="119" t="str">
        <f>Sheet1!DI21</f>
        <v>NS</v>
      </c>
      <c r="AY20" s="119" t="str">
        <f>Sheet1!DK21</f>
        <v>NS</v>
      </c>
      <c r="AZ20" s="119" t="str">
        <f>Sheet1!DM21</f>
        <v>NS</v>
      </c>
      <c r="BA20" s="119" t="str">
        <f>Sheet1!DO21</f>
        <v>NS</v>
      </c>
      <c r="BB20" s="119" t="str">
        <f>Sheet1!DQ21</f>
        <v>NS</v>
      </c>
      <c r="BC20" s="119" t="str">
        <f>Sheet1!DS21</f>
        <v>NS</v>
      </c>
      <c r="BD20" s="119" t="str">
        <f>Sheet1!DU21</f>
        <v>NS</v>
      </c>
      <c r="BE20" s="119" t="str">
        <f>IF(Sheet1!DW21="Psychotic Disorder","yes","no")</f>
        <v>no</v>
      </c>
      <c r="BF20" s="119" t="str">
        <f>Sheet1!DY21</f>
        <v>NS</v>
      </c>
      <c r="BG20" s="119" t="str">
        <f>Sheet1!EA21</f>
        <v>NS</v>
      </c>
      <c r="BH20" s="119">
        <f>Sheet1!EW21</f>
        <v>9</v>
      </c>
    </row>
    <row r="21" spans="1:60">
      <c r="A21" s="119" t="str">
        <f>Sheet1!A22</f>
        <v>Muhrer</v>
      </c>
      <c r="B21" s="119">
        <f>Sheet1!B22</f>
        <v>2022</v>
      </c>
      <c r="C21" s="120" t="str">
        <f>_xlfn.CONCAT(data!A21," ",data!B23)</f>
        <v>Muhrer 2016</v>
      </c>
      <c r="D21" s="119">
        <f>Sheet1!C22</f>
        <v>65</v>
      </c>
      <c r="E21" s="119">
        <f>Sheet1!E22</f>
        <v>65</v>
      </c>
      <c r="F21" s="119" t="str">
        <f>Sheet1!G22</f>
        <v>NS</v>
      </c>
      <c r="G21" s="119" t="str">
        <f>Sheet1!I22</f>
        <v>NS</v>
      </c>
      <c r="H21" s="119">
        <f>Sheet1!K22</f>
        <v>15</v>
      </c>
      <c r="I21" s="119">
        <f>Sheet1!O22</f>
        <v>41</v>
      </c>
      <c r="J21" s="119">
        <f>Sheet1!U22</f>
        <v>131</v>
      </c>
      <c r="K21" s="119">
        <f>Sheet1!W22</f>
        <v>0</v>
      </c>
      <c r="L21" s="119">
        <f>Sheet1!Y22</f>
        <v>0</v>
      </c>
      <c r="M21" s="119">
        <f>Sheet1!AA22</f>
        <v>0</v>
      </c>
      <c r="N21" s="119" t="str">
        <f>Sheet1!AC22</f>
        <v>Medical_hospital</v>
      </c>
      <c r="O21" s="121" t="str">
        <f>Sheet1!AF22</f>
        <v>n_am</v>
      </c>
      <c r="P21" s="119" t="str">
        <f>Sheet1!AI22</f>
        <v>no</v>
      </c>
      <c r="Q21" s="119" t="str">
        <f>Sheet1!AK22</f>
        <v>yes</v>
      </c>
      <c r="R21" s="119">
        <f>Sheet1!AY22</f>
        <v>131</v>
      </c>
      <c r="S21" s="119">
        <f>Sheet1!BC22</f>
        <v>2</v>
      </c>
      <c r="T21" s="119"/>
      <c r="U21" s="119"/>
      <c r="V21" s="119"/>
      <c r="W21" s="119" t="str">
        <f>Sheet1!BG22</f>
        <v>multiple</v>
      </c>
      <c r="X21" s="119">
        <f>Sheet1!BI22</f>
        <v>1</v>
      </c>
      <c r="Y21" s="119">
        <f>Sheet1!BK22</f>
        <v>1</v>
      </c>
      <c r="Z21" s="119">
        <f>Sheet1!BM22</f>
        <v>1</v>
      </c>
      <c r="AA21" s="119">
        <f>Sheet1!BO22</f>
        <v>0</v>
      </c>
      <c r="AB21" s="119">
        <f>Sheet1!BQ22</f>
        <v>1</v>
      </c>
      <c r="AC21" s="119">
        <f>Sheet1!BS22</f>
        <v>0</v>
      </c>
      <c r="AD21" s="119">
        <f>Sheet1!BU22</f>
        <v>0</v>
      </c>
      <c r="AE21" s="119">
        <f>Sheet1!BW22</f>
        <v>0</v>
      </c>
      <c r="AF21" s="119">
        <f>Sheet1!BY22</f>
        <v>0</v>
      </c>
      <c r="AG21" s="119">
        <f>Sheet1!CA22</f>
        <v>0</v>
      </c>
      <c r="AH21" s="119">
        <f>Sheet1!CC22</f>
        <v>0</v>
      </c>
      <c r="AI21" s="119">
        <f>Sheet1!CE22</f>
        <v>0</v>
      </c>
      <c r="AJ21" s="119">
        <f>Sheet1!CG22</f>
        <v>0</v>
      </c>
      <c r="AK21" s="119">
        <f>Sheet1!CI22</f>
        <v>0</v>
      </c>
      <c r="AL21" s="119">
        <f>Sheet1!CK22</f>
        <v>0</v>
      </c>
      <c r="AM21" s="119">
        <f>Sheet1!CM22</f>
        <v>0</v>
      </c>
      <c r="AN21" s="119">
        <f>Sheet1!CO22</f>
        <v>0</v>
      </c>
      <c r="AO21" s="119">
        <f>Sheet1!CQ22</f>
        <v>0</v>
      </c>
      <c r="AP21" s="119">
        <f>Sheet1!CS22</f>
        <v>0</v>
      </c>
      <c r="AQ21" s="119" t="str">
        <f>Sheet1!CV22</f>
        <v>some</v>
      </c>
      <c r="AR21" s="119" t="str">
        <f>Sheet1!CW22</f>
        <v>some</v>
      </c>
      <c r="AS21" s="119" t="str">
        <f>Sheet1!CY22</f>
        <v>NS</v>
      </c>
      <c r="AT21" s="119" t="str">
        <f>Sheet1!DA22</f>
        <v>some</v>
      </c>
      <c r="AU21" s="119" t="str">
        <f>Sheet1!DC22</f>
        <v>some</v>
      </c>
      <c r="AV21" s="119" t="str">
        <f>Sheet1!DE22</f>
        <v>some</v>
      </c>
      <c r="AW21" s="119" t="str">
        <f>Sheet1!DG22</f>
        <v>some</v>
      </c>
      <c r="AX21" s="119" t="str">
        <f>Sheet1!DI22</f>
        <v>ns</v>
      </c>
      <c r="AY21" s="119" t="str">
        <f>Sheet1!DK22</f>
        <v>NS</v>
      </c>
      <c r="AZ21" s="119" t="str">
        <f>Sheet1!DM22</f>
        <v>some</v>
      </c>
      <c r="BA21" s="119" t="str">
        <f>Sheet1!DO22</f>
        <v>some</v>
      </c>
      <c r="BB21" s="119" t="str">
        <f>Sheet1!DQ22</f>
        <v>ns</v>
      </c>
      <c r="BC21" s="119" t="str">
        <f>Sheet1!DS22</f>
        <v>NS</v>
      </c>
      <c r="BD21" s="119" t="str">
        <f>Sheet1!DU22</f>
        <v>NS</v>
      </c>
      <c r="BE21" s="119" t="str">
        <f>IF(Sheet1!DW22="Psychotic Disorder","yes","no")</f>
        <v>yes</v>
      </c>
      <c r="BF21" s="119" t="str">
        <f>Sheet1!DY22</f>
        <v>NS</v>
      </c>
      <c r="BG21" s="119" t="str">
        <f>Sheet1!EA22</f>
        <v>ICD-10</v>
      </c>
      <c r="BH21" s="119">
        <f>Sheet1!EW22</f>
        <v>10</v>
      </c>
    </row>
    <row r="22" spans="1:60">
      <c r="A22" s="119" t="str">
        <f>Sheet1!A23</f>
        <v>Nkire</v>
      </c>
      <c r="B22" s="119">
        <f>Sheet1!B23</f>
        <v>2021</v>
      </c>
      <c r="C22" s="120" t="str">
        <f>_xlfn.CONCAT(data!A22," ",data!B24)</f>
        <v>Nkire 2007</v>
      </c>
      <c r="D22" s="119">
        <f>Sheet1!C23</f>
        <v>249</v>
      </c>
      <c r="E22" s="119">
        <f>Sheet1!E23</f>
        <v>183</v>
      </c>
      <c r="F22" s="119" t="str">
        <f>Sheet1!G23</f>
        <v>NS</v>
      </c>
      <c r="G22" s="119" t="str">
        <f>Sheet1!I23</f>
        <v>NS</v>
      </c>
      <c r="H22" s="119">
        <f>Sheet1!K23</f>
        <v>38.299999999999997</v>
      </c>
      <c r="I22" s="119" t="str">
        <f>Sheet1!O23</f>
        <v>NS</v>
      </c>
      <c r="J22" s="119">
        <f>Sheet1!U23</f>
        <v>0</v>
      </c>
      <c r="K22" s="119">
        <f>Sheet1!W23</f>
        <v>8</v>
      </c>
      <c r="L22" s="119">
        <f>Sheet1!Y23</f>
        <v>424</v>
      </c>
      <c r="M22" s="119">
        <f>Sheet1!AA23</f>
        <v>0</v>
      </c>
      <c r="N22" s="119" t="str">
        <f>Sheet1!AC23</f>
        <v>mixture</v>
      </c>
      <c r="O22" s="121" t="str">
        <f>Sheet1!AF23</f>
        <v>euro</v>
      </c>
      <c r="P22" s="119" t="str">
        <f>Sheet1!AI23</f>
        <v>yes</v>
      </c>
      <c r="Q22" s="119" t="str">
        <f>Sheet1!AK23</f>
        <v>yes</v>
      </c>
      <c r="R22" s="119">
        <f>Sheet1!AY23</f>
        <v>432</v>
      </c>
      <c r="S22" s="119">
        <f>Sheet1!BC23</f>
        <v>38</v>
      </c>
      <c r="T22" s="119"/>
      <c r="U22" s="119"/>
      <c r="V22" s="119"/>
      <c r="W22" s="119" t="str">
        <f>Sheet1!BG23</f>
        <v>multiple</v>
      </c>
      <c r="X22" s="119">
        <f>Sheet1!BI23</f>
        <v>13</v>
      </c>
      <c r="Y22" s="119">
        <f>Sheet1!BK23</f>
        <v>25</v>
      </c>
      <c r="Z22" s="119" t="str">
        <f>Sheet1!BM23</f>
        <v>NA</v>
      </c>
      <c r="AA22" s="119" t="str">
        <f>Sheet1!BO23</f>
        <v>NA</v>
      </c>
      <c r="AB22" s="119">
        <f>Sheet1!BQ23</f>
        <v>25</v>
      </c>
      <c r="AC22" s="119" t="str">
        <f>Sheet1!BS23</f>
        <v>NA</v>
      </c>
      <c r="AD22" s="119" t="str">
        <f>Sheet1!BU23</f>
        <v>NA</v>
      </c>
      <c r="AE22" s="119" t="str">
        <f>Sheet1!BW23</f>
        <v>NA</v>
      </c>
      <c r="AF22" s="119" t="str">
        <f>Sheet1!BY23</f>
        <v>NA</v>
      </c>
      <c r="AG22" s="119" t="str">
        <f>Sheet1!CA23</f>
        <v>NA</v>
      </c>
      <c r="AH22" s="119" t="str">
        <f>Sheet1!CC23</f>
        <v>NA</v>
      </c>
      <c r="AI22" s="119" t="str">
        <f>Sheet1!CE23</f>
        <v>NA</v>
      </c>
      <c r="AJ22" s="119" t="str">
        <f>Sheet1!CG23</f>
        <v>NA</v>
      </c>
      <c r="AK22" s="119" t="str">
        <f>Sheet1!CI23</f>
        <v>NA</v>
      </c>
      <c r="AL22" s="119" t="str">
        <f>Sheet1!CK23</f>
        <v>NA</v>
      </c>
      <c r="AM22" s="119" t="str">
        <f>Sheet1!CM23</f>
        <v>NA</v>
      </c>
      <c r="AN22" s="119" t="str">
        <f>Sheet1!CO23</f>
        <v>NA</v>
      </c>
      <c r="AO22" s="119" t="str">
        <f>Sheet1!CQ23</f>
        <v>NA</v>
      </c>
      <c r="AP22" s="119">
        <f>Sheet1!CS23</f>
        <v>13</v>
      </c>
      <c r="AQ22" s="119" t="str">
        <f>Sheet1!CV23</f>
        <v>NS</v>
      </c>
      <c r="AR22" s="119" t="str">
        <f>Sheet1!CW23</f>
        <v>NS</v>
      </c>
      <c r="AS22" s="119" t="str">
        <f>Sheet1!CY23</f>
        <v>NS</v>
      </c>
      <c r="AT22" s="119" t="str">
        <f>Sheet1!DA23</f>
        <v>NS</v>
      </c>
      <c r="AU22" s="119" t="str">
        <f>Sheet1!DC23</f>
        <v>NS</v>
      </c>
      <c r="AV22" s="119" t="str">
        <f>Sheet1!DE23</f>
        <v>NS</v>
      </c>
      <c r="AW22" s="119" t="str">
        <f>Sheet1!DG23</f>
        <v>NS</v>
      </c>
      <c r="AX22" s="119" t="str">
        <f>Sheet1!DI23</f>
        <v>all</v>
      </c>
      <c r="AY22" s="119" t="str">
        <f>Sheet1!DK23</f>
        <v>yes</v>
      </c>
      <c r="AZ22" s="119" t="str">
        <f>Sheet1!DM23</f>
        <v>all</v>
      </c>
      <c r="BA22" s="119" t="str">
        <f>Sheet1!DO23</f>
        <v>all</v>
      </c>
      <c r="BB22" s="119" t="str">
        <f>Sheet1!DQ23</f>
        <v>yes</v>
      </c>
      <c r="BC22" s="119" t="str">
        <f>Sheet1!DS23</f>
        <v>NS</v>
      </c>
      <c r="BD22" s="119" t="str">
        <f>Sheet1!DU23</f>
        <v>NS</v>
      </c>
      <c r="BE22" s="119" t="str">
        <f>IF(Sheet1!DW23="Psychotic Disorder","yes","no")</f>
        <v>yes</v>
      </c>
      <c r="BF22" s="119" t="str">
        <f>Sheet1!DY23</f>
        <v>SCID</v>
      </c>
      <c r="BG22" s="119" t="str">
        <f>Sheet1!EA23</f>
        <v>DSM-IV</v>
      </c>
      <c r="BH22" s="119">
        <f>Sheet1!EW23</f>
        <v>10</v>
      </c>
    </row>
    <row r="23" spans="1:60" ht="15.75" customHeight="1">
      <c r="A23" s="119" t="str">
        <f>Sheet1!A24</f>
        <v>Okewole</v>
      </c>
      <c r="B23" s="119">
        <f>Sheet1!B24</f>
        <v>2016</v>
      </c>
      <c r="C23" s="120" t="str">
        <f>_xlfn.CONCAT(data!A23," ",data!B25)</f>
        <v>Okewole 2021</v>
      </c>
      <c r="D23" s="119">
        <f>Sheet1!C24</f>
        <v>204</v>
      </c>
      <c r="E23" s="119">
        <f>Sheet1!E24</f>
        <v>202</v>
      </c>
      <c r="F23" s="119" t="str">
        <f>Sheet1!G24</f>
        <v>NS</v>
      </c>
      <c r="G23" s="119" t="str">
        <f>Sheet1!I24</f>
        <v>NS</v>
      </c>
      <c r="H23" s="119">
        <f>Sheet1!K24</f>
        <v>15.9</v>
      </c>
      <c r="I23" s="119" t="str">
        <f>Sheet1!O24</f>
        <v>NS</v>
      </c>
      <c r="J23" s="119">
        <f>Sheet1!U24</f>
        <v>0</v>
      </c>
      <c r="K23" s="119">
        <f>Sheet1!W24</f>
        <v>409</v>
      </c>
      <c r="L23" s="119">
        <f>Sheet1!Y24</f>
        <v>0</v>
      </c>
      <c r="M23" s="119">
        <f>Sheet1!AA24</f>
        <v>0</v>
      </c>
      <c r="N23" s="119" t="str">
        <f>Sheet1!AC24</f>
        <v>inpat_psych</v>
      </c>
      <c r="O23" s="121" t="str">
        <f>Sheet1!AF24</f>
        <v>afri</v>
      </c>
      <c r="P23" s="119" t="str">
        <f>Sheet1!AI24</f>
        <v>no</v>
      </c>
      <c r="Q23" s="119" t="str">
        <f>Sheet1!AK24</f>
        <v>NS</v>
      </c>
      <c r="R23" s="119">
        <f>Sheet1!AY24</f>
        <v>409</v>
      </c>
      <c r="S23" s="119">
        <f>Sheet1!BC24</f>
        <v>32</v>
      </c>
      <c r="T23" s="119"/>
      <c r="U23" s="119"/>
      <c r="V23" s="119"/>
      <c r="W23" s="119" t="str">
        <f>Sheet1!BG24</f>
        <v>multiple</v>
      </c>
      <c r="X23" s="119">
        <f>Sheet1!BI24</f>
        <v>32</v>
      </c>
      <c r="Y23" s="119" t="str">
        <f>Sheet1!BK24</f>
        <v>NA</v>
      </c>
      <c r="Z23" s="119" t="str">
        <f>Sheet1!BM24</f>
        <v>NA</v>
      </c>
      <c r="AA23" s="119" t="str">
        <f>Sheet1!BO24</f>
        <v>NA</v>
      </c>
      <c r="AB23" s="119" t="str">
        <f>Sheet1!BQ24</f>
        <v>NA</v>
      </c>
      <c r="AC23" s="119" t="str">
        <f>Sheet1!BS24</f>
        <v>NA</v>
      </c>
      <c r="AD23" s="119" t="str">
        <f>Sheet1!BU24</f>
        <v>NA</v>
      </c>
      <c r="AE23" s="119" t="str">
        <f>Sheet1!BW24</f>
        <v>NA</v>
      </c>
      <c r="AF23" s="119" t="str">
        <f>Sheet1!BY24</f>
        <v>NA</v>
      </c>
      <c r="AG23" s="119" t="str">
        <f>Sheet1!CA24</f>
        <v>NA</v>
      </c>
      <c r="AH23" s="119" t="str">
        <f>Sheet1!CC24</f>
        <v>NA</v>
      </c>
      <c r="AI23" s="119" t="str">
        <f>Sheet1!CE24</f>
        <v>NA</v>
      </c>
      <c r="AJ23" s="119" t="str">
        <f>Sheet1!CG24</f>
        <v>NA</v>
      </c>
      <c r="AK23" s="119" t="str">
        <f>Sheet1!CI24</f>
        <v>NA</v>
      </c>
      <c r="AL23" s="119" t="str">
        <f>Sheet1!CK24</f>
        <v>NA</v>
      </c>
      <c r="AM23" s="119" t="str">
        <f>Sheet1!CM24</f>
        <v>NA</v>
      </c>
      <c r="AN23" s="119" t="str">
        <f>Sheet1!CO24</f>
        <v>NA</v>
      </c>
      <c r="AO23" s="119" t="str">
        <f>Sheet1!CQ24</f>
        <v>NA</v>
      </c>
      <c r="AP23" s="119">
        <f>Sheet1!CS24</f>
        <v>32</v>
      </c>
      <c r="AQ23" s="119" t="str">
        <f>Sheet1!CV24</f>
        <v>NS</v>
      </c>
      <c r="AR23" s="119" t="str">
        <f>Sheet1!CW24</f>
        <v>NS</v>
      </c>
      <c r="AS23" s="119" t="str">
        <f>Sheet1!CY24</f>
        <v>NS</v>
      </c>
      <c r="AT23" s="119" t="str">
        <f>Sheet1!DA24</f>
        <v>NS</v>
      </c>
      <c r="AU23" s="119" t="str">
        <f>Sheet1!DC24</f>
        <v>NS</v>
      </c>
      <c r="AV23" s="119" t="str">
        <f>Sheet1!DE24</f>
        <v>NS</v>
      </c>
      <c r="AW23" s="119" t="str">
        <f>Sheet1!DG24</f>
        <v>NS</v>
      </c>
      <c r="AX23" s="119" t="str">
        <f>Sheet1!DI24</f>
        <v>all</v>
      </c>
      <c r="AY23" s="119" t="str">
        <f>Sheet1!DK24</f>
        <v>yes</v>
      </c>
      <c r="AZ23" s="119" t="str">
        <f>Sheet1!DM24</f>
        <v>NS</v>
      </c>
      <c r="BA23" s="119" t="str">
        <f>Sheet1!DO24</f>
        <v>NS</v>
      </c>
      <c r="BB23" s="119" t="str">
        <f>Sheet1!DQ24</f>
        <v>NS</v>
      </c>
      <c r="BC23" s="119" t="str">
        <f>Sheet1!DS24</f>
        <v>NS</v>
      </c>
      <c r="BD23" s="119" t="str">
        <f>Sheet1!DU24</f>
        <v>NS</v>
      </c>
      <c r="BE23" s="119" t="str">
        <f>IF(Sheet1!DW24="Psychotic Disorder","yes","no")</f>
        <v>yes</v>
      </c>
      <c r="BF23" s="119" t="str">
        <f>Sheet1!DY24</f>
        <v>Clinical Assessment</v>
      </c>
      <c r="BG23" s="119" t="str">
        <f>Sheet1!EA24</f>
        <v>ICD-10 and DSM-IV</v>
      </c>
      <c r="BH23" s="119">
        <f>Sheet1!EW24</f>
        <v>9</v>
      </c>
    </row>
    <row r="24" spans="1:60" ht="15.75" customHeight="1">
      <c r="A24" s="119" t="str">
        <f>Sheet1!A25</f>
        <v>Perala</v>
      </c>
      <c r="B24" s="119">
        <f>Sheet1!B25</f>
        <v>2007</v>
      </c>
      <c r="C24" s="120" t="str">
        <f>_xlfn.CONCAT(data!A24," ",data!B26)</f>
        <v>Perala 2010</v>
      </c>
      <c r="D24" s="119" t="str">
        <f>Sheet1!C25</f>
        <v>NS</v>
      </c>
      <c r="E24" s="119" t="str">
        <f>Sheet1!E25</f>
        <v>NS</v>
      </c>
      <c r="F24" s="119" t="str">
        <f>Sheet1!G25</f>
        <v>NS</v>
      </c>
      <c r="G24" s="119" t="str">
        <f>Sheet1!I25</f>
        <v>NS</v>
      </c>
      <c r="H24" s="119" t="str">
        <f>Sheet1!K25</f>
        <v>NS</v>
      </c>
      <c r="I24" s="119" t="str">
        <f>Sheet1!O25</f>
        <v>NS</v>
      </c>
      <c r="J24" s="119" t="str">
        <f>Sheet1!U25</f>
        <v>NS</v>
      </c>
      <c r="K24" s="119" t="str">
        <f>Sheet1!W25</f>
        <v>NS</v>
      </c>
      <c r="L24" s="119">
        <f>Sheet1!Y25</f>
        <v>0</v>
      </c>
      <c r="M24" s="119">
        <f>Sheet1!AA25</f>
        <v>0</v>
      </c>
      <c r="N24" s="119" t="str">
        <f>Sheet1!AC25</f>
        <v>mixture</v>
      </c>
      <c r="O24" s="121" t="str">
        <f>Sheet1!AF25</f>
        <v>euro</v>
      </c>
      <c r="P24" s="119" t="str">
        <f>Sheet1!AI25</f>
        <v>yes</v>
      </c>
      <c r="Q24" s="119" t="str">
        <f>Sheet1!AK25</f>
        <v>no</v>
      </c>
      <c r="R24" s="119">
        <f>Sheet1!AY25</f>
        <v>249</v>
      </c>
      <c r="S24" s="119">
        <f>Sheet1!BC25</f>
        <v>56</v>
      </c>
      <c r="T24" s="119"/>
      <c r="U24" s="119"/>
      <c r="V24" s="119"/>
      <c r="W24" s="119" t="str">
        <f>Sheet1!BG25</f>
        <v>single</v>
      </c>
      <c r="X24" s="119">
        <f>Sheet1!BI25</f>
        <v>23</v>
      </c>
      <c r="Y24" s="119">
        <f>Sheet1!BK25</f>
        <v>33</v>
      </c>
      <c r="Z24" s="119" t="str">
        <f>Sheet1!BM25</f>
        <v>NA</v>
      </c>
      <c r="AA24" s="119" t="str">
        <f>Sheet1!BO25</f>
        <v>NA</v>
      </c>
      <c r="AB24" s="119">
        <f>Sheet1!BQ25</f>
        <v>33</v>
      </c>
      <c r="AC24" s="119" t="str">
        <f>Sheet1!BS25</f>
        <v>NA</v>
      </c>
      <c r="AD24" s="119" t="str">
        <f>Sheet1!BU25</f>
        <v>NA</v>
      </c>
      <c r="AE24" s="119" t="str">
        <f>Sheet1!BW25</f>
        <v>NA</v>
      </c>
      <c r="AF24" s="119" t="str">
        <f>Sheet1!BY25</f>
        <v>NA</v>
      </c>
      <c r="AG24" s="119" t="str">
        <f>Sheet1!CA25</f>
        <v>NA</v>
      </c>
      <c r="AH24" s="119" t="str">
        <f>Sheet1!CC25</f>
        <v>NA</v>
      </c>
      <c r="AI24" s="119" t="str">
        <f>Sheet1!CE25</f>
        <v>NA</v>
      </c>
      <c r="AJ24" s="119" t="str">
        <f>Sheet1!CG25</f>
        <v>NA</v>
      </c>
      <c r="AK24" s="119" t="str">
        <f>Sheet1!CI25</f>
        <v>NA</v>
      </c>
      <c r="AL24" s="119" t="str">
        <f>Sheet1!CK25</f>
        <v>NA</v>
      </c>
      <c r="AM24" s="119" t="str">
        <f>Sheet1!CM25</f>
        <v>NA</v>
      </c>
      <c r="AN24" s="119" t="str">
        <f>Sheet1!CO25</f>
        <v>NA</v>
      </c>
      <c r="AO24" s="119" t="str">
        <f>Sheet1!CQ25</f>
        <v>NA</v>
      </c>
      <c r="AP24" s="119">
        <f>Sheet1!CS25</f>
        <v>23</v>
      </c>
      <c r="AQ24" s="119" t="str">
        <f>Sheet1!CV25</f>
        <v>NS</v>
      </c>
      <c r="AR24" s="119" t="str">
        <f>Sheet1!CW25</f>
        <v>NS</v>
      </c>
      <c r="AS24" s="119" t="str">
        <f>Sheet1!CY25</f>
        <v>NS</v>
      </c>
      <c r="AT24" s="119" t="str">
        <f>Sheet1!DA25</f>
        <v>NS</v>
      </c>
      <c r="AU24" s="119" t="str">
        <f>Sheet1!DC25</f>
        <v>NS</v>
      </c>
      <c r="AV24" s="119" t="str">
        <f>Sheet1!DE25</f>
        <v>NS</v>
      </c>
      <c r="AW24" s="119" t="str">
        <f>Sheet1!DG25</f>
        <v>NS</v>
      </c>
      <c r="AX24" s="119" t="str">
        <f>Sheet1!DI25</f>
        <v>all</v>
      </c>
      <c r="AY24" s="119" t="str">
        <f>Sheet1!DK25</f>
        <v>yes</v>
      </c>
      <c r="AZ24" s="119" t="str">
        <f>Sheet1!DM25</f>
        <v>all</v>
      </c>
      <c r="BA24" s="119" t="str">
        <f>Sheet1!DO25</f>
        <v>NS</v>
      </c>
      <c r="BB24" s="119" t="str">
        <f>Sheet1!DQ25</f>
        <v>NS</v>
      </c>
      <c r="BC24" s="119" t="str">
        <f>Sheet1!DS25</f>
        <v>NS</v>
      </c>
      <c r="BD24" s="119" t="str">
        <f>Sheet1!DU25</f>
        <v>NS</v>
      </c>
      <c r="BE24" s="119" t="str">
        <f>IF(Sheet1!DW25="Psychotic Disorder","yes","no")</f>
        <v>yes</v>
      </c>
      <c r="BF24" s="119" t="str">
        <f>Sheet1!DY25</f>
        <v>SCID</v>
      </c>
      <c r="BG24" s="119" t="str">
        <f>Sheet1!EA25</f>
        <v>DSM-IV</v>
      </c>
      <c r="BH24" s="119">
        <f>Sheet1!EW25</f>
        <v>10</v>
      </c>
    </row>
    <row r="25" spans="1:60" ht="15.75" customHeight="1">
      <c r="A25" s="119" t="str">
        <f>Sheet1!A26</f>
        <v>Rattay</v>
      </c>
      <c r="B25" s="119">
        <f>Sheet1!B26</f>
        <v>2021</v>
      </c>
      <c r="C25" s="120" t="str">
        <f>_xlfn.CONCAT(data!A25," ",data!B27)</f>
        <v>Rattay 2018</v>
      </c>
      <c r="D25" s="119">
        <f>Sheet1!C26</f>
        <v>88</v>
      </c>
      <c r="E25" s="119">
        <f>Sheet1!E26</f>
        <v>56</v>
      </c>
      <c r="F25" s="119" t="str">
        <f>Sheet1!G26</f>
        <v>NS</v>
      </c>
      <c r="G25" s="119" t="str">
        <f>Sheet1!I26</f>
        <v>NS</v>
      </c>
      <c r="H25" s="119" t="str">
        <f>Sheet1!K26</f>
        <v>Mixed</v>
      </c>
      <c r="I25" s="119" t="str">
        <f>Sheet1!O26</f>
        <v>NS</v>
      </c>
      <c r="J25" s="119">
        <f>Sheet1!U26</f>
        <v>0</v>
      </c>
      <c r="K25" s="119">
        <f>Sheet1!W26</f>
        <v>144</v>
      </c>
      <c r="L25" s="119">
        <f>Sheet1!Y26</f>
        <v>0</v>
      </c>
      <c r="M25" s="119">
        <f>Sheet1!AA26</f>
        <v>0</v>
      </c>
      <c r="N25" s="119" t="str">
        <f>Sheet1!AC26</f>
        <v>inpat_psych</v>
      </c>
      <c r="O25" s="121" t="str">
        <f>Sheet1!AF26</f>
        <v>euro</v>
      </c>
      <c r="P25" s="119" t="str">
        <f>Sheet1!AI26</f>
        <v>no</v>
      </c>
      <c r="Q25" s="119" t="str">
        <f>Sheet1!AK26</f>
        <v>no</v>
      </c>
      <c r="R25" s="119">
        <f>Sheet1!AY26</f>
        <v>144</v>
      </c>
      <c r="S25" s="119">
        <f>Sheet1!BC26</f>
        <v>18</v>
      </c>
      <c r="T25" s="119"/>
      <c r="U25" s="119"/>
      <c r="V25" s="119"/>
      <c r="W25" s="119" t="str">
        <f>Sheet1!BG26</f>
        <v>multiple</v>
      </c>
      <c r="X25" s="119">
        <f>Sheet1!BI26</f>
        <v>17</v>
      </c>
      <c r="Y25" s="119">
        <f>Sheet1!BK26</f>
        <v>1</v>
      </c>
      <c r="Z25" s="119">
        <f>Sheet1!BM26</f>
        <v>12</v>
      </c>
      <c r="AA25" s="119">
        <f>Sheet1!BO26</f>
        <v>0</v>
      </c>
      <c r="AB25" s="119">
        <f>Sheet1!BQ26</f>
        <v>1</v>
      </c>
      <c r="AC25" s="119">
        <f>Sheet1!BS26</f>
        <v>0</v>
      </c>
      <c r="AD25" s="119">
        <f>Sheet1!BU26</f>
        <v>0</v>
      </c>
      <c r="AE25" s="119">
        <f>Sheet1!BW26</f>
        <v>1</v>
      </c>
      <c r="AF25" s="119">
        <f>Sheet1!BY26</f>
        <v>0</v>
      </c>
      <c r="AG25" s="119">
        <f>Sheet1!CA26</f>
        <v>0</v>
      </c>
      <c r="AH25" s="119">
        <f>Sheet1!CC26</f>
        <v>2</v>
      </c>
      <c r="AI25" s="119">
        <f>Sheet1!CE26</f>
        <v>0</v>
      </c>
      <c r="AJ25" s="119">
        <f>Sheet1!CG26</f>
        <v>2</v>
      </c>
      <c r="AK25" s="119">
        <f>Sheet1!CI26</f>
        <v>0</v>
      </c>
      <c r="AL25" s="119">
        <f>Sheet1!CK26</f>
        <v>0</v>
      </c>
      <c r="AM25" s="119">
        <f>Sheet1!CM26</f>
        <v>0</v>
      </c>
      <c r="AN25" s="119">
        <f>Sheet1!CO26</f>
        <v>0</v>
      </c>
      <c r="AO25" s="119">
        <f>Sheet1!CQ26</f>
        <v>0</v>
      </c>
      <c r="AP25" s="119">
        <f>Sheet1!CS26</f>
        <v>0</v>
      </c>
      <c r="AQ25" s="119" t="str">
        <f>Sheet1!CV26</f>
        <v>some</v>
      </c>
      <c r="AR25" s="119" t="str">
        <f>Sheet1!CW26</f>
        <v>all</v>
      </c>
      <c r="AS25" s="119">
        <f>Sheet1!CY26</f>
        <v>0</v>
      </c>
      <c r="AT25" s="119" t="str">
        <f>Sheet1!DA26</f>
        <v>some</v>
      </c>
      <c r="AU25" s="119" t="str">
        <f>Sheet1!DC26</f>
        <v>all</v>
      </c>
      <c r="AV25" s="119" t="str">
        <f>Sheet1!DE26</f>
        <v>all</v>
      </c>
      <c r="AW25" s="119" t="str">
        <f>Sheet1!DG26</f>
        <v>NS</v>
      </c>
      <c r="AX25" s="119" t="str">
        <f>Sheet1!DI26</f>
        <v>all</v>
      </c>
      <c r="AY25" s="119" t="str">
        <f>Sheet1!DK26</f>
        <v>NS</v>
      </c>
      <c r="AZ25" s="119" t="str">
        <f>Sheet1!DM26</f>
        <v>all</v>
      </c>
      <c r="BA25" s="119" t="str">
        <f>Sheet1!DO26</f>
        <v>NS</v>
      </c>
      <c r="BB25" s="119" t="str">
        <f>Sheet1!DQ26</f>
        <v>NS</v>
      </c>
      <c r="BC25" s="119" t="str">
        <f>Sheet1!DS26</f>
        <v>NS</v>
      </c>
      <c r="BD25" s="119" t="str">
        <f>Sheet1!DU26</f>
        <v>NS</v>
      </c>
      <c r="BE25" s="119" t="str">
        <f>IF(Sheet1!DW26="Psychotic Disorder","yes","no")</f>
        <v>no</v>
      </c>
      <c r="BF25" s="119" t="str">
        <f>Sheet1!DY26</f>
        <v>Clinical Assessment</v>
      </c>
      <c r="BG25" s="119" t="str">
        <f>Sheet1!EA26</f>
        <v>ICD-10</v>
      </c>
      <c r="BH25" s="119">
        <f>Sheet1!EW26</f>
        <v>10</v>
      </c>
    </row>
    <row r="26" spans="1:60" ht="15.75" customHeight="1">
      <c r="A26" s="119" t="str">
        <f>Sheet1!A27</f>
        <v>Reay</v>
      </c>
      <c r="B26" s="119">
        <f>Sheet1!B27</f>
        <v>2010</v>
      </c>
      <c r="C26" s="120" t="str">
        <f>_xlfn.CONCAT(data!A26," ",data!B28)</f>
        <v>Reay 1990</v>
      </c>
      <c r="D26" s="119">
        <f>Sheet1!C27</f>
        <v>308</v>
      </c>
      <c r="E26" s="119">
        <f>Sheet1!E27</f>
        <v>231</v>
      </c>
      <c r="F26" s="119" t="str">
        <f>Sheet1!G27</f>
        <v>NS</v>
      </c>
      <c r="G26" s="119" t="str">
        <f>Sheet1!I27</f>
        <v>NS</v>
      </c>
      <c r="H26" s="119" t="str">
        <f>Sheet1!K27</f>
        <v>NS</v>
      </c>
      <c r="I26" s="119">
        <f>Sheet1!O27</f>
        <v>534</v>
      </c>
      <c r="J26" s="119" t="str">
        <f>Sheet1!U27</f>
        <v>NS</v>
      </c>
      <c r="K26" s="119" t="str">
        <f>Sheet1!W27</f>
        <v>NS</v>
      </c>
      <c r="L26" s="119" t="str">
        <f>Sheet1!Y27</f>
        <v>NS</v>
      </c>
      <c r="M26" s="119" t="str">
        <f>Sheet1!AA27</f>
        <v>NS</v>
      </c>
      <c r="N26" s="119" t="str">
        <f>Sheet1!AC27</f>
        <v>mixture</v>
      </c>
      <c r="O26" s="121" t="str">
        <f>Sheet1!AF27</f>
        <v>euro</v>
      </c>
      <c r="P26" s="119" t="str">
        <f>Sheet1!AI27</f>
        <v>yes</v>
      </c>
      <c r="Q26" s="119" t="str">
        <f>Sheet1!AK27</f>
        <v>yes</v>
      </c>
      <c r="R26" s="119">
        <f>Sheet1!AY27</f>
        <v>540</v>
      </c>
      <c r="S26" s="119">
        <f>Sheet1!BC27</f>
        <v>87</v>
      </c>
      <c r="T26" s="119"/>
      <c r="U26" s="119"/>
      <c r="V26" s="119"/>
      <c r="W26" s="119" t="str">
        <f>Sheet1!BG27</f>
        <v>single</v>
      </c>
      <c r="X26" s="119">
        <f>Sheet1!BI27</f>
        <v>41</v>
      </c>
      <c r="Y26" s="119">
        <f>Sheet1!BK27</f>
        <v>46</v>
      </c>
      <c r="Z26" s="119" t="str">
        <f>Sheet1!BM27</f>
        <v>NA</v>
      </c>
      <c r="AA26" s="119" t="str">
        <f>Sheet1!BO27</f>
        <v>NA</v>
      </c>
      <c r="AB26" s="119">
        <f>Sheet1!BQ27</f>
        <v>46</v>
      </c>
      <c r="AC26" s="119" t="str">
        <f>Sheet1!BS27</f>
        <v>NA</v>
      </c>
      <c r="AD26" s="119" t="str">
        <f>Sheet1!BU27</f>
        <v>NA</v>
      </c>
      <c r="AE26" s="119" t="str">
        <f>Sheet1!BW27</f>
        <v>NA</v>
      </c>
      <c r="AF26" s="119" t="str">
        <f>Sheet1!BY27</f>
        <v>NA</v>
      </c>
      <c r="AG26" s="119" t="str">
        <f>Sheet1!CA27</f>
        <v>NA</v>
      </c>
      <c r="AH26" s="119" t="str">
        <f>Sheet1!CC27</f>
        <v>NA</v>
      </c>
      <c r="AI26" s="119" t="str">
        <f>Sheet1!CE27</f>
        <v>NA</v>
      </c>
      <c r="AJ26" s="119" t="str">
        <f>Sheet1!CG27</f>
        <v>NA</v>
      </c>
      <c r="AK26" s="119" t="str">
        <f>Sheet1!CI27</f>
        <v>NA</v>
      </c>
      <c r="AL26" s="119" t="str">
        <f>Sheet1!CK27</f>
        <v>NA</v>
      </c>
      <c r="AM26" s="119" t="str">
        <f>Sheet1!CM27</f>
        <v>NA</v>
      </c>
      <c r="AN26" s="119" t="str">
        <f>Sheet1!CO27</f>
        <v>NA</v>
      </c>
      <c r="AO26" s="119" t="str">
        <f>Sheet1!CQ27</f>
        <v>NA</v>
      </c>
      <c r="AP26" s="119">
        <f>Sheet1!CS27</f>
        <v>41</v>
      </c>
      <c r="AQ26" s="119" t="str">
        <f>Sheet1!CV27</f>
        <v>NS</v>
      </c>
      <c r="AR26" s="119" t="str">
        <f>Sheet1!CW27</f>
        <v>NS</v>
      </c>
      <c r="AS26" s="119" t="str">
        <f>Sheet1!CY27</f>
        <v>NS</v>
      </c>
      <c r="AT26" s="119" t="str">
        <f>Sheet1!DA27</f>
        <v>NS</v>
      </c>
      <c r="AU26" s="119" t="str">
        <f>Sheet1!DC27</f>
        <v>NS</v>
      </c>
      <c r="AV26" s="119" t="str">
        <f>Sheet1!DE27</f>
        <v>NS</v>
      </c>
      <c r="AW26" s="119" t="str">
        <f>Sheet1!DG27</f>
        <v>NS</v>
      </c>
      <c r="AX26" s="119" t="str">
        <f>Sheet1!DI27</f>
        <v>NS</v>
      </c>
      <c r="AY26" s="119" t="str">
        <f>Sheet1!DK27</f>
        <v>NS</v>
      </c>
      <c r="AZ26" s="119" t="str">
        <f>Sheet1!DM27</f>
        <v>NS</v>
      </c>
      <c r="BA26" s="119" t="str">
        <f>Sheet1!DO27</f>
        <v>NS</v>
      </c>
      <c r="BB26" s="119" t="str">
        <f>Sheet1!DQ27</f>
        <v>NS</v>
      </c>
      <c r="BC26" s="119" t="str">
        <f>Sheet1!DS27</f>
        <v>NS</v>
      </c>
      <c r="BD26" s="119" t="str">
        <f>Sheet1!DU27</f>
        <v>NS</v>
      </c>
      <c r="BE26" s="119" t="str">
        <f>IF(Sheet1!DW27="Psychotic Disorder","yes","no")</f>
        <v>yes</v>
      </c>
      <c r="BF26" s="119" t="str">
        <f>Sheet1!DY27</f>
        <v>Clinical Assessment</v>
      </c>
      <c r="BG26" s="119" t="str">
        <f>Sheet1!EA27</f>
        <v>ICD-10</v>
      </c>
      <c r="BH26" s="119">
        <f>Sheet1!EW27</f>
        <v>6</v>
      </c>
    </row>
    <row r="27" spans="1:60" ht="15.75" customHeight="1">
      <c r="A27" s="119" t="str">
        <f>Sheet1!A28</f>
        <v>Scott</v>
      </c>
      <c r="B27" s="119">
        <f>Sheet1!B28</f>
        <v>2018</v>
      </c>
      <c r="C27" s="120" t="str">
        <f>_xlfn.CONCAT(data!A27," ",data!B29)</f>
        <v>Scott 2022</v>
      </c>
      <c r="D27" s="119">
        <f>Sheet1!C28</f>
        <v>66</v>
      </c>
      <c r="E27" s="119">
        <f>Sheet1!E28</f>
        <v>47</v>
      </c>
      <c r="F27" s="119" t="str">
        <f>Sheet1!G28</f>
        <v>NS</v>
      </c>
      <c r="G27" s="119" t="str">
        <f>Sheet1!I28</f>
        <v>NS</v>
      </c>
      <c r="H27" s="119">
        <f>Sheet1!K28</f>
        <v>26.2</v>
      </c>
      <c r="I27" s="119" t="str">
        <f>Sheet1!O28</f>
        <v>NS</v>
      </c>
      <c r="J27" s="119">
        <f>Sheet1!U28</f>
        <v>0</v>
      </c>
      <c r="K27" s="119">
        <f>Sheet1!W28</f>
        <v>113</v>
      </c>
      <c r="L27" s="119">
        <f>Sheet1!Y28</f>
        <v>0</v>
      </c>
      <c r="M27" s="119">
        <f>Sheet1!AA28</f>
        <v>0</v>
      </c>
      <c r="N27" s="119" t="str">
        <f>Sheet1!AC28</f>
        <v>inpat_psych</v>
      </c>
      <c r="O27" s="121" t="str">
        <f>Sheet1!AF28</f>
        <v>aus</v>
      </c>
      <c r="P27" s="119" t="str">
        <f>Sheet1!AI28</f>
        <v>yes</v>
      </c>
      <c r="Q27" s="119" t="str">
        <f>Sheet1!AK28</f>
        <v>yes</v>
      </c>
      <c r="R27" s="119">
        <f>Sheet1!AY28</f>
        <v>113</v>
      </c>
      <c r="S27" s="119">
        <f>Sheet1!BC28</f>
        <v>25</v>
      </c>
      <c r="T27" s="119"/>
      <c r="U27" s="119"/>
      <c r="V27" s="119"/>
      <c r="W27" s="119" t="str">
        <f>Sheet1!BG28</f>
        <v>multiple</v>
      </c>
      <c r="X27" s="119">
        <f>Sheet1!BI28</f>
        <v>6</v>
      </c>
      <c r="Y27" s="119">
        <f>Sheet1!BK28</f>
        <v>19</v>
      </c>
      <c r="Z27" s="119">
        <f>Sheet1!BM28</f>
        <v>6</v>
      </c>
      <c r="AA27" s="119">
        <f>Sheet1!BO28</f>
        <v>0</v>
      </c>
      <c r="AB27" s="119">
        <f>Sheet1!BQ28</f>
        <v>19</v>
      </c>
      <c r="AC27" s="119">
        <f>Sheet1!BS28</f>
        <v>0</v>
      </c>
      <c r="AD27" s="119">
        <f>Sheet1!BU28</f>
        <v>0</v>
      </c>
      <c r="AE27" s="119">
        <f>Sheet1!BW28</f>
        <v>0</v>
      </c>
      <c r="AF27" s="119">
        <f>Sheet1!BY28</f>
        <v>0</v>
      </c>
      <c r="AG27" s="119">
        <f>Sheet1!CA28</f>
        <v>0</v>
      </c>
      <c r="AH27" s="119">
        <f>Sheet1!CC28</f>
        <v>0</v>
      </c>
      <c r="AI27" s="119">
        <f>Sheet1!CE28</f>
        <v>0</v>
      </c>
      <c r="AJ27" s="119">
        <f>Sheet1!CG28</f>
        <v>0</v>
      </c>
      <c r="AK27" s="119">
        <f>Sheet1!CI28</f>
        <v>0</v>
      </c>
      <c r="AL27" s="119">
        <f>Sheet1!CK28</f>
        <v>0</v>
      </c>
      <c r="AM27" s="119">
        <f>Sheet1!CM28</f>
        <v>0</v>
      </c>
      <c r="AN27" s="119">
        <f>Sheet1!CO28</f>
        <v>0</v>
      </c>
      <c r="AO27" s="119">
        <f>Sheet1!CQ28</f>
        <v>0</v>
      </c>
      <c r="AP27" s="119">
        <f>Sheet1!CS28</f>
        <v>0</v>
      </c>
      <c r="AQ27" s="119" t="str">
        <f>Sheet1!CV28</f>
        <v>yes - NS</v>
      </c>
      <c r="AR27" s="119" t="str">
        <f>Sheet1!CW28</f>
        <v>yes - NS</v>
      </c>
      <c r="AS27" s="119" t="str">
        <f>Sheet1!CY28</f>
        <v>NS</v>
      </c>
      <c r="AT27" s="119" t="str">
        <f>Sheet1!DA28</f>
        <v>yes - NS</v>
      </c>
      <c r="AU27" s="119" t="str">
        <f>Sheet1!DC28</f>
        <v>yes - NS</v>
      </c>
      <c r="AV27" s="119" t="str">
        <f>Sheet1!DE28</f>
        <v>All</v>
      </c>
      <c r="AW27" s="119" t="str">
        <f>Sheet1!DG28</f>
        <v>NS</v>
      </c>
      <c r="AX27" s="119" t="str">
        <f>Sheet1!DI28</f>
        <v>All</v>
      </c>
      <c r="AY27" s="119" t="str">
        <f>Sheet1!DK28</f>
        <v>NS</v>
      </c>
      <c r="AZ27" s="119" t="str">
        <f>Sheet1!DM28</f>
        <v>NS</v>
      </c>
      <c r="BA27" s="119" t="str">
        <f>Sheet1!DO28</f>
        <v>NS</v>
      </c>
      <c r="BB27" s="119" t="str">
        <f>Sheet1!DQ28</f>
        <v>NS</v>
      </c>
      <c r="BC27" s="119" t="str">
        <f>Sheet1!DS28</f>
        <v>yes</v>
      </c>
      <c r="BD27" s="119" t="str">
        <f>Sheet1!DU28</f>
        <v>NS</v>
      </c>
      <c r="BE27" s="119" t="str">
        <f>IF(Sheet1!DW28="Psychotic Disorder","yes","no")</f>
        <v>yes</v>
      </c>
      <c r="BF27" s="119" t="str">
        <f>Sheet1!DY28</f>
        <v>NS</v>
      </c>
      <c r="BG27" s="119" t="str">
        <f>Sheet1!EA28</f>
        <v>ICD-10</v>
      </c>
      <c r="BH27" s="119">
        <f>Sheet1!EW28</f>
        <v>10</v>
      </c>
    </row>
    <row r="28" spans="1:60" ht="15.75" customHeight="1">
      <c r="A28" s="119" t="str">
        <f>Sheet1!A29</f>
        <v>Solomons</v>
      </c>
      <c r="B28" s="119">
        <f>Sheet1!B29</f>
        <v>1990</v>
      </c>
      <c r="C28" s="120" t="str">
        <f>_xlfn.CONCAT(data!A28," ",data!B30)</f>
        <v>Solomons 2013</v>
      </c>
      <c r="D28" s="119">
        <f>Sheet1!C29</f>
        <v>100</v>
      </c>
      <c r="E28" s="119">
        <f>Sheet1!E29</f>
        <v>0</v>
      </c>
      <c r="F28" s="119" t="str">
        <f>Sheet1!G29</f>
        <v>NS</v>
      </c>
      <c r="G28" s="119" t="str">
        <f>Sheet1!I29</f>
        <v>NS</v>
      </c>
      <c r="H28" s="119">
        <f>Sheet1!K29</f>
        <v>28.2</v>
      </c>
      <c r="I28" s="119">
        <f>Sheet1!O29</f>
        <v>0</v>
      </c>
      <c r="J28" s="119">
        <f>Sheet1!U29</f>
        <v>0</v>
      </c>
      <c r="K28" s="119">
        <f>Sheet1!W29</f>
        <v>100</v>
      </c>
      <c r="L28" s="119">
        <f>Sheet1!Y29</f>
        <v>0</v>
      </c>
      <c r="M28" s="119">
        <f>Sheet1!AA29</f>
        <v>0</v>
      </c>
      <c r="N28" s="119" t="str">
        <f>Sheet1!AC29</f>
        <v>inpat_psych</v>
      </c>
      <c r="O28" s="121" t="str">
        <f>Sheet1!AF29</f>
        <v>afri</v>
      </c>
      <c r="P28" s="119" t="str">
        <f>Sheet1!AI29</f>
        <v>yes</v>
      </c>
      <c r="Q28" s="119" t="str">
        <f>Sheet1!AK29</f>
        <v>no</v>
      </c>
      <c r="R28" s="119">
        <f>Sheet1!AY29</f>
        <v>70</v>
      </c>
      <c r="S28" s="119">
        <f>Sheet1!BC29</f>
        <v>42</v>
      </c>
      <c r="T28" s="119"/>
      <c r="U28" s="119"/>
      <c r="V28" s="119"/>
      <c r="W28" s="119" t="str">
        <f>Sheet1!BG29</f>
        <v>multiple</v>
      </c>
      <c r="X28" s="119" t="str">
        <f>Sheet1!BI29</f>
        <v>NA</v>
      </c>
      <c r="Y28" s="119">
        <f>Sheet1!BK29</f>
        <v>42</v>
      </c>
      <c r="Z28" s="119" t="str">
        <f>Sheet1!BM29</f>
        <v>NA</v>
      </c>
      <c r="AA28" s="119" t="str">
        <f>Sheet1!BO29</f>
        <v>NA</v>
      </c>
      <c r="AB28" s="119">
        <f>Sheet1!BQ29</f>
        <v>42</v>
      </c>
      <c r="AC28" s="119" t="str">
        <f>Sheet1!BS29</f>
        <v>NA</v>
      </c>
      <c r="AD28" s="119" t="str">
        <f>Sheet1!BU29</f>
        <v>NA</v>
      </c>
      <c r="AE28" s="119" t="str">
        <f>Sheet1!BW29</f>
        <v>NA</v>
      </c>
      <c r="AF28" s="119" t="str">
        <f>Sheet1!BY29</f>
        <v>NA</v>
      </c>
      <c r="AG28" s="119" t="str">
        <f>Sheet1!CA29</f>
        <v>NA</v>
      </c>
      <c r="AH28" s="119" t="str">
        <f>Sheet1!CC29</f>
        <v>NA</v>
      </c>
      <c r="AI28" s="119" t="str">
        <f>Sheet1!CE29</f>
        <v>NA</v>
      </c>
      <c r="AJ28" s="119" t="str">
        <f>Sheet1!CG29</f>
        <v>NA</v>
      </c>
      <c r="AK28" s="119" t="str">
        <f>Sheet1!CI29</f>
        <v>NA</v>
      </c>
      <c r="AL28" s="119" t="str">
        <f>Sheet1!CK29</f>
        <v>NA</v>
      </c>
      <c r="AM28" s="119" t="str">
        <f>Sheet1!CM29</f>
        <v>NA</v>
      </c>
      <c r="AN28" s="119" t="str">
        <f>Sheet1!CO29</f>
        <v>NA</v>
      </c>
      <c r="AO28" s="119" t="str">
        <f>Sheet1!CQ29</f>
        <v>NA</v>
      </c>
      <c r="AP28" s="119" t="str">
        <f>Sheet1!CS29</f>
        <v>NA</v>
      </c>
      <c r="AQ28" s="119">
        <f>Sheet1!CV29</f>
        <v>0</v>
      </c>
      <c r="AR28" s="119">
        <f>Sheet1!CW29</f>
        <v>0</v>
      </c>
      <c r="AS28" s="119">
        <f>Sheet1!CY29</f>
        <v>0</v>
      </c>
      <c r="AT28" s="119" t="str">
        <f>Sheet1!DA29</f>
        <v>some</v>
      </c>
      <c r="AU28" s="119">
        <f>Sheet1!DC29</f>
        <v>0</v>
      </c>
      <c r="AV28" s="119">
        <f>Sheet1!DE29</f>
        <v>0</v>
      </c>
      <c r="AW28" s="119" t="str">
        <f>Sheet1!DG29</f>
        <v>all</v>
      </c>
      <c r="AX28" s="119" t="str">
        <f>Sheet1!DI29</f>
        <v>all</v>
      </c>
      <c r="AY28" s="119" t="str">
        <f>Sheet1!DK29</f>
        <v>NS</v>
      </c>
      <c r="AZ28" s="119" t="str">
        <f>Sheet1!DM29</f>
        <v>NS</v>
      </c>
      <c r="BA28" s="119" t="str">
        <f>Sheet1!DO29</f>
        <v>NS</v>
      </c>
      <c r="BB28" s="119" t="str">
        <f>Sheet1!DQ29</f>
        <v>NS</v>
      </c>
      <c r="BC28" s="119" t="str">
        <f>Sheet1!DS29</f>
        <v>NS</v>
      </c>
      <c r="BD28" s="119" t="str">
        <f>Sheet1!DU29</f>
        <v>NS</v>
      </c>
      <c r="BE28" s="119" t="str">
        <f>IF(Sheet1!DW29="Psychotic Disorder","yes","no")</f>
        <v>yes</v>
      </c>
      <c r="BF28" s="119" t="str">
        <f>Sheet1!DY29</f>
        <v>BPRS</v>
      </c>
      <c r="BG28" s="119" t="str">
        <f>Sheet1!EA29</f>
        <v>DSM-III</v>
      </c>
      <c r="BH28" s="119">
        <f>Sheet1!EW29</f>
        <v>8</v>
      </c>
    </row>
    <row r="29" spans="1:60" ht="15.75" customHeight="1">
      <c r="A29" s="119" t="str">
        <f>Sheet1!A30</f>
        <v>Spies</v>
      </c>
      <c r="B29" s="119">
        <f>Sheet1!B30</f>
        <v>2022</v>
      </c>
      <c r="C29" s="120" t="str">
        <f>_xlfn.CONCAT(data!A29," ",data!B31)</f>
        <v>Spies 2020</v>
      </c>
      <c r="D29" s="119">
        <f>Sheet1!C30</f>
        <v>448</v>
      </c>
      <c r="E29" s="119">
        <f>Sheet1!E30</f>
        <v>463</v>
      </c>
      <c r="F29" s="119" t="str">
        <f>Sheet1!G30</f>
        <v>NS</v>
      </c>
      <c r="G29" s="119" t="str">
        <f>Sheet1!I30</f>
        <v>NS</v>
      </c>
      <c r="H29" s="119" t="str">
        <f>Sheet1!K30</f>
        <v>Mixed</v>
      </c>
      <c r="I29" s="119" t="str">
        <f>Sheet1!O30</f>
        <v>NS</v>
      </c>
      <c r="J29" s="119">
        <f>Sheet1!U30</f>
        <v>0</v>
      </c>
      <c r="K29" s="119">
        <f>Sheet1!W30</f>
        <v>911</v>
      </c>
      <c r="L29" s="119">
        <f>Sheet1!Y30</f>
        <v>0</v>
      </c>
      <c r="M29" s="119">
        <f>Sheet1!AA30</f>
        <v>0</v>
      </c>
      <c r="N29" s="119" t="str">
        <f>Sheet1!AC30</f>
        <v>inpat_psych</v>
      </c>
      <c r="O29" s="121" t="str">
        <f>Sheet1!AF30</f>
        <v>aus</v>
      </c>
      <c r="P29" s="119" t="str">
        <f>Sheet1!AI30</f>
        <v>no</v>
      </c>
      <c r="Q29" s="119" t="str">
        <f>Sheet1!AK30</f>
        <v>no</v>
      </c>
      <c r="R29" s="119">
        <f>Sheet1!AY30</f>
        <v>911</v>
      </c>
      <c r="S29" s="119">
        <f>Sheet1!BC30</f>
        <v>3</v>
      </c>
      <c r="T29" s="119"/>
      <c r="U29" s="119"/>
      <c r="V29" s="119"/>
      <c r="W29" s="119" t="str">
        <f>Sheet1!BG30</f>
        <v>single</v>
      </c>
      <c r="X29" s="119">
        <f>Sheet1!BI30</f>
        <v>3</v>
      </c>
      <c r="Y29" s="119" t="str">
        <f>Sheet1!BK30</f>
        <v>NA</v>
      </c>
      <c r="Z29" s="119">
        <f>Sheet1!BM30</f>
        <v>3</v>
      </c>
      <c r="AA29" s="119" t="str">
        <f>Sheet1!BO30</f>
        <v>NA</v>
      </c>
      <c r="AB29" s="119" t="str">
        <f>Sheet1!BQ30</f>
        <v>NA</v>
      </c>
      <c r="AC29" s="119" t="str">
        <f>Sheet1!BS30</f>
        <v>NA</v>
      </c>
      <c r="AD29" s="119" t="str">
        <f>Sheet1!BU30</f>
        <v>NA</v>
      </c>
      <c r="AE29" s="119" t="str">
        <f>Sheet1!BW30</f>
        <v>NA</v>
      </c>
      <c r="AF29" s="119" t="str">
        <f>Sheet1!BY30</f>
        <v>NA</v>
      </c>
      <c r="AG29" s="119" t="str">
        <f>Sheet1!CA30</f>
        <v>NA</v>
      </c>
      <c r="AH29" s="119" t="str">
        <f>Sheet1!CC30</f>
        <v>NA</v>
      </c>
      <c r="AI29" s="119" t="str">
        <f>Sheet1!CE30</f>
        <v>NA</v>
      </c>
      <c r="AJ29" s="119" t="str">
        <f>Sheet1!CG30</f>
        <v>NA</v>
      </c>
      <c r="AK29" s="119" t="str">
        <f>Sheet1!CI30</f>
        <v>NA</v>
      </c>
      <c r="AL29" s="119" t="str">
        <f>Sheet1!CK30</f>
        <v>NA</v>
      </c>
      <c r="AM29" s="119" t="str">
        <f>Sheet1!CM30</f>
        <v>NA</v>
      </c>
      <c r="AN29" s="119" t="str">
        <f>Sheet1!CO30</f>
        <v>NA</v>
      </c>
      <c r="AO29" s="119" t="str">
        <f>Sheet1!CQ30</f>
        <v>NA</v>
      </c>
      <c r="AP29" s="119" t="str">
        <f>Sheet1!CS30</f>
        <v>NA</v>
      </c>
      <c r="AQ29" s="119" t="str">
        <f>Sheet1!CV30</f>
        <v>some</v>
      </c>
      <c r="AR29" s="119" t="str">
        <f>Sheet1!CW30</f>
        <v>some</v>
      </c>
      <c r="AS29" s="119" t="str">
        <f>Sheet1!CY30</f>
        <v>some</v>
      </c>
      <c r="AT29" s="119" t="str">
        <f>Sheet1!DA30</f>
        <v>NS</v>
      </c>
      <c r="AU29" s="119" t="str">
        <f>Sheet1!DC30</f>
        <v>NS</v>
      </c>
      <c r="AV29" s="119" t="str">
        <f>Sheet1!DE30</f>
        <v>all</v>
      </c>
      <c r="AW29" s="119" t="str">
        <f>Sheet1!DG30</f>
        <v>NS</v>
      </c>
      <c r="AX29" s="119" t="str">
        <f>Sheet1!DI30</f>
        <v>all</v>
      </c>
      <c r="AY29" s="119" t="str">
        <f>Sheet1!DK30</f>
        <v>NS</v>
      </c>
      <c r="AZ29" s="119" t="str">
        <f>Sheet1!DM30</f>
        <v>NS</v>
      </c>
      <c r="BA29" s="119" t="str">
        <f>Sheet1!DO30</f>
        <v>NS</v>
      </c>
      <c r="BB29" s="119" t="str">
        <f>Sheet1!DQ30</f>
        <v>NS</v>
      </c>
      <c r="BC29" s="119" t="str">
        <f>Sheet1!DS30</f>
        <v>NS</v>
      </c>
      <c r="BD29" s="119" t="str">
        <f>Sheet1!DU30</f>
        <v>NS</v>
      </c>
      <c r="BE29" s="119" t="str">
        <f>IF(Sheet1!DW30="Psychotic Disorder","yes","no")</f>
        <v>yes</v>
      </c>
      <c r="BF29" s="119" t="str">
        <f>Sheet1!DY30</f>
        <v>NS</v>
      </c>
      <c r="BG29" s="119" t="str">
        <f>Sheet1!EA30</f>
        <v>ICD-10</v>
      </c>
      <c r="BH29" s="119">
        <f>Sheet1!EW30</f>
        <v>9</v>
      </c>
    </row>
    <row r="30" spans="1:60" ht="15.75" customHeight="1">
      <c r="A30" s="119" t="str">
        <f>Sheet1!A31</f>
        <v>Steiner</v>
      </c>
      <c r="B30" s="119">
        <f>Sheet1!B31</f>
        <v>2013</v>
      </c>
      <c r="C30" s="120" t="str">
        <f>_xlfn.CONCAT(data!A30," ",data!B32)</f>
        <v>Steiner 2016</v>
      </c>
      <c r="D30" s="119">
        <f>Sheet1!C31</f>
        <v>77</v>
      </c>
      <c r="E30" s="119">
        <f>Sheet1!E31</f>
        <v>44</v>
      </c>
      <c r="F30" s="119" t="str">
        <f>Sheet1!G31</f>
        <v>NS</v>
      </c>
      <c r="G30" s="119">
        <f>Sheet1!I31</f>
        <v>21.5</v>
      </c>
      <c r="H30" s="119">
        <f>Sheet1!K31</f>
        <v>36</v>
      </c>
      <c r="I30" s="119" t="str">
        <f>Sheet1!O31</f>
        <v>NS</v>
      </c>
      <c r="J30" s="119">
        <f>Sheet1!U31</f>
        <v>0</v>
      </c>
      <c r="K30" s="119">
        <f>Sheet1!W31</f>
        <v>121</v>
      </c>
      <c r="L30" s="119">
        <f>Sheet1!Y31</f>
        <v>0</v>
      </c>
      <c r="M30" s="119">
        <f>Sheet1!AA31</f>
        <v>0</v>
      </c>
      <c r="N30" s="119" t="str">
        <f>Sheet1!AC31</f>
        <v>inpat_psych</v>
      </c>
      <c r="O30" s="121" t="str">
        <f>Sheet1!AF31</f>
        <v>euro</v>
      </c>
      <c r="P30" s="119" t="str">
        <f>Sheet1!AI31</f>
        <v>yes</v>
      </c>
      <c r="Q30" s="119" t="str">
        <f>Sheet1!AK31</f>
        <v>no</v>
      </c>
      <c r="R30" s="119">
        <f>Sheet1!AY31</f>
        <v>121</v>
      </c>
      <c r="S30" s="119">
        <f>Sheet1!BC31</f>
        <v>2</v>
      </c>
      <c r="T30" s="119"/>
      <c r="U30" s="119"/>
      <c r="V30" s="119"/>
      <c r="W30" s="119" t="str">
        <f>Sheet1!BG31</f>
        <v>single</v>
      </c>
      <c r="X30" s="119">
        <f>Sheet1!BI31</f>
        <v>2</v>
      </c>
      <c r="Y30" s="119" t="str">
        <f>Sheet1!BK31</f>
        <v>NA</v>
      </c>
      <c r="Z30" s="119">
        <f>Sheet1!BM31</f>
        <v>2</v>
      </c>
      <c r="AA30" s="119" t="str">
        <f>Sheet1!BO31</f>
        <v>NA</v>
      </c>
      <c r="AB30" s="119" t="str">
        <f>Sheet1!BQ31</f>
        <v>NA</v>
      </c>
      <c r="AC30" s="119" t="str">
        <f>Sheet1!BS31</f>
        <v>NA</v>
      </c>
      <c r="AD30" s="119" t="str">
        <f>Sheet1!BU31</f>
        <v>NA</v>
      </c>
      <c r="AE30" s="119" t="str">
        <f>Sheet1!BW31</f>
        <v>NA</v>
      </c>
      <c r="AF30" s="119" t="str">
        <f>Sheet1!BY31</f>
        <v>NA</v>
      </c>
      <c r="AG30" s="119" t="str">
        <f>Sheet1!CA31</f>
        <v>NA</v>
      </c>
      <c r="AH30" s="119" t="str">
        <f>Sheet1!CC31</f>
        <v>NA</v>
      </c>
      <c r="AI30" s="119" t="str">
        <f>Sheet1!CE31</f>
        <v>NA</v>
      </c>
      <c r="AJ30" s="119" t="str">
        <f>Sheet1!CG31</f>
        <v>NA</v>
      </c>
      <c r="AK30" s="119" t="str">
        <f>Sheet1!CI31</f>
        <v>NA</v>
      </c>
      <c r="AL30" s="119" t="str">
        <f>Sheet1!CK31</f>
        <v>NA</v>
      </c>
      <c r="AM30" s="119" t="str">
        <f>Sheet1!CM31</f>
        <v>NA</v>
      </c>
      <c r="AN30" s="119" t="str">
        <f>Sheet1!CO31</f>
        <v>NA</v>
      </c>
      <c r="AO30" s="119" t="str">
        <f>Sheet1!CQ31</f>
        <v>NA</v>
      </c>
      <c r="AP30" s="119" t="str">
        <f>Sheet1!CS31</f>
        <v>NA</v>
      </c>
      <c r="AQ30" s="119" t="str">
        <f>Sheet1!CV31</f>
        <v>All</v>
      </c>
      <c r="AR30" s="119" t="str">
        <f>Sheet1!CW31</f>
        <v>NS</v>
      </c>
      <c r="AS30" s="119" t="str">
        <f>Sheet1!CY31</f>
        <v>NS</v>
      </c>
      <c r="AT30" s="119" t="str">
        <f>Sheet1!DA31</f>
        <v>all</v>
      </c>
      <c r="AU30" s="119" t="str">
        <f>Sheet1!DC31</f>
        <v>some</v>
      </c>
      <c r="AV30" s="119" t="str">
        <f>Sheet1!DE31</f>
        <v>all</v>
      </c>
      <c r="AW30" s="119" t="str">
        <f>Sheet1!DG31</f>
        <v>all</v>
      </c>
      <c r="AX30" s="119" t="str">
        <f>Sheet1!DI31</f>
        <v>all</v>
      </c>
      <c r="AY30" s="119" t="str">
        <f>Sheet1!DK31</f>
        <v>yes</v>
      </c>
      <c r="AZ30" s="119" t="str">
        <f>Sheet1!DM31</f>
        <v>all</v>
      </c>
      <c r="BA30" s="119" t="str">
        <f>Sheet1!DO31</f>
        <v>NS</v>
      </c>
      <c r="BB30" s="119" t="str">
        <f>Sheet1!DQ31</f>
        <v>NS</v>
      </c>
      <c r="BC30" s="119" t="str">
        <f>Sheet1!DS31</f>
        <v>NS</v>
      </c>
      <c r="BD30" s="119" t="str">
        <f>Sheet1!DU31</f>
        <v>NS</v>
      </c>
      <c r="BE30" s="119" t="str">
        <f>IF(Sheet1!DW31="Psychotic Disorder","yes","no")</f>
        <v>yes</v>
      </c>
      <c r="BF30" s="119" t="str">
        <f>Sheet1!DY31</f>
        <v>NS</v>
      </c>
      <c r="BG30" s="119" t="str">
        <f>Sheet1!EA31</f>
        <v>DSM-IV</v>
      </c>
      <c r="BH30" s="119">
        <f>Sheet1!EW31</f>
        <v>9</v>
      </c>
    </row>
    <row r="31" spans="1:60" ht="15.75" customHeight="1">
      <c r="A31" s="119" t="str">
        <f>Sheet1!A32</f>
        <v>Sullivan</v>
      </c>
      <c r="B31" s="119">
        <f>Sheet1!B32</f>
        <v>2020</v>
      </c>
      <c r="C31" s="120" t="str">
        <f>_xlfn.CONCAT(data!A31," ",data!B33)</f>
        <v>Sullivan 2006</v>
      </c>
      <c r="D31" s="119" t="str">
        <f>Sheet1!C32</f>
        <v>NS</v>
      </c>
      <c r="E31" s="119" t="str">
        <f>Sheet1!E32</f>
        <v>NS</v>
      </c>
      <c r="F31" s="119" t="str">
        <f>Sheet1!G32</f>
        <v>NS</v>
      </c>
      <c r="G31" s="119" t="str">
        <f>Sheet1!I32</f>
        <v>NS</v>
      </c>
      <c r="H31" s="119" t="str">
        <f>Sheet1!K32</f>
        <v>NS</v>
      </c>
      <c r="I31" s="119" t="str">
        <f>Sheet1!O32</f>
        <v>NS</v>
      </c>
      <c r="J31" s="119" t="str">
        <f>Sheet1!U32</f>
        <v>NS</v>
      </c>
      <c r="K31" s="119" t="str">
        <f>Sheet1!W32</f>
        <v>NS</v>
      </c>
      <c r="L31" s="119" t="str">
        <f>Sheet1!Y32</f>
        <v>NS</v>
      </c>
      <c r="M31" s="119" t="str">
        <f>Sheet1!AA32</f>
        <v>NS</v>
      </c>
      <c r="N31" s="119" t="str">
        <f>Sheet1!AC32</f>
        <v>mixture</v>
      </c>
      <c r="O31" s="121" t="str">
        <f>Sheet1!AF32</f>
        <v>euro</v>
      </c>
      <c r="P31" s="119" t="str">
        <f>Sheet1!AI32</f>
        <v>yes</v>
      </c>
      <c r="Q31" s="119" t="str">
        <f>Sheet1!AK32</f>
        <v>no</v>
      </c>
      <c r="R31" s="119">
        <f>Sheet1!AY32</f>
        <v>313</v>
      </c>
      <c r="S31" s="119">
        <f>Sheet1!BC32</f>
        <v>67</v>
      </c>
      <c r="T31" s="119"/>
      <c r="U31" s="119"/>
      <c r="V31" s="119"/>
      <c r="W31" s="119" t="str">
        <f>Sheet1!BG32</f>
        <v>multiple</v>
      </c>
      <c r="X31" s="119">
        <f>Sheet1!BI32</f>
        <v>59</v>
      </c>
      <c r="Y31" s="119">
        <f>Sheet1!BK32</f>
        <v>8</v>
      </c>
      <c r="Z31" s="119" t="str">
        <f>Sheet1!BM32</f>
        <v>NA</v>
      </c>
      <c r="AA31" s="119" t="str">
        <f>Sheet1!BO32</f>
        <v>NA</v>
      </c>
      <c r="AB31" s="119">
        <f>Sheet1!BQ32</f>
        <v>8</v>
      </c>
      <c r="AC31" s="119" t="str">
        <f>Sheet1!BS32</f>
        <v>NA</v>
      </c>
      <c r="AD31" s="119" t="str">
        <f>Sheet1!BU32</f>
        <v>NA</v>
      </c>
      <c r="AE31" s="119" t="str">
        <f>Sheet1!BW32</f>
        <v>NA</v>
      </c>
      <c r="AF31" s="119" t="str">
        <f>Sheet1!BY32</f>
        <v>NA</v>
      </c>
      <c r="AG31" s="119" t="str">
        <f>Sheet1!CA32</f>
        <v>NA</v>
      </c>
      <c r="AH31" s="119" t="str">
        <f>Sheet1!CC32</f>
        <v>NA</v>
      </c>
      <c r="AI31" s="119" t="str">
        <f>Sheet1!CE32</f>
        <v>NA</v>
      </c>
      <c r="AJ31" s="119" t="str">
        <f>Sheet1!CG32</f>
        <v>NA</v>
      </c>
      <c r="AK31" s="119" t="str">
        <f>Sheet1!CI32</f>
        <v>NA</v>
      </c>
      <c r="AL31" s="119" t="str">
        <f>Sheet1!CK32</f>
        <v>NA</v>
      </c>
      <c r="AM31" s="119" t="str">
        <f>Sheet1!CM32</f>
        <v>NA</v>
      </c>
      <c r="AN31" s="119" t="str">
        <f>Sheet1!CO32</f>
        <v>NA</v>
      </c>
      <c r="AO31" s="119" t="str">
        <f>Sheet1!CQ32</f>
        <v>NA</v>
      </c>
      <c r="AP31" s="119">
        <f>Sheet1!CS32</f>
        <v>59</v>
      </c>
      <c r="AQ31" s="119" t="str">
        <f>Sheet1!CV32</f>
        <v>NS</v>
      </c>
      <c r="AR31" s="119" t="str">
        <f>Sheet1!CW32</f>
        <v>NS</v>
      </c>
      <c r="AS31" s="119" t="str">
        <f>Sheet1!CY32</f>
        <v>NS</v>
      </c>
      <c r="AT31" s="119" t="str">
        <f>Sheet1!DA32</f>
        <v>NS</v>
      </c>
      <c r="AU31" s="119" t="str">
        <f>Sheet1!DC32</f>
        <v>NS</v>
      </c>
      <c r="AV31" s="119" t="str">
        <f>Sheet1!DE32</f>
        <v>NS</v>
      </c>
      <c r="AW31" s="119" t="str">
        <f>Sheet1!DG32</f>
        <v>NS</v>
      </c>
      <c r="AX31" s="119" t="str">
        <f>Sheet1!DI32</f>
        <v>all</v>
      </c>
      <c r="AY31" s="119" t="str">
        <f>Sheet1!DK32</f>
        <v>yes</v>
      </c>
      <c r="AZ31" s="119" t="str">
        <f>Sheet1!DM32</f>
        <v>NS</v>
      </c>
      <c r="BA31" s="119" t="str">
        <f>Sheet1!DO32</f>
        <v>NS</v>
      </c>
      <c r="BB31" s="119" t="str">
        <f>Sheet1!DQ32</f>
        <v>NS</v>
      </c>
      <c r="BC31" s="119" t="str">
        <f>Sheet1!DS32</f>
        <v>NS</v>
      </c>
      <c r="BD31" s="119" t="str">
        <f>Sheet1!DU32</f>
        <v>NS</v>
      </c>
      <c r="BE31" s="119" t="str">
        <f>IF(Sheet1!DW32="Psychotic Disorder","yes","no")</f>
        <v>no</v>
      </c>
      <c r="BF31" s="119" t="str">
        <f>Sheet1!DY32</f>
        <v>NS</v>
      </c>
      <c r="BG31" s="119" t="str">
        <f>Sheet1!EA32</f>
        <v>NS</v>
      </c>
      <c r="BH31" s="119">
        <f>Sheet1!EW32</f>
        <v>7</v>
      </c>
    </row>
    <row r="32" spans="1:60" ht="15.75" customHeight="1">
      <c r="A32" s="119" t="str">
        <f>Sheet1!A33</f>
        <v>Thompson</v>
      </c>
      <c r="B32" s="119">
        <f>Sheet1!B33</f>
        <v>2016</v>
      </c>
      <c r="C32" s="120" t="str">
        <f>_xlfn.CONCAT(data!A32," ",data!B34)</f>
        <v>Thompson 2014</v>
      </c>
      <c r="D32" s="119">
        <f>Sheet1!C33</f>
        <v>658</v>
      </c>
      <c r="E32" s="119">
        <f>Sheet1!E33</f>
        <v>296</v>
      </c>
      <c r="F32" s="119">
        <f>Sheet1!G33</f>
        <v>21.3</v>
      </c>
      <c r="G32" s="119">
        <f>Sheet1!I33</f>
        <v>20.7</v>
      </c>
      <c r="H32" s="119">
        <f>Sheet1!K33</f>
        <v>21.3</v>
      </c>
      <c r="I32" s="119">
        <f>Sheet1!O33</f>
        <v>710</v>
      </c>
      <c r="J32" s="119">
        <f>Sheet1!U33</f>
        <v>0</v>
      </c>
      <c r="K32" s="119">
        <f>Sheet1!W33</f>
        <v>0</v>
      </c>
      <c r="L32" s="119">
        <f>Sheet1!Y33</f>
        <v>954</v>
      </c>
      <c r="M32" s="119">
        <f>Sheet1!AA33</f>
        <v>0</v>
      </c>
      <c r="N32" s="119" t="str">
        <f>Sheet1!AC33</f>
        <v>outpat_psych</v>
      </c>
      <c r="O32" s="121" t="str">
        <f>Sheet1!AF33</f>
        <v>euro</v>
      </c>
      <c r="P32" s="119" t="str">
        <f>Sheet1!AI33</f>
        <v>no</v>
      </c>
      <c r="Q32" s="119" t="str">
        <f>Sheet1!AK33</f>
        <v>yes</v>
      </c>
      <c r="R32" s="119">
        <f>Sheet1!AY33</f>
        <v>954</v>
      </c>
      <c r="S32" s="119">
        <f>Sheet1!BC33</f>
        <v>67</v>
      </c>
      <c r="T32" s="119"/>
      <c r="U32" s="119"/>
      <c r="V32" s="119"/>
      <c r="W32" s="119" t="str">
        <f>Sheet1!BG33</f>
        <v>single</v>
      </c>
      <c r="X32" s="119" t="str">
        <f>Sheet1!BI33</f>
        <v>NA</v>
      </c>
      <c r="Y32" s="119">
        <f>Sheet1!BK33</f>
        <v>67</v>
      </c>
      <c r="Z32" s="119" t="str">
        <f>Sheet1!BM33</f>
        <v>NA</v>
      </c>
      <c r="AA32" s="119" t="str">
        <f>Sheet1!BO33</f>
        <v>NA</v>
      </c>
      <c r="AB32" s="119">
        <f>Sheet1!BQ33</f>
        <v>67</v>
      </c>
      <c r="AC32" s="119" t="str">
        <f>Sheet1!BS33</f>
        <v>NA</v>
      </c>
      <c r="AD32" s="119" t="str">
        <f>Sheet1!BU33</f>
        <v>NA</v>
      </c>
      <c r="AE32" s="119" t="str">
        <f>Sheet1!BW33</f>
        <v>NA</v>
      </c>
      <c r="AF32" s="119" t="str">
        <f>Sheet1!BY33</f>
        <v>NA</v>
      </c>
      <c r="AG32" s="119" t="str">
        <f>Sheet1!CA33</f>
        <v>NA</v>
      </c>
      <c r="AH32" s="119" t="str">
        <f>Sheet1!CC33</f>
        <v>NA</v>
      </c>
      <c r="AI32" s="119" t="str">
        <f>Sheet1!CE33</f>
        <v>NA</v>
      </c>
      <c r="AJ32" s="119" t="str">
        <f>Sheet1!CG33</f>
        <v>NA</v>
      </c>
      <c r="AK32" s="119" t="str">
        <f>Sheet1!CI33</f>
        <v>NA</v>
      </c>
      <c r="AL32" s="119" t="str">
        <f>Sheet1!CK33</f>
        <v>NA</v>
      </c>
      <c r="AM32" s="119" t="str">
        <f>Sheet1!CM33</f>
        <v>NA</v>
      </c>
      <c r="AN32" s="119" t="str">
        <f>Sheet1!CO33</f>
        <v>NA</v>
      </c>
      <c r="AO32" s="119" t="str">
        <f>Sheet1!CQ33</f>
        <v>NA</v>
      </c>
      <c r="AP32" s="119" t="str">
        <f>Sheet1!CS33</f>
        <v>NA</v>
      </c>
      <c r="AQ32" s="119" t="str">
        <f>Sheet1!CV33</f>
        <v>NS</v>
      </c>
      <c r="AR32" s="119" t="str">
        <f>Sheet1!CW33</f>
        <v>NS</v>
      </c>
      <c r="AS32" s="119" t="str">
        <f>Sheet1!CY33</f>
        <v>NS</v>
      </c>
      <c r="AT32" s="119" t="str">
        <f>Sheet1!DA33</f>
        <v>NS</v>
      </c>
      <c r="AU32" s="119" t="str">
        <f>Sheet1!DC33</f>
        <v>NS</v>
      </c>
      <c r="AV32" s="119" t="str">
        <f>Sheet1!DE33</f>
        <v>NS</v>
      </c>
      <c r="AW32" s="119" t="str">
        <f>Sheet1!DG33</f>
        <v>NS</v>
      </c>
      <c r="AX32" s="119" t="str">
        <f>Sheet1!DI33</f>
        <v>all</v>
      </c>
      <c r="AY32" s="119" t="str">
        <f>Sheet1!DK33</f>
        <v>yes</v>
      </c>
      <c r="AZ32" s="119" t="str">
        <f>Sheet1!DM33</f>
        <v>NS</v>
      </c>
      <c r="BA32" s="119" t="str">
        <f>Sheet1!DO33</f>
        <v>NS</v>
      </c>
      <c r="BB32" s="119" t="str">
        <f>Sheet1!DQ33</f>
        <v>NS</v>
      </c>
      <c r="BC32" s="119" t="str">
        <f>Sheet1!DS33</f>
        <v>NS</v>
      </c>
      <c r="BD32" s="119" t="str">
        <f>Sheet1!DU33</f>
        <v>NS</v>
      </c>
      <c r="BE32" s="119" t="str">
        <f>IF(Sheet1!DW33="Psychotic Disorder","yes","no")</f>
        <v>yes</v>
      </c>
      <c r="BF32" s="119" t="str">
        <f>Sheet1!DY33</f>
        <v>OPCRIT, Clinical Assessment</v>
      </c>
      <c r="BG32" s="119" t="str">
        <f>Sheet1!EA33</f>
        <v>ICD-10</v>
      </c>
      <c r="BH32" s="119">
        <f>Sheet1!EW33</f>
        <v>9</v>
      </c>
    </row>
    <row r="33" spans="1:60" ht="15.75" customHeight="1">
      <c r="A33" s="119" t="str">
        <f>Sheet1!A34</f>
        <v>Turner</v>
      </c>
      <c r="B33" s="119">
        <f>Sheet1!B34</f>
        <v>2006</v>
      </c>
      <c r="C33" s="120" t="str">
        <f>_xlfn.CONCAT(data!A33," ",data!B35)</f>
        <v>Turner 2021</v>
      </c>
      <c r="D33" s="119" t="str">
        <f>Sheet1!C34</f>
        <v>NS</v>
      </c>
      <c r="E33" s="119" t="str">
        <f>Sheet1!E34</f>
        <v>NS</v>
      </c>
      <c r="F33" s="119" t="str">
        <f>Sheet1!G34</f>
        <v>NS</v>
      </c>
      <c r="G33" s="119" t="str">
        <f>Sheet1!I34</f>
        <v>NS</v>
      </c>
      <c r="H33" s="119" t="str">
        <f>Sheet1!K34</f>
        <v>NS</v>
      </c>
      <c r="I33" s="119" t="str">
        <f>Sheet1!O34</f>
        <v>NS</v>
      </c>
      <c r="J33" s="119" t="str">
        <f>Sheet1!U34</f>
        <v>NS</v>
      </c>
      <c r="K33" s="119" t="str">
        <f>Sheet1!W34</f>
        <v>NS</v>
      </c>
      <c r="L33" s="119" t="str">
        <f>Sheet1!Y34</f>
        <v>NS</v>
      </c>
      <c r="M33" s="119" t="str">
        <f>Sheet1!AA34</f>
        <v>NS</v>
      </c>
      <c r="N33" s="119" t="str">
        <f>Sheet1!AC34</f>
        <v>mixture</v>
      </c>
      <c r="O33" s="121" t="str">
        <f>Sheet1!AF34</f>
        <v>aus</v>
      </c>
      <c r="P33" s="119" t="str">
        <f>Sheet1!AI34</f>
        <v>yes</v>
      </c>
      <c r="Q33" s="119" t="str">
        <f>Sheet1!AK34</f>
        <v>yes</v>
      </c>
      <c r="R33" s="119">
        <f>Sheet1!AY34</f>
        <v>117</v>
      </c>
      <c r="S33" s="119">
        <f>Sheet1!BC34</f>
        <v>9</v>
      </c>
      <c r="T33" s="119"/>
      <c r="U33" s="119"/>
      <c r="V33" s="119"/>
      <c r="W33" s="119" t="str">
        <f>Sheet1!BG34</f>
        <v>single</v>
      </c>
      <c r="X33" s="119" t="str">
        <f>Sheet1!BI34</f>
        <v>NA</v>
      </c>
      <c r="Y33" s="119">
        <f>Sheet1!BK34</f>
        <v>9</v>
      </c>
      <c r="Z33" s="119" t="str">
        <f>Sheet1!BM34</f>
        <v>NA</v>
      </c>
      <c r="AA33" s="119" t="str">
        <f>Sheet1!BO34</f>
        <v>NA</v>
      </c>
      <c r="AB33" s="119">
        <f>Sheet1!BQ34</f>
        <v>9</v>
      </c>
      <c r="AC33" s="119" t="str">
        <f>Sheet1!BS34</f>
        <v>NA</v>
      </c>
      <c r="AD33" s="119" t="str">
        <f>Sheet1!BU34</f>
        <v>NA</v>
      </c>
      <c r="AE33" s="119" t="str">
        <f>Sheet1!BW34</f>
        <v>NA</v>
      </c>
      <c r="AF33" s="119" t="str">
        <f>Sheet1!BY34</f>
        <v>NA</v>
      </c>
      <c r="AG33" s="119" t="str">
        <f>Sheet1!CA34</f>
        <v>NA</v>
      </c>
      <c r="AH33" s="119" t="str">
        <f>Sheet1!CC34</f>
        <v>NA</v>
      </c>
      <c r="AI33" s="119" t="str">
        <f>Sheet1!CE34</f>
        <v>NA</v>
      </c>
      <c r="AJ33" s="119" t="str">
        <f>Sheet1!CG34</f>
        <v>NA</v>
      </c>
      <c r="AK33" s="119" t="str">
        <f>Sheet1!CI34</f>
        <v>NA</v>
      </c>
      <c r="AL33" s="119" t="str">
        <f>Sheet1!CK34</f>
        <v>NA</v>
      </c>
      <c r="AM33" s="119" t="str">
        <f>Sheet1!CM34</f>
        <v>NA</v>
      </c>
      <c r="AN33" s="119" t="str">
        <f>Sheet1!CO34</f>
        <v>NA</v>
      </c>
      <c r="AO33" s="119" t="str">
        <f>Sheet1!CQ34</f>
        <v>NA</v>
      </c>
      <c r="AP33" s="119" t="str">
        <f>Sheet1!CS34</f>
        <v>NA</v>
      </c>
      <c r="AQ33" s="119" t="str">
        <f>Sheet1!CV34</f>
        <v>NS</v>
      </c>
      <c r="AR33" s="119" t="str">
        <f>Sheet1!CW34</f>
        <v>NS</v>
      </c>
      <c r="AS33" s="119" t="str">
        <f>Sheet1!CY34</f>
        <v>NS</v>
      </c>
      <c r="AT33" s="119" t="str">
        <f>Sheet1!DA34</f>
        <v>NS</v>
      </c>
      <c r="AU33" s="119" t="str">
        <f>Sheet1!DC34</f>
        <v>NS</v>
      </c>
      <c r="AV33" s="119" t="str">
        <f>Sheet1!DE34</f>
        <v>NS</v>
      </c>
      <c r="AW33" s="119" t="str">
        <f>Sheet1!DG34</f>
        <v>NS</v>
      </c>
      <c r="AX33" s="119" t="str">
        <f>Sheet1!DI34</f>
        <v>all</v>
      </c>
      <c r="AY33" s="119" t="str">
        <f>Sheet1!DK34</f>
        <v>yes</v>
      </c>
      <c r="AZ33" s="119" t="str">
        <f>Sheet1!DM34</f>
        <v>NS</v>
      </c>
      <c r="BA33" s="119" t="str">
        <f>Sheet1!DO34</f>
        <v>NS</v>
      </c>
      <c r="BB33" s="119" t="str">
        <f>Sheet1!DQ34</f>
        <v>NS</v>
      </c>
      <c r="BC33" s="119" t="str">
        <f>Sheet1!DS34</f>
        <v>NS</v>
      </c>
      <c r="BD33" s="119" t="str">
        <f>Sheet1!DU34</f>
        <v>NS</v>
      </c>
      <c r="BE33" s="119" t="str">
        <f>IF(Sheet1!DW34="Psychotic Disorder","yes","no")</f>
        <v>yes</v>
      </c>
      <c r="BF33" s="119" t="str">
        <f>Sheet1!DY34</f>
        <v>Clinical Assessment</v>
      </c>
      <c r="BG33" s="119" t="str">
        <f>Sheet1!EA34</f>
        <v>DSM-IV</v>
      </c>
      <c r="BH33" s="119">
        <f>Sheet1!EW34</f>
        <v>8</v>
      </c>
    </row>
    <row r="34" spans="1:60" ht="15.75" customHeight="1">
      <c r="A34" s="119" t="str">
        <f>Sheet1!A35</f>
        <v>Williams</v>
      </c>
      <c r="B34" s="119">
        <f>Sheet1!B35</f>
        <v>2014</v>
      </c>
      <c r="C34" s="120" t="str">
        <f>_xlfn.CONCAT(data!A34," ",data!B36)</f>
        <v xml:space="preserve">Williams </v>
      </c>
      <c r="D34" s="119" t="str">
        <f>Sheet1!C35</f>
        <v>NS</v>
      </c>
      <c r="E34" s="119" t="str">
        <f>Sheet1!E35</f>
        <v>NS</v>
      </c>
      <c r="F34" s="119" t="str">
        <f>Sheet1!G35</f>
        <v>NS</v>
      </c>
      <c r="G34" s="119" t="str">
        <f>Sheet1!I35</f>
        <v>NS</v>
      </c>
      <c r="H34" s="119" t="str">
        <f>Sheet1!K35</f>
        <v>NS</v>
      </c>
      <c r="I34" s="119" t="str">
        <f>Sheet1!O35</f>
        <v>NS</v>
      </c>
      <c r="J34" s="119">
        <f>Sheet1!U35</f>
        <v>0</v>
      </c>
      <c r="K34" s="119">
        <f>Sheet1!W35</f>
        <v>115</v>
      </c>
      <c r="L34" s="119">
        <f>Sheet1!Y35</f>
        <v>0</v>
      </c>
      <c r="M34" s="119">
        <f>Sheet1!AA35</f>
        <v>0</v>
      </c>
      <c r="N34" s="119" t="str">
        <f>Sheet1!AC35</f>
        <v>inpat_psych</v>
      </c>
      <c r="O34" s="121" t="str">
        <f>Sheet1!AF35</f>
        <v>n_am</v>
      </c>
      <c r="P34" s="119" t="str">
        <f>Sheet1!AI35</f>
        <v>no</v>
      </c>
      <c r="Q34" s="119" t="str">
        <f>Sheet1!AK35</f>
        <v>yes</v>
      </c>
      <c r="R34" s="119">
        <f>Sheet1!AY35</f>
        <v>115</v>
      </c>
      <c r="S34" s="119">
        <f>Sheet1!BC35</f>
        <v>0</v>
      </c>
      <c r="T34" s="119"/>
      <c r="U34" s="119"/>
      <c r="V34" s="119"/>
      <c r="W34" s="119" t="str">
        <f>Sheet1!BG35</f>
        <v>multiple</v>
      </c>
      <c r="X34" s="119">
        <f>Sheet1!BI35</f>
        <v>0</v>
      </c>
      <c r="Y34" s="119" t="str">
        <f>Sheet1!BK35</f>
        <v>NA</v>
      </c>
      <c r="Z34" s="119">
        <f>Sheet1!BM35</f>
        <v>0</v>
      </c>
      <c r="AA34" s="119">
        <f>Sheet1!BO35</f>
        <v>0</v>
      </c>
      <c r="AB34" s="119">
        <f>Sheet1!BQ35</f>
        <v>0</v>
      </c>
      <c r="AC34" s="119">
        <f>Sheet1!BS35</f>
        <v>0</v>
      </c>
      <c r="AD34" s="119">
        <f>Sheet1!BU35</f>
        <v>0</v>
      </c>
      <c r="AE34" s="119">
        <f>Sheet1!BW35</f>
        <v>0</v>
      </c>
      <c r="AF34" s="119">
        <f>Sheet1!BY35</f>
        <v>0</v>
      </c>
      <c r="AG34" s="119">
        <f>Sheet1!CA35</f>
        <v>0</v>
      </c>
      <c r="AH34" s="119">
        <f>Sheet1!CC35</f>
        <v>0</v>
      </c>
      <c r="AI34" s="119">
        <f>Sheet1!CE35</f>
        <v>0</v>
      </c>
      <c r="AJ34" s="119">
        <f>Sheet1!CG35</f>
        <v>0</v>
      </c>
      <c r="AK34" s="119">
        <f>Sheet1!CI35</f>
        <v>0</v>
      </c>
      <c r="AL34" s="119">
        <f>Sheet1!CK35</f>
        <v>0</v>
      </c>
      <c r="AM34" s="119">
        <f>Sheet1!CM35</f>
        <v>0</v>
      </c>
      <c r="AN34" s="119">
        <f>Sheet1!CO35</f>
        <v>0</v>
      </c>
      <c r="AO34" s="119">
        <f>Sheet1!CQ35</f>
        <v>0</v>
      </c>
      <c r="AP34" s="119">
        <f>Sheet1!CS35</f>
        <v>0</v>
      </c>
      <c r="AQ34" s="119" t="str">
        <f>Sheet1!CV35</f>
        <v>some</v>
      </c>
      <c r="AR34" s="119" t="str">
        <f>Sheet1!CW35</f>
        <v>some</v>
      </c>
      <c r="AS34" s="119" t="str">
        <f>Sheet1!CY35</f>
        <v>NS</v>
      </c>
      <c r="AT34" s="119" t="str">
        <f>Sheet1!DA35</f>
        <v>some</v>
      </c>
      <c r="AU34" s="119" t="str">
        <f>Sheet1!DC35</f>
        <v>NS</v>
      </c>
      <c r="AV34" s="119" t="str">
        <f>Sheet1!DE35</f>
        <v>yes - NS</v>
      </c>
      <c r="AW34" s="119" t="str">
        <f>Sheet1!DG35</f>
        <v>yes - NS</v>
      </c>
      <c r="AX34" s="119" t="str">
        <f>Sheet1!DI35</f>
        <v>NS</v>
      </c>
      <c r="AY34" s="119" t="str">
        <f>Sheet1!DK35</f>
        <v>NS</v>
      </c>
      <c r="AZ34" s="119" t="str">
        <f>Sheet1!DM35</f>
        <v>NS</v>
      </c>
      <c r="BA34" s="119" t="str">
        <f>Sheet1!DO35</f>
        <v>NS</v>
      </c>
      <c r="BB34" s="119" t="str">
        <f>Sheet1!DQ35</f>
        <v>NS</v>
      </c>
      <c r="BC34" s="119" t="str">
        <f>Sheet1!DS35</f>
        <v>NS</v>
      </c>
      <c r="BD34" s="119" t="str">
        <f>Sheet1!DU35</f>
        <v>NS</v>
      </c>
      <c r="BE34" s="119" t="str">
        <f>IF(Sheet1!DW35="Psychotic Disorder","yes","no")</f>
        <v>yes</v>
      </c>
      <c r="BF34" s="119" t="str">
        <f>Sheet1!DY35</f>
        <v>NS</v>
      </c>
      <c r="BG34" s="119" t="str">
        <f>Sheet1!EA35</f>
        <v>NS</v>
      </c>
      <c r="BH34" s="119">
        <f>Sheet1!EW35</f>
        <v>10</v>
      </c>
    </row>
    <row r="35" spans="1:60" ht="15.75" customHeight="1">
      <c r="A35" s="119" t="str">
        <f>Sheet1!A36</f>
        <v>Yaxley</v>
      </c>
      <c r="B35" s="119">
        <f>Sheet1!B36</f>
        <v>2021</v>
      </c>
      <c r="C35" s="120" t="str">
        <f>_xlfn.CONCAT(data!A35," ",data!B37)</f>
        <v xml:space="preserve">Yaxley </v>
      </c>
      <c r="D35" s="119" t="str">
        <f>Sheet1!C36</f>
        <v>NS</v>
      </c>
      <c r="E35" s="119" t="str">
        <f>Sheet1!E36</f>
        <v>NS</v>
      </c>
      <c r="F35" s="119" t="str">
        <f>Sheet1!G36</f>
        <v>NS</v>
      </c>
      <c r="G35" s="119" t="str">
        <f>Sheet1!I36</f>
        <v>NS</v>
      </c>
      <c r="H35" s="119" t="str">
        <f>Sheet1!K36</f>
        <v>NS</v>
      </c>
      <c r="I35" s="119" t="str">
        <f>Sheet1!O36</f>
        <v>NS</v>
      </c>
      <c r="J35" s="119" t="str">
        <f>Sheet1!U36</f>
        <v>NS</v>
      </c>
      <c r="K35" s="119" t="str">
        <f>Sheet1!W36</f>
        <v>NS</v>
      </c>
      <c r="L35" s="119" t="str">
        <f>Sheet1!Y36</f>
        <v>NS</v>
      </c>
      <c r="M35" s="119" t="str">
        <f>Sheet1!AA36</f>
        <v>NS</v>
      </c>
      <c r="N35" s="119" t="str">
        <f>Sheet1!AC36</f>
        <v>inpat_psych</v>
      </c>
      <c r="O35" s="121" t="str">
        <f>Sheet1!AF36</f>
        <v>aus</v>
      </c>
      <c r="P35" s="119" t="str">
        <f>Sheet1!AI36</f>
        <v>no</v>
      </c>
      <c r="Q35" s="119" t="str">
        <f>Sheet1!AK36</f>
        <v>yes</v>
      </c>
      <c r="R35" s="119">
        <f>Sheet1!AY36</f>
        <v>132</v>
      </c>
      <c r="S35" s="119">
        <f>Sheet1!BC36</f>
        <v>45</v>
      </c>
      <c r="T35" s="119"/>
      <c r="U35" s="119"/>
      <c r="V35" s="119"/>
      <c r="W35" s="119" t="str">
        <f>Sheet1!BG36</f>
        <v>multiple</v>
      </c>
      <c r="X35" s="119">
        <f>Sheet1!BI36</f>
        <v>1</v>
      </c>
      <c r="Y35" s="119">
        <f>Sheet1!BK36</f>
        <v>44</v>
      </c>
      <c r="Z35" s="119">
        <f>Sheet1!BM36</f>
        <v>0</v>
      </c>
      <c r="AA35" s="119">
        <f>Sheet1!BO36</f>
        <v>0</v>
      </c>
      <c r="AB35" s="119">
        <f>Sheet1!BQ36</f>
        <v>44</v>
      </c>
      <c r="AC35" s="119">
        <f>Sheet1!BS36</f>
        <v>0</v>
      </c>
      <c r="AD35" s="119">
        <f>Sheet1!BU36</f>
        <v>0</v>
      </c>
      <c r="AE35" s="119">
        <f>Sheet1!BW36</f>
        <v>0</v>
      </c>
      <c r="AF35" s="119">
        <f>Sheet1!BY36</f>
        <v>0</v>
      </c>
      <c r="AG35" s="119">
        <f>Sheet1!CA36</f>
        <v>0</v>
      </c>
      <c r="AH35" s="119">
        <f>Sheet1!CC36</f>
        <v>0</v>
      </c>
      <c r="AI35" s="119">
        <f>Sheet1!CE36</f>
        <v>1</v>
      </c>
      <c r="AJ35" s="119">
        <f>Sheet1!CG36</f>
        <v>0</v>
      </c>
      <c r="AK35" s="119">
        <f>Sheet1!CI36</f>
        <v>0</v>
      </c>
      <c r="AL35" s="119">
        <f>Sheet1!CK36</f>
        <v>0</v>
      </c>
      <c r="AM35" s="119">
        <f>Sheet1!CM36</f>
        <v>0</v>
      </c>
      <c r="AN35" s="119">
        <f>Sheet1!CO36</f>
        <v>0</v>
      </c>
      <c r="AO35" s="119">
        <f>Sheet1!CQ36</f>
        <v>0</v>
      </c>
      <c r="AP35" s="119">
        <f>Sheet1!CS36</f>
        <v>0</v>
      </c>
      <c r="AQ35" s="119" t="str">
        <f>Sheet1!CV36</f>
        <v>Some</v>
      </c>
      <c r="AR35" s="119" t="str">
        <f>Sheet1!CW36</f>
        <v>some</v>
      </c>
      <c r="AS35" s="119" t="str">
        <f>Sheet1!CY36</f>
        <v>NS</v>
      </c>
      <c r="AT35" s="119" t="str">
        <f>Sheet1!DA36</f>
        <v>NS</v>
      </c>
      <c r="AU35" s="119" t="str">
        <f>Sheet1!DC36</f>
        <v>NS</v>
      </c>
      <c r="AV35" s="119" t="str">
        <f>Sheet1!DE36</f>
        <v>some</v>
      </c>
      <c r="AW35" s="119" t="str">
        <f>Sheet1!DG36</f>
        <v>some</v>
      </c>
      <c r="AX35" s="119" t="str">
        <f>Sheet1!DI36</f>
        <v>NS</v>
      </c>
      <c r="AY35" s="119" t="str">
        <f>Sheet1!DK36</f>
        <v>NS</v>
      </c>
      <c r="AZ35" s="119" t="str">
        <f>Sheet1!DM36</f>
        <v>NS</v>
      </c>
      <c r="BA35" s="119" t="str">
        <f>Sheet1!DO36</f>
        <v>NS</v>
      </c>
      <c r="BB35" s="119" t="str">
        <f>Sheet1!DQ36</f>
        <v>NS</v>
      </c>
      <c r="BC35" s="119" t="str">
        <f>Sheet1!DS36</f>
        <v>NS</v>
      </c>
      <c r="BD35" s="119" t="str">
        <f>Sheet1!DU36</f>
        <v>NS</v>
      </c>
      <c r="BE35" s="119" t="str">
        <f>IF(Sheet1!DW36="Psychotic Disorder","yes","no")</f>
        <v>yes</v>
      </c>
      <c r="BF35" s="119" t="str">
        <f>Sheet1!DY36</f>
        <v>NS</v>
      </c>
      <c r="BG35" s="119" t="str">
        <f>Sheet1!EA36</f>
        <v>NS</v>
      </c>
      <c r="BH35" s="119">
        <f>Sheet1!EW36</f>
        <v>10</v>
      </c>
    </row>
    <row r="36" spans="1:60" ht="15.7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</row>
    <row r="37" spans="1:60" ht="15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</row>
    <row r="38" spans="1:60" ht="15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</row>
    <row r="39" spans="1:60" ht="15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</row>
    <row r="40" spans="1:60" ht="15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</row>
    <row r="41" spans="1:60" ht="15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</row>
    <row r="42" spans="1:60" ht="15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</row>
    <row r="43" spans="1:60" ht="15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</row>
    <row r="44" spans="1:60" ht="15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</row>
    <row r="45" spans="1:60" ht="15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</row>
    <row r="46" spans="1:60" ht="15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</row>
    <row r="47" spans="1:60" ht="15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</row>
    <row r="48" spans="1:60" ht="15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</row>
    <row r="49" spans="1:60" ht="15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</row>
    <row r="50" spans="1:60" ht="15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</row>
    <row r="51" spans="1:60" ht="15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</row>
    <row r="52" spans="1:60" ht="15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</row>
    <row r="53" spans="1:60" ht="15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</row>
    <row r="54" spans="1:60" ht="15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</row>
    <row r="55" spans="1:60" ht="15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</row>
    <row r="56" spans="1:60" ht="15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</row>
    <row r="57" spans="1:60" ht="15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</row>
    <row r="58" spans="1:60" ht="15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</row>
    <row r="59" spans="1:60" ht="15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</row>
    <row r="60" spans="1:60" ht="15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</row>
    <row r="61" spans="1:60" ht="15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</row>
    <row r="62" spans="1:60" ht="15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</row>
    <row r="63" spans="1:60" ht="15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</row>
    <row r="64" spans="1:60" ht="15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</row>
    <row r="65" spans="1:60" ht="15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</row>
    <row r="66" spans="1:60" ht="15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</row>
    <row r="67" spans="1:60" ht="15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</row>
    <row r="68" spans="1:60" ht="15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</row>
    <row r="69" spans="1:60" ht="15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</row>
    <row r="70" spans="1:60" ht="15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</row>
    <row r="71" spans="1:60" ht="15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</row>
    <row r="72" spans="1:60" ht="15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</row>
    <row r="73" spans="1:60" ht="15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</row>
    <row r="74" spans="1:60" ht="15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</row>
    <row r="75" spans="1:60" ht="15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</row>
    <row r="76" spans="1:60" ht="15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</row>
    <row r="77" spans="1:60" ht="15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</row>
    <row r="78" spans="1:60" ht="15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</row>
    <row r="79" spans="1:60" ht="15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</row>
    <row r="80" spans="1:60" ht="15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</row>
    <row r="81" spans="1:60" ht="15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</row>
    <row r="82" spans="1:60" ht="15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</row>
    <row r="83" spans="1:60" ht="15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</row>
    <row r="84" spans="1:60" ht="15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</row>
    <row r="85" spans="1:60" ht="15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</row>
    <row r="86" spans="1:60" ht="15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</row>
    <row r="87" spans="1:60" ht="15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</row>
    <row r="88" spans="1:60" ht="15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</row>
    <row r="89" spans="1:60" ht="15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</row>
    <row r="90" spans="1:60" ht="15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</row>
    <row r="91" spans="1:60" ht="15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</row>
    <row r="92" spans="1:60" ht="15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</row>
    <row r="93" spans="1:60" ht="15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</row>
    <row r="94" spans="1:60" ht="15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</row>
    <row r="95" spans="1:60" ht="15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</row>
    <row r="96" spans="1:60" ht="15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</row>
    <row r="97" spans="1:60" ht="15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</row>
    <row r="98" spans="1:60" ht="15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</row>
    <row r="99" spans="1:60" ht="15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</row>
    <row r="100" spans="1:60" ht="15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</row>
    <row r="101" spans="1:60" ht="15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</row>
    <row r="102" spans="1:60" ht="15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</row>
    <row r="103" spans="1:60" ht="15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</row>
    <row r="104" spans="1:60" ht="15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</row>
    <row r="105" spans="1:60" ht="15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</row>
    <row r="106" spans="1:60" ht="15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</row>
    <row r="107" spans="1:60" ht="15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</row>
    <row r="108" spans="1:60" ht="15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</row>
    <row r="109" spans="1:60" ht="15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</row>
    <row r="110" spans="1:60" ht="15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</row>
    <row r="111" spans="1:60" ht="15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</row>
    <row r="112" spans="1:60" ht="15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</row>
    <row r="113" spans="1:60" ht="15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</row>
    <row r="114" spans="1:60" ht="15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</row>
    <row r="115" spans="1:60" ht="15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</row>
    <row r="116" spans="1:60" ht="15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</row>
    <row r="117" spans="1:60" ht="15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</row>
    <row r="118" spans="1:60" ht="15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</row>
    <row r="119" spans="1:60" ht="15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</row>
    <row r="120" spans="1:60" ht="15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</row>
    <row r="121" spans="1:60" ht="15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</row>
    <row r="122" spans="1:60" ht="15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</row>
    <row r="123" spans="1:60" ht="15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19"/>
      <c r="BH123" s="119"/>
    </row>
    <row r="124" spans="1:60" ht="15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</row>
    <row r="125" spans="1:60" ht="15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</row>
    <row r="126" spans="1:60" ht="15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9"/>
      <c r="BH126" s="119"/>
    </row>
    <row r="127" spans="1:60" ht="15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  <c r="AV127" s="119"/>
      <c r="AW127" s="119"/>
      <c r="AX127" s="119"/>
      <c r="AY127" s="119"/>
      <c r="AZ127" s="119"/>
      <c r="BA127" s="119"/>
      <c r="BB127" s="119"/>
      <c r="BC127" s="119"/>
      <c r="BD127" s="119"/>
      <c r="BE127" s="119"/>
      <c r="BF127" s="119"/>
      <c r="BG127" s="119"/>
      <c r="BH127" s="119"/>
    </row>
    <row r="128" spans="1:60" ht="15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19"/>
      <c r="BD128" s="119"/>
      <c r="BE128" s="119"/>
      <c r="BF128" s="119"/>
      <c r="BG128" s="119"/>
      <c r="BH128" s="119"/>
    </row>
    <row r="129" spans="1:60" ht="15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  <c r="AV129" s="119"/>
      <c r="AW129" s="119"/>
      <c r="AX129" s="119"/>
      <c r="AY129" s="119"/>
      <c r="AZ129" s="119"/>
      <c r="BA129" s="119"/>
      <c r="BB129" s="119"/>
      <c r="BC129" s="119"/>
      <c r="BD129" s="119"/>
      <c r="BE129" s="119"/>
      <c r="BF129" s="119"/>
      <c r="BG129" s="119"/>
      <c r="BH129" s="119"/>
    </row>
    <row r="130" spans="1:60" ht="15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</row>
    <row r="131" spans="1:60" ht="15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</row>
    <row r="132" spans="1:60" ht="15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</row>
    <row r="133" spans="1:60" ht="15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</row>
    <row r="134" spans="1:60" ht="15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/>
      <c r="BF134" s="119"/>
      <c r="BG134" s="119"/>
      <c r="BH134" s="119"/>
    </row>
    <row r="135" spans="1:60" ht="15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</row>
    <row r="136" spans="1:60" ht="15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</row>
    <row r="137" spans="1:60" ht="15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</row>
    <row r="138" spans="1:60" ht="15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9"/>
      <c r="BC138" s="119"/>
      <c r="BD138" s="119"/>
      <c r="BE138" s="119"/>
      <c r="BF138" s="119"/>
      <c r="BG138" s="119"/>
      <c r="BH138" s="119"/>
    </row>
    <row r="139" spans="1:60" ht="15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  <c r="AV139" s="119"/>
      <c r="AW139" s="119"/>
      <c r="AX139" s="119"/>
      <c r="AY139" s="119"/>
      <c r="AZ139" s="119"/>
      <c r="BA139" s="119"/>
      <c r="BB139" s="119"/>
      <c r="BC139" s="119"/>
      <c r="BD139" s="119"/>
      <c r="BE139" s="119"/>
      <c r="BF139" s="119"/>
      <c r="BG139" s="119"/>
      <c r="BH139" s="119"/>
    </row>
    <row r="140" spans="1:60" ht="15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</row>
    <row r="141" spans="1:60" ht="15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</row>
    <row r="142" spans="1:60" ht="15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9"/>
      <c r="BC142" s="119"/>
      <c r="BD142" s="119"/>
      <c r="BE142" s="119"/>
      <c r="BF142" s="119"/>
      <c r="BG142" s="119"/>
      <c r="BH142" s="119"/>
    </row>
    <row r="143" spans="1:60" ht="15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  <c r="AV143" s="119"/>
      <c r="AW143" s="119"/>
      <c r="AX143" s="119"/>
      <c r="AY143" s="119"/>
      <c r="AZ143" s="119"/>
      <c r="BA143" s="119"/>
      <c r="BB143" s="119"/>
      <c r="BC143" s="119"/>
      <c r="BD143" s="119"/>
      <c r="BE143" s="119"/>
      <c r="BF143" s="119"/>
      <c r="BG143" s="119"/>
      <c r="BH143" s="119"/>
    </row>
    <row r="144" spans="1:60" ht="15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9"/>
      <c r="BC144" s="119"/>
      <c r="BD144" s="119"/>
      <c r="BE144" s="119"/>
      <c r="BF144" s="119"/>
      <c r="BG144" s="119"/>
      <c r="BH144" s="119"/>
    </row>
    <row r="145" spans="1:60" ht="15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  <c r="AV145" s="119"/>
      <c r="AW145" s="119"/>
      <c r="AX145" s="119"/>
      <c r="AY145" s="119"/>
      <c r="AZ145" s="119"/>
      <c r="BA145" s="119"/>
      <c r="BB145" s="119"/>
      <c r="BC145" s="119"/>
      <c r="BD145" s="119"/>
      <c r="BE145" s="119"/>
      <c r="BF145" s="119"/>
      <c r="BG145" s="119"/>
      <c r="BH145" s="119"/>
    </row>
    <row r="146" spans="1:60" ht="15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119"/>
      <c r="AZ146" s="119"/>
      <c r="BA146" s="119"/>
      <c r="BB146" s="119"/>
      <c r="BC146" s="119"/>
      <c r="BD146" s="119"/>
      <c r="BE146" s="119"/>
      <c r="BF146" s="119"/>
      <c r="BG146" s="119"/>
      <c r="BH146" s="119"/>
    </row>
    <row r="147" spans="1:60" ht="15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  <c r="AV147" s="119"/>
      <c r="AW147" s="119"/>
      <c r="AX147" s="119"/>
      <c r="AY147" s="119"/>
      <c r="AZ147" s="119"/>
      <c r="BA147" s="119"/>
      <c r="BB147" s="119"/>
      <c r="BC147" s="119"/>
      <c r="BD147" s="119"/>
      <c r="BE147" s="119"/>
      <c r="BF147" s="119"/>
      <c r="BG147" s="119"/>
      <c r="BH147" s="119"/>
    </row>
    <row r="148" spans="1:60" ht="15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</row>
    <row r="149" spans="1:60" ht="15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</row>
    <row r="150" spans="1:60" ht="15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19"/>
      <c r="BD150" s="119"/>
      <c r="BE150" s="119"/>
      <c r="BF150" s="119"/>
      <c r="BG150" s="119"/>
      <c r="BH150" s="119"/>
    </row>
    <row r="151" spans="1:60" ht="15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  <c r="AV151" s="119"/>
      <c r="AW151" s="119"/>
      <c r="AX151" s="119"/>
      <c r="AY151" s="119"/>
      <c r="AZ151" s="119"/>
      <c r="BA151" s="119"/>
      <c r="BB151" s="119"/>
      <c r="BC151" s="119"/>
      <c r="BD151" s="119"/>
      <c r="BE151" s="119"/>
      <c r="BF151" s="119"/>
      <c r="BG151" s="119"/>
      <c r="BH151" s="119"/>
    </row>
    <row r="152" spans="1:60" ht="15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9"/>
      <c r="BC152" s="119"/>
      <c r="BD152" s="119"/>
      <c r="BE152" s="119"/>
      <c r="BF152" s="119"/>
      <c r="BG152" s="119"/>
      <c r="BH152" s="119"/>
    </row>
    <row r="153" spans="1:60" ht="15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  <c r="AV153" s="119"/>
      <c r="AW153" s="119"/>
      <c r="AX153" s="119"/>
      <c r="AY153" s="119"/>
      <c r="AZ153" s="119"/>
      <c r="BA153" s="119"/>
      <c r="BB153" s="119"/>
      <c r="BC153" s="119"/>
      <c r="BD153" s="119"/>
      <c r="BE153" s="119"/>
      <c r="BF153" s="119"/>
      <c r="BG153" s="119"/>
      <c r="BH153" s="119"/>
    </row>
    <row r="154" spans="1:60" ht="15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9"/>
      <c r="BC154" s="119"/>
      <c r="BD154" s="119"/>
      <c r="BE154" s="119"/>
      <c r="BF154" s="119"/>
      <c r="BG154" s="119"/>
      <c r="BH154" s="119"/>
    </row>
    <row r="155" spans="1:60" ht="15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19"/>
      <c r="BG155" s="119"/>
      <c r="BH155" s="119"/>
    </row>
    <row r="156" spans="1:60" ht="15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</row>
    <row r="157" spans="1:60" ht="15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119"/>
      <c r="AZ157" s="119"/>
      <c r="BA157" s="119"/>
      <c r="BB157" s="119"/>
      <c r="BC157" s="119"/>
      <c r="BD157" s="119"/>
      <c r="BE157" s="119"/>
      <c r="BF157" s="119"/>
      <c r="BG157" s="119"/>
      <c r="BH157" s="119"/>
    </row>
    <row r="158" spans="1:60" ht="15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</row>
    <row r="159" spans="1:60" ht="15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</row>
    <row r="160" spans="1:60" ht="15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19"/>
      <c r="BD160" s="119"/>
      <c r="BE160" s="119"/>
      <c r="BF160" s="119"/>
      <c r="BG160" s="119"/>
      <c r="BH160" s="119"/>
    </row>
    <row r="161" spans="1:60" ht="15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19"/>
      <c r="BG161" s="119"/>
      <c r="BH161" s="119"/>
    </row>
    <row r="162" spans="1:60" ht="15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19"/>
      <c r="BD162" s="119"/>
      <c r="BE162" s="119"/>
      <c r="BF162" s="119"/>
      <c r="BG162" s="119"/>
      <c r="BH162" s="119"/>
    </row>
    <row r="163" spans="1:60" ht="15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119"/>
      <c r="AZ163" s="119"/>
      <c r="BA163" s="119"/>
      <c r="BB163" s="119"/>
      <c r="BC163" s="119"/>
      <c r="BD163" s="119"/>
      <c r="BE163" s="119"/>
      <c r="BF163" s="119"/>
      <c r="BG163" s="119"/>
      <c r="BH163" s="119"/>
    </row>
    <row r="164" spans="1:60" ht="15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C164" s="119"/>
      <c r="BD164" s="119"/>
      <c r="BE164" s="119"/>
      <c r="BF164" s="119"/>
      <c r="BG164" s="119"/>
      <c r="BH164" s="119"/>
    </row>
    <row r="165" spans="1:60" ht="15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C165" s="119"/>
      <c r="BD165" s="119"/>
      <c r="BE165" s="119"/>
      <c r="BF165" s="119"/>
      <c r="BG165" s="119"/>
      <c r="BH165" s="119"/>
    </row>
    <row r="166" spans="1:60" ht="15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</row>
    <row r="167" spans="1:60" ht="15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</row>
    <row r="168" spans="1:60" ht="15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</row>
    <row r="169" spans="1:60" ht="15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19"/>
      <c r="BD169" s="119"/>
      <c r="BE169" s="119"/>
      <c r="BF169" s="119"/>
      <c r="BG169" s="119"/>
      <c r="BH169" s="119"/>
    </row>
    <row r="170" spans="1:60" ht="15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  <c r="AV170" s="119"/>
      <c r="AW170" s="119"/>
      <c r="AX170" s="119"/>
      <c r="AY170" s="119"/>
      <c r="AZ170" s="119"/>
      <c r="BA170" s="119"/>
      <c r="BB170" s="119"/>
      <c r="BC170" s="119"/>
      <c r="BD170" s="119"/>
      <c r="BE170" s="119"/>
      <c r="BF170" s="119"/>
      <c r="BG170" s="119"/>
      <c r="BH170" s="119"/>
    </row>
    <row r="171" spans="1:60" ht="15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</row>
    <row r="172" spans="1:60" ht="15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19"/>
      <c r="BD172" s="119"/>
      <c r="BE172" s="119"/>
      <c r="BF172" s="119"/>
      <c r="BG172" s="119"/>
      <c r="BH172" s="119"/>
    </row>
    <row r="173" spans="1:60" ht="15.7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</row>
    <row r="174" spans="1:60" ht="15.7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</row>
    <row r="175" spans="1:60" ht="15.7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</row>
    <row r="176" spans="1:60" ht="15.7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19"/>
      <c r="BD176" s="119"/>
      <c r="BE176" s="119"/>
      <c r="BF176" s="119"/>
      <c r="BG176" s="119"/>
      <c r="BH176" s="119"/>
    </row>
    <row r="177" spans="1:60" ht="15.7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19"/>
      <c r="BD177" s="119"/>
      <c r="BE177" s="119"/>
      <c r="BF177" s="119"/>
      <c r="BG177" s="119"/>
      <c r="BH177" s="119"/>
    </row>
    <row r="178" spans="1:60" ht="15.7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19"/>
      <c r="BD178" s="119"/>
      <c r="BE178" s="119"/>
      <c r="BF178" s="119"/>
      <c r="BG178" s="119"/>
      <c r="BH178" s="119"/>
    </row>
    <row r="179" spans="1:60" ht="15.7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/>
      <c r="BE179" s="119"/>
      <c r="BF179" s="119"/>
      <c r="BG179" s="119"/>
      <c r="BH179" s="119"/>
    </row>
    <row r="180" spans="1:60" ht="15.7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19"/>
      <c r="BD180" s="119"/>
      <c r="BE180" s="119"/>
      <c r="BF180" s="119"/>
      <c r="BG180" s="119"/>
      <c r="BH180" s="119"/>
    </row>
    <row r="181" spans="1:60" ht="15.7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</row>
    <row r="182" spans="1:60" ht="15.7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</row>
    <row r="183" spans="1:60" ht="15.7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</row>
    <row r="184" spans="1:60" ht="15.7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</row>
    <row r="185" spans="1:60" ht="15.7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</row>
    <row r="186" spans="1:60" ht="15.7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</row>
    <row r="187" spans="1:60" ht="15.7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</row>
    <row r="188" spans="1:60" ht="15.7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</row>
    <row r="189" spans="1:60" ht="15.7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</row>
    <row r="190" spans="1:60" ht="15.7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19"/>
      <c r="BD190" s="119"/>
      <c r="BE190" s="119"/>
      <c r="BF190" s="119"/>
      <c r="BG190" s="119"/>
      <c r="BH190" s="119"/>
    </row>
    <row r="191" spans="1:60" ht="15.7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19"/>
      <c r="BD191" s="119"/>
      <c r="BE191" s="119"/>
      <c r="BF191" s="119"/>
      <c r="BG191" s="119"/>
      <c r="BH191" s="119"/>
    </row>
    <row r="192" spans="1:60" ht="15.7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19"/>
      <c r="BD192" s="119"/>
      <c r="BE192" s="119"/>
      <c r="BF192" s="119"/>
      <c r="BG192" s="119"/>
      <c r="BH192" s="119"/>
    </row>
    <row r="193" spans="1:60" ht="15.7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19"/>
      <c r="BD193" s="119"/>
      <c r="BE193" s="119"/>
      <c r="BF193" s="119"/>
      <c r="BG193" s="119"/>
      <c r="BH193" s="119"/>
    </row>
    <row r="194" spans="1:60" ht="15.7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19"/>
      <c r="BD194" s="119"/>
      <c r="BE194" s="119"/>
      <c r="BF194" s="119"/>
      <c r="BG194" s="119"/>
      <c r="BH194" s="119"/>
    </row>
    <row r="195" spans="1:60" ht="15.7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19"/>
      <c r="BD195" s="119"/>
      <c r="BE195" s="119"/>
      <c r="BF195" s="119"/>
      <c r="BG195" s="119"/>
      <c r="BH195" s="119"/>
    </row>
    <row r="196" spans="1:60" ht="15.7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19"/>
      <c r="BD196" s="119"/>
      <c r="BE196" s="119"/>
      <c r="BF196" s="119"/>
      <c r="BG196" s="119"/>
      <c r="BH196" s="119"/>
    </row>
    <row r="197" spans="1:60" ht="15.7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19"/>
      <c r="BD197" s="119"/>
      <c r="BE197" s="119"/>
      <c r="BF197" s="119"/>
      <c r="BG197" s="119"/>
      <c r="BH197" s="119"/>
    </row>
    <row r="198" spans="1:60" ht="15.7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19"/>
      <c r="BD198" s="119"/>
      <c r="BE198" s="119"/>
      <c r="BF198" s="119"/>
      <c r="BG198" s="119"/>
      <c r="BH198" s="119"/>
    </row>
    <row r="199" spans="1:60" ht="15.7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</row>
    <row r="200" spans="1:60" ht="15.7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19"/>
      <c r="BD200" s="119"/>
      <c r="BE200" s="119"/>
      <c r="BF200" s="119"/>
      <c r="BG200" s="119"/>
      <c r="BH200" s="119"/>
    </row>
    <row r="201" spans="1:60" ht="15.7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</row>
    <row r="202" spans="1:60" ht="15.7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</row>
    <row r="203" spans="1:60" ht="15.7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</row>
    <row r="204" spans="1:60" ht="15.7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</row>
    <row r="205" spans="1:60" ht="15.7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</row>
    <row r="206" spans="1:60" ht="15.7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</row>
    <row r="207" spans="1:60" ht="15.7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</row>
    <row r="208" spans="1:60" ht="15.7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9"/>
      <c r="AV208" s="119"/>
      <c r="AW208" s="119"/>
      <c r="AX208" s="119"/>
      <c r="AY208" s="119"/>
      <c r="AZ208" s="119"/>
      <c r="BA208" s="119"/>
      <c r="BB208" s="119"/>
      <c r="BC208" s="119"/>
      <c r="BD208" s="119"/>
      <c r="BE208" s="119"/>
      <c r="BF208" s="119"/>
      <c r="BG208" s="119"/>
      <c r="BH208" s="119"/>
    </row>
    <row r="209" spans="1:60" ht="15.7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19"/>
      <c r="BA209" s="119"/>
      <c r="BB209" s="119"/>
      <c r="BC209" s="119"/>
      <c r="BD209" s="119"/>
      <c r="BE209" s="119"/>
      <c r="BF209" s="119"/>
      <c r="BG209" s="119"/>
      <c r="BH209" s="119"/>
    </row>
    <row r="210" spans="1:60" ht="15.7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19"/>
      <c r="AS210" s="119"/>
      <c r="AT210" s="119"/>
      <c r="AU210" s="119"/>
      <c r="AV210" s="119"/>
      <c r="AW210" s="119"/>
      <c r="AX210" s="119"/>
      <c r="AY210" s="119"/>
      <c r="AZ210" s="119"/>
      <c r="BA210" s="119"/>
      <c r="BB210" s="119"/>
      <c r="BC210" s="119"/>
      <c r="BD210" s="119"/>
      <c r="BE210" s="119"/>
      <c r="BF210" s="119"/>
      <c r="BG210" s="119"/>
      <c r="BH210" s="119"/>
    </row>
    <row r="211" spans="1:60" ht="15.7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</row>
    <row r="212" spans="1:60" ht="15.7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9"/>
      <c r="AV212" s="119"/>
      <c r="AW212" s="119"/>
      <c r="AX212" s="119"/>
      <c r="AY212" s="119"/>
      <c r="AZ212" s="119"/>
      <c r="BA212" s="119"/>
      <c r="BB212" s="119"/>
      <c r="BC212" s="119"/>
      <c r="BD212" s="119"/>
      <c r="BE212" s="119"/>
      <c r="BF212" s="119"/>
      <c r="BG212" s="119"/>
      <c r="BH212" s="119"/>
    </row>
    <row r="213" spans="1:60" ht="15.7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9"/>
      <c r="BC213" s="119"/>
      <c r="BD213" s="119"/>
      <c r="BE213" s="119"/>
      <c r="BF213" s="119"/>
      <c r="BG213" s="119"/>
      <c r="BH213" s="119"/>
    </row>
    <row r="214" spans="1:60" ht="15.7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</row>
    <row r="215" spans="1:60" ht="15.7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</row>
    <row r="216" spans="1:60" ht="15.7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9"/>
      <c r="AV216" s="119"/>
      <c r="AW216" s="119"/>
      <c r="AX216" s="119"/>
      <c r="AY216" s="119"/>
      <c r="AZ216" s="119"/>
      <c r="BA216" s="119"/>
      <c r="BB216" s="119"/>
      <c r="BC216" s="119"/>
      <c r="BD216" s="119"/>
      <c r="BE216" s="119"/>
      <c r="BF216" s="119"/>
      <c r="BG216" s="119"/>
      <c r="BH216" s="119"/>
    </row>
    <row r="217" spans="1:60" ht="15.7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9"/>
      <c r="AV217" s="119"/>
      <c r="AW217" s="119"/>
      <c r="AX217" s="119"/>
      <c r="AY217" s="119"/>
      <c r="AZ217" s="119"/>
      <c r="BA217" s="119"/>
      <c r="BB217" s="119"/>
      <c r="BC217" s="119"/>
      <c r="BD217" s="119"/>
      <c r="BE217" s="119"/>
      <c r="BF217" s="119"/>
      <c r="BG217" s="119"/>
      <c r="BH217" s="119"/>
    </row>
    <row r="218" spans="1:60" ht="15.7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9"/>
      <c r="AV218" s="119"/>
      <c r="AW218" s="119"/>
      <c r="AX218" s="119"/>
      <c r="AY218" s="119"/>
      <c r="AZ218" s="119"/>
      <c r="BA218" s="119"/>
      <c r="BB218" s="119"/>
      <c r="BC218" s="119"/>
      <c r="BD218" s="119"/>
      <c r="BE218" s="119"/>
      <c r="BF218" s="119"/>
      <c r="BG218" s="119"/>
      <c r="BH218" s="119"/>
    </row>
    <row r="219" spans="1:60" ht="15.7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/>
      <c r="AS219" s="119"/>
      <c r="AT219" s="119"/>
      <c r="AU219" s="119"/>
      <c r="AV219" s="119"/>
      <c r="AW219" s="119"/>
      <c r="AX219" s="119"/>
      <c r="AY219" s="119"/>
      <c r="AZ219" s="119"/>
      <c r="BA219" s="119"/>
      <c r="BB219" s="119"/>
      <c r="BC219" s="119"/>
      <c r="BD219" s="119"/>
      <c r="BE219" s="119"/>
      <c r="BF219" s="119"/>
      <c r="BG219" s="119"/>
      <c r="BH219" s="119"/>
    </row>
    <row r="220" spans="1:60" ht="15.7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9"/>
      <c r="AS220" s="119"/>
      <c r="AT220" s="119"/>
      <c r="AU220" s="119"/>
      <c r="AV220" s="119"/>
      <c r="AW220" s="119"/>
      <c r="AX220" s="119"/>
      <c r="AY220" s="119"/>
      <c r="AZ220" s="119"/>
      <c r="BA220" s="119"/>
      <c r="BB220" s="119"/>
      <c r="BC220" s="119"/>
      <c r="BD220" s="119"/>
      <c r="BE220" s="119"/>
      <c r="BF220" s="119"/>
      <c r="BG220" s="119"/>
      <c r="BH220" s="119"/>
    </row>
    <row r="221" spans="1:60" ht="15.7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9"/>
      <c r="AV221" s="119"/>
      <c r="AW221" s="119"/>
      <c r="AX221" s="119"/>
      <c r="AY221" s="119"/>
      <c r="AZ221" s="119"/>
      <c r="BA221" s="119"/>
      <c r="BB221" s="119"/>
      <c r="BC221" s="119"/>
      <c r="BD221" s="119"/>
      <c r="BE221" s="119"/>
      <c r="BF221" s="119"/>
      <c r="BG221" s="119"/>
      <c r="BH221" s="119"/>
    </row>
    <row r="222" spans="1:60" ht="15.7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9"/>
      <c r="AV222" s="119"/>
      <c r="AW222" s="119"/>
      <c r="AX222" s="119"/>
      <c r="AY222" s="119"/>
      <c r="AZ222" s="119"/>
      <c r="BA222" s="119"/>
      <c r="BB222" s="119"/>
      <c r="BC222" s="119"/>
      <c r="BD222" s="119"/>
      <c r="BE222" s="119"/>
      <c r="BF222" s="119"/>
      <c r="BG222" s="119"/>
      <c r="BH222" s="119"/>
    </row>
    <row r="223" spans="1:60" ht="15.7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9"/>
      <c r="AS223" s="119"/>
      <c r="AT223" s="119"/>
      <c r="AU223" s="119"/>
      <c r="AV223" s="119"/>
      <c r="AW223" s="119"/>
      <c r="AX223" s="119"/>
      <c r="AY223" s="119"/>
      <c r="AZ223" s="119"/>
      <c r="BA223" s="119"/>
      <c r="BB223" s="119"/>
      <c r="BC223" s="119"/>
      <c r="BD223" s="119"/>
      <c r="BE223" s="119"/>
      <c r="BF223" s="119"/>
      <c r="BG223" s="119"/>
      <c r="BH223" s="119"/>
    </row>
    <row r="224" spans="1:60" ht="15.7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</row>
    <row r="225" spans="1:60" ht="15.7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9"/>
      <c r="BG225" s="119"/>
      <c r="BH225" s="119"/>
    </row>
    <row r="226" spans="1:60" ht="15.7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</row>
    <row r="227" spans="1:60" ht="15.7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</row>
    <row r="228" spans="1:60" ht="15.7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19"/>
      <c r="BD228" s="119"/>
      <c r="BE228" s="119"/>
      <c r="BF228" s="119"/>
      <c r="BG228" s="119"/>
      <c r="BH228" s="119"/>
    </row>
    <row r="229" spans="1:60" ht="15.7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9"/>
      <c r="AV229" s="119"/>
      <c r="AW229" s="119"/>
      <c r="AX229" s="119"/>
      <c r="AY229" s="119"/>
      <c r="AZ229" s="119"/>
      <c r="BA229" s="119"/>
      <c r="BB229" s="119"/>
      <c r="BC229" s="119"/>
      <c r="BD229" s="119"/>
      <c r="BE229" s="119"/>
      <c r="BF229" s="119"/>
      <c r="BG229" s="119"/>
      <c r="BH229" s="119"/>
    </row>
    <row r="230" spans="1:60" ht="15.7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19"/>
      <c r="BC230" s="119"/>
      <c r="BD230" s="119"/>
      <c r="BE230" s="119"/>
      <c r="BF230" s="119"/>
      <c r="BG230" s="119"/>
      <c r="BH230" s="119"/>
    </row>
    <row r="231" spans="1:60" ht="15.7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19"/>
      <c r="AS231" s="119"/>
      <c r="AT231" s="119"/>
      <c r="AU231" s="119"/>
      <c r="AV231" s="119"/>
      <c r="AW231" s="119"/>
      <c r="AX231" s="119"/>
      <c r="AY231" s="119"/>
      <c r="AZ231" s="119"/>
      <c r="BA231" s="119"/>
      <c r="BB231" s="119"/>
      <c r="BC231" s="119"/>
      <c r="BD231" s="119"/>
      <c r="BE231" s="119"/>
      <c r="BF231" s="119"/>
      <c r="BG231" s="119"/>
      <c r="BH231" s="119"/>
    </row>
    <row r="232" spans="1:60" ht="15.7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R232" s="119"/>
      <c r="AS232" s="119"/>
      <c r="AT232" s="119"/>
      <c r="AU232" s="119"/>
      <c r="AV232" s="119"/>
      <c r="AW232" s="119"/>
      <c r="AX232" s="119"/>
      <c r="AY232" s="119"/>
      <c r="AZ232" s="119"/>
      <c r="BA232" s="119"/>
      <c r="BB232" s="119"/>
      <c r="BC232" s="119"/>
      <c r="BD232" s="119"/>
      <c r="BE232" s="119"/>
      <c r="BF232" s="119"/>
      <c r="BG232" s="119"/>
      <c r="BH232" s="119"/>
    </row>
    <row r="233" spans="1:60" ht="15.7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</row>
    <row r="234" spans="1:60" ht="15.7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R234" s="119"/>
      <c r="AS234" s="119"/>
      <c r="AT234" s="119"/>
      <c r="AU234" s="119"/>
      <c r="AV234" s="119"/>
      <c r="AW234" s="119"/>
      <c r="AX234" s="119"/>
      <c r="AY234" s="119"/>
      <c r="AZ234" s="119"/>
      <c r="BA234" s="119"/>
      <c r="BB234" s="119"/>
      <c r="BC234" s="119"/>
      <c r="BD234" s="119"/>
      <c r="BE234" s="119"/>
      <c r="BF234" s="119"/>
      <c r="BG234" s="119"/>
      <c r="BH234" s="119"/>
    </row>
    <row r="235" spans="1:60" ht="15.7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19"/>
      <c r="AS235" s="119"/>
      <c r="AT235" s="119"/>
      <c r="AU235" s="119"/>
      <c r="AV235" s="119"/>
      <c r="AW235" s="119"/>
      <c r="AX235" s="119"/>
      <c r="AY235" s="119"/>
      <c r="AZ235" s="119"/>
      <c r="BA235" s="119"/>
      <c r="BB235" s="119"/>
      <c r="BC235" s="119"/>
      <c r="BD235" s="119"/>
      <c r="BE235" s="119"/>
      <c r="BF235" s="119"/>
      <c r="BG235" s="119"/>
      <c r="BH235" s="119"/>
    </row>
    <row r="236" spans="1:60" ht="15.7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19"/>
      <c r="AS236" s="119"/>
      <c r="AT236" s="119"/>
      <c r="AU236" s="119"/>
      <c r="AV236" s="119"/>
      <c r="AW236" s="119"/>
      <c r="AX236" s="119"/>
      <c r="AY236" s="119"/>
      <c r="AZ236" s="119"/>
      <c r="BA236" s="119"/>
      <c r="BB236" s="119"/>
      <c r="BC236" s="119"/>
      <c r="BD236" s="119"/>
      <c r="BE236" s="119"/>
      <c r="BF236" s="119"/>
      <c r="BG236" s="119"/>
      <c r="BH236" s="119"/>
    </row>
    <row r="237" spans="1:60" ht="15.7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9"/>
      <c r="AV237" s="119"/>
      <c r="AW237" s="119"/>
      <c r="AX237" s="119"/>
      <c r="AY237" s="119"/>
      <c r="AZ237" s="119"/>
      <c r="BA237" s="119"/>
      <c r="BB237" s="119"/>
      <c r="BC237" s="119"/>
      <c r="BD237" s="119"/>
      <c r="BE237" s="119"/>
      <c r="BF237" s="119"/>
      <c r="BG237" s="119"/>
      <c r="BH237" s="119"/>
    </row>
    <row r="238" spans="1:60" ht="15.7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9"/>
      <c r="AV238" s="119"/>
      <c r="AW238" s="119"/>
      <c r="AX238" s="119"/>
      <c r="AY238" s="119"/>
      <c r="AZ238" s="119"/>
      <c r="BA238" s="119"/>
      <c r="BB238" s="119"/>
      <c r="BC238" s="119"/>
      <c r="BD238" s="119"/>
      <c r="BE238" s="119"/>
      <c r="BF238" s="119"/>
      <c r="BG238" s="119"/>
      <c r="BH238" s="119"/>
    </row>
    <row r="239" spans="1:60" ht="15.7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R239" s="119"/>
      <c r="AS239" s="119"/>
      <c r="AT239" s="119"/>
      <c r="AU239" s="119"/>
      <c r="AV239" s="119"/>
      <c r="AW239" s="119"/>
      <c r="AX239" s="119"/>
      <c r="AY239" s="119"/>
      <c r="AZ239" s="119"/>
      <c r="BA239" s="119"/>
      <c r="BB239" s="119"/>
      <c r="BC239" s="119"/>
      <c r="BD239" s="119"/>
      <c r="BE239" s="119"/>
      <c r="BF239" s="119"/>
      <c r="BG239" s="119"/>
      <c r="BH239" s="119"/>
    </row>
    <row r="240" spans="1:60" ht="15.7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9"/>
      <c r="AV240" s="119"/>
      <c r="AW240" s="119"/>
      <c r="AX240" s="119"/>
      <c r="AY240" s="119"/>
      <c r="AZ240" s="119"/>
      <c r="BA240" s="119"/>
      <c r="BB240" s="119"/>
      <c r="BC240" s="119"/>
      <c r="BD240" s="119"/>
      <c r="BE240" s="119"/>
      <c r="BF240" s="119"/>
      <c r="BG240" s="119"/>
      <c r="BH240" s="119"/>
    </row>
    <row r="241" spans="1:60" ht="15.7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9"/>
      <c r="AV241" s="119"/>
      <c r="AW241" s="119"/>
      <c r="AX241" s="119"/>
      <c r="AY241" s="119"/>
      <c r="AZ241" s="119"/>
      <c r="BA241" s="119"/>
      <c r="BB241" s="119"/>
      <c r="BC241" s="119"/>
      <c r="BD241" s="119"/>
      <c r="BE241" s="119"/>
      <c r="BF241" s="119"/>
      <c r="BG241" s="119"/>
      <c r="BH241" s="119"/>
    </row>
    <row r="242" spans="1:60" ht="15.7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</row>
    <row r="243" spans="1:60" ht="15.7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</row>
    <row r="244" spans="1:60" ht="15.7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9"/>
      <c r="AV244" s="119"/>
      <c r="AW244" s="119"/>
      <c r="AX244" s="119"/>
      <c r="AY244" s="119"/>
      <c r="AZ244" s="119"/>
      <c r="BA244" s="119"/>
      <c r="BB244" s="119"/>
      <c r="BC244" s="119"/>
      <c r="BD244" s="119"/>
      <c r="BE244" s="119"/>
      <c r="BF244" s="119"/>
      <c r="BG244" s="119"/>
      <c r="BH244" s="119"/>
    </row>
    <row r="245" spans="1:60" ht="15.7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9"/>
      <c r="AV245" s="119"/>
      <c r="AW245" s="119"/>
      <c r="AX245" s="119"/>
      <c r="AY245" s="119"/>
      <c r="AZ245" s="119"/>
      <c r="BA245" s="119"/>
      <c r="BB245" s="119"/>
      <c r="BC245" s="119"/>
      <c r="BD245" s="119"/>
      <c r="BE245" s="119"/>
      <c r="BF245" s="119"/>
      <c r="BG245" s="119"/>
      <c r="BH245" s="119"/>
    </row>
    <row r="246" spans="1:60" ht="15.7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9"/>
      <c r="BE246" s="119"/>
      <c r="BF246" s="119"/>
      <c r="BG246" s="119"/>
      <c r="BH246" s="119"/>
    </row>
    <row r="247" spans="1:60" ht="15.7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9"/>
      <c r="AV247" s="119"/>
      <c r="AW247" s="119"/>
      <c r="AX247" s="119"/>
      <c r="AY247" s="119"/>
      <c r="AZ247" s="119"/>
      <c r="BA247" s="119"/>
      <c r="BB247" s="119"/>
      <c r="BC247" s="119"/>
      <c r="BD247" s="119"/>
      <c r="BE247" s="119"/>
      <c r="BF247" s="119"/>
      <c r="BG247" s="119"/>
      <c r="BH247" s="119"/>
    </row>
    <row r="248" spans="1:60" ht="15.7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9"/>
      <c r="AV248" s="119"/>
      <c r="AW248" s="119"/>
      <c r="AX248" s="119"/>
      <c r="AY248" s="119"/>
      <c r="AZ248" s="119"/>
      <c r="BA248" s="119"/>
      <c r="BB248" s="119"/>
      <c r="BC248" s="119"/>
      <c r="BD248" s="119"/>
      <c r="BE248" s="119"/>
      <c r="BF248" s="119"/>
      <c r="BG248" s="119"/>
      <c r="BH248" s="119"/>
    </row>
    <row r="249" spans="1:60" ht="15.7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9"/>
      <c r="AV249" s="119"/>
      <c r="AW249" s="119"/>
      <c r="AX249" s="119"/>
      <c r="AY249" s="119"/>
      <c r="AZ249" s="119"/>
      <c r="BA249" s="119"/>
      <c r="BB249" s="119"/>
      <c r="BC249" s="119"/>
      <c r="BD249" s="119"/>
      <c r="BE249" s="119"/>
      <c r="BF249" s="119"/>
      <c r="BG249" s="119"/>
      <c r="BH249" s="119"/>
    </row>
    <row r="250" spans="1:60" ht="15.7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9"/>
      <c r="AV250" s="119"/>
      <c r="AW250" s="119"/>
      <c r="AX250" s="119"/>
      <c r="AY250" s="119"/>
      <c r="AZ250" s="119"/>
      <c r="BA250" s="119"/>
      <c r="BB250" s="119"/>
      <c r="BC250" s="119"/>
      <c r="BD250" s="119"/>
      <c r="BE250" s="119"/>
      <c r="BF250" s="119"/>
      <c r="BG250" s="119"/>
      <c r="BH250" s="119"/>
    </row>
    <row r="251" spans="1:60" ht="15.7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9"/>
      <c r="AV251" s="119"/>
      <c r="AW251" s="119"/>
      <c r="AX251" s="119"/>
      <c r="AY251" s="119"/>
      <c r="AZ251" s="119"/>
      <c r="BA251" s="119"/>
      <c r="BB251" s="119"/>
      <c r="BC251" s="119"/>
      <c r="BD251" s="119"/>
      <c r="BE251" s="119"/>
      <c r="BF251" s="119"/>
      <c r="BG251" s="119"/>
      <c r="BH251" s="119"/>
    </row>
    <row r="252" spans="1:60" ht="15.7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</row>
    <row r="253" spans="1:60" ht="15.7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9"/>
      <c r="AV253" s="119"/>
      <c r="AW253" s="119"/>
      <c r="AX253" s="119"/>
      <c r="AY253" s="119"/>
      <c r="AZ253" s="119"/>
      <c r="BA253" s="119"/>
      <c r="BB253" s="119"/>
      <c r="BC253" s="119"/>
      <c r="BD253" s="119"/>
      <c r="BE253" s="119"/>
      <c r="BF253" s="119"/>
      <c r="BG253" s="119"/>
      <c r="BH253" s="119"/>
    </row>
    <row r="254" spans="1:60" ht="15.7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9"/>
      <c r="BD254" s="119"/>
      <c r="BE254" s="119"/>
      <c r="BF254" s="119"/>
      <c r="BG254" s="119"/>
      <c r="BH254" s="119"/>
    </row>
    <row r="255" spans="1:60" ht="15.7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</row>
    <row r="256" spans="1:60" ht="15.7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</row>
    <row r="257" spans="1:60" ht="15.7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</row>
    <row r="258" spans="1:60" ht="15.7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</row>
    <row r="259" spans="1:60" ht="15.7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119"/>
      <c r="BG259" s="119"/>
      <c r="BH259" s="119"/>
    </row>
    <row r="260" spans="1:60" ht="15.7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19"/>
      <c r="AS260" s="119"/>
      <c r="AT260" s="119"/>
      <c r="AU260" s="119"/>
      <c r="AV260" s="119"/>
      <c r="AW260" s="119"/>
      <c r="AX260" s="119"/>
      <c r="AY260" s="119"/>
      <c r="AZ260" s="119"/>
      <c r="BA260" s="119"/>
      <c r="BB260" s="119"/>
      <c r="BC260" s="119"/>
      <c r="BD260" s="119"/>
      <c r="BE260" s="119"/>
      <c r="BF260" s="119"/>
      <c r="BG260" s="119"/>
      <c r="BH260" s="119"/>
    </row>
    <row r="261" spans="1:60" ht="15.7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19"/>
      <c r="AS261" s="119"/>
      <c r="AT261" s="119"/>
      <c r="AU261" s="119"/>
      <c r="AV261" s="119"/>
      <c r="AW261" s="119"/>
      <c r="AX261" s="119"/>
      <c r="AY261" s="119"/>
      <c r="AZ261" s="119"/>
      <c r="BA261" s="119"/>
      <c r="BB261" s="119"/>
      <c r="BC261" s="119"/>
      <c r="BD261" s="119"/>
      <c r="BE261" s="119"/>
      <c r="BF261" s="119"/>
      <c r="BG261" s="119"/>
      <c r="BH261" s="119"/>
    </row>
    <row r="262" spans="1:60" ht="15.7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19"/>
      <c r="AS262" s="119"/>
      <c r="AT262" s="119"/>
      <c r="AU262" s="119"/>
      <c r="AV262" s="119"/>
      <c r="AW262" s="119"/>
      <c r="AX262" s="119"/>
      <c r="AY262" s="119"/>
      <c r="AZ262" s="119"/>
      <c r="BA262" s="119"/>
      <c r="BB262" s="119"/>
      <c r="BC262" s="119"/>
      <c r="BD262" s="119"/>
      <c r="BE262" s="119"/>
      <c r="BF262" s="119"/>
      <c r="BG262" s="119"/>
      <c r="BH262" s="119"/>
    </row>
    <row r="263" spans="1:60" ht="15.7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19"/>
      <c r="AS263" s="119"/>
      <c r="AT263" s="119"/>
      <c r="AU263" s="119"/>
      <c r="AV263" s="119"/>
      <c r="AW263" s="119"/>
      <c r="AX263" s="119"/>
      <c r="AY263" s="119"/>
      <c r="AZ263" s="119"/>
      <c r="BA263" s="119"/>
      <c r="BB263" s="119"/>
      <c r="BC263" s="119"/>
      <c r="BD263" s="119"/>
      <c r="BE263" s="119"/>
      <c r="BF263" s="119"/>
      <c r="BG263" s="119"/>
      <c r="BH263" s="119"/>
    </row>
    <row r="264" spans="1:60" ht="15.7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19"/>
      <c r="AS264" s="119"/>
      <c r="AT264" s="119"/>
      <c r="AU264" s="119"/>
      <c r="AV264" s="119"/>
      <c r="AW264" s="119"/>
      <c r="AX264" s="119"/>
      <c r="AY264" s="119"/>
      <c r="AZ264" s="119"/>
      <c r="BA264" s="119"/>
      <c r="BB264" s="119"/>
      <c r="BC264" s="119"/>
      <c r="BD264" s="119"/>
      <c r="BE264" s="119"/>
      <c r="BF264" s="119"/>
      <c r="BG264" s="119"/>
      <c r="BH264" s="119"/>
    </row>
    <row r="265" spans="1:60" ht="15.7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19"/>
      <c r="AS265" s="119"/>
      <c r="AT265" s="119"/>
      <c r="AU265" s="119"/>
      <c r="AV265" s="119"/>
      <c r="AW265" s="119"/>
      <c r="AX265" s="119"/>
      <c r="AY265" s="119"/>
      <c r="AZ265" s="119"/>
      <c r="BA265" s="119"/>
      <c r="BB265" s="119"/>
      <c r="BC265" s="119"/>
      <c r="BD265" s="119"/>
      <c r="BE265" s="119"/>
      <c r="BF265" s="119"/>
      <c r="BG265" s="119"/>
      <c r="BH265" s="119"/>
    </row>
    <row r="266" spans="1:60" ht="15.7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19"/>
      <c r="BC266" s="119"/>
      <c r="BD266" s="119"/>
      <c r="BE266" s="119"/>
      <c r="BF266" s="119"/>
      <c r="BG266" s="119"/>
      <c r="BH266" s="119"/>
    </row>
    <row r="267" spans="1:60" ht="15.7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9"/>
      <c r="AV267" s="119"/>
      <c r="AW267" s="119"/>
      <c r="AX267" s="119"/>
      <c r="AY267" s="119"/>
      <c r="AZ267" s="119"/>
      <c r="BA267" s="119"/>
      <c r="BB267" s="119"/>
      <c r="BC267" s="119"/>
      <c r="BD267" s="119"/>
      <c r="BE267" s="119"/>
      <c r="BF267" s="119"/>
      <c r="BG267" s="119"/>
      <c r="BH267" s="119"/>
    </row>
    <row r="268" spans="1:60" ht="15.7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  <c r="BH268" s="119"/>
    </row>
    <row r="269" spans="1:60" ht="15.7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  <c r="BH269" s="119"/>
    </row>
    <row r="270" spans="1:60" ht="15.7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9"/>
      <c r="AV270" s="119"/>
      <c r="AW270" s="119"/>
      <c r="AX270" s="119"/>
      <c r="AY270" s="119"/>
      <c r="AZ270" s="119"/>
      <c r="BA270" s="119"/>
      <c r="BB270" s="119"/>
      <c r="BC270" s="119"/>
      <c r="BD270" s="119"/>
      <c r="BE270" s="119"/>
      <c r="BF270" s="119"/>
      <c r="BG270" s="119"/>
      <c r="BH270" s="119"/>
    </row>
    <row r="271" spans="1:60" ht="15.7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19"/>
      <c r="BD271" s="119"/>
      <c r="BE271" s="119"/>
      <c r="BF271" s="119"/>
      <c r="BG271" s="119"/>
      <c r="BH271" s="119"/>
    </row>
    <row r="272" spans="1:60" ht="15.7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9"/>
      <c r="AV272" s="119"/>
      <c r="AW272" s="119"/>
      <c r="AX272" s="119"/>
      <c r="AY272" s="119"/>
      <c r="AZ272" s="119"/>
      <c r="BA272" s="119"/>
      <c r="BB272" s="119"/>
      <c r="BC272" s="119"/>
      <c r="BD272" s="119"/>
      <c r="BE272" s="119"/>
      <c r="BF272" s="119"/>
      <c r="BG272" s="119"/>
      <c r="BH272" s="119"/>
    </row>
    <row r="273" spans="1:60" ht="15.7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9"/>
      <c r="AV273" s="119"/>
      <c r="AW273" s="119"/>
      <c r="AX273" s="119"/>
      <c r="AY273" s="119"/>
      <c r="AZ273" s="119"/>
      <c r="BA273" s="119"/>
      <c r="BB273" s="119"/>
      <c r="BC273" s="119"/>
      <c r="BD273" s="119"/>
      <c r="BE273" s="119"/>
      <c r="BF273" s="119"/>
      <c r="BG273" s="119"/>
      <c r="BH273" s="119"/>
    </row>
    <row r="274" spans="1:60" ht="15.7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R274" s="119"/>
      <c r="AS274" s="119"/>
      <c r="AT274" s="119"/>
      <c r="AU274" s="119"/>
      <c r="AV274" s="119"/>
      <c r="AW274" s="119"/>
      <c r="AX274" s="119"/>
      <c r="AY274" s="119"/>
      <c r="AZ274" s="119"/>
      <c r="BA274" s="119"/>
      <c r="BB274" s="119"/>
      <c r="BC274" s="119"/>
      <c r="BD274" s="119"/>
      <c r="BE274" s="119"/>
      <c r="BF274" s="119"/>
      <c r="BG274" s="119"/>
      <c r="BH274" s="119"/>
    </row>
    <row r="275" spans="1:60" ht="15.7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  <c r="AP275" s="119"/>
      <c r="AQ275" s="119"/>
      <c r="AR275" s="119"/>
      <c r="AS275" s="119"/>
      <c r="AT275" s="119"/>
      <c r="AU275" s="119"/>
      <c r="AV275" s="119"/>
      <c r="AW275" s="119"/>
      <c r="AX275" s="119"/>
      <c r="AY275" s="119"/>
      <c r="AZ275" s="119"/>
      <c r="BA275" s="119"/>
      <c r="BB275" s="119"/>
      <c r="BC275" s="119"/>
      <c r="BD275" s="119"/>
      <c r="BE275" s="119"/>
      <c r="BF275" s="119"/>
      <c r="BG275" s="119"/>
      <c r="BH275" s="119"/>
    </row>
    <row r="276" spans="1:60" ht="15.7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  <c r="AP276" s="119"/>
      <c r="AQ276" s="119"/>
      <c r="AR276" s="119"/>
      <c r="AS276" s="119"/>
      <c r="AT276" s="119"/>
      <c r="AU276" s="119"/>
      <c r="AV276" s="119"/>
      <c r="AW276" s="119"/>
      <c r="AX276" s="119"/>
      <c r="AY276" s="119"/>
      <c r="AZ276" s="119"/>
      <c r="BA276" s="119"/>
      <c r="BB276" s="119"/>
      <c r="BC276" s="119"/>
      <c r="BD276" s="119"/>
      <c r="BE276" s="119"/>
      <c r="BF276" s="119"/>
      <c r="BG276" s="119"/>
      <c r="BH276" s="119"/>
    </row>
    <row r="277" spans="1:60" ht="15.7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  <c r="AP277" s="119"/>
      <c r="AQ277" s="119"/>
      <c r="AR277" s="119"/>
      <c r="AS277" s="119"/>
      <c r="AT277" s="119"/>
      <c r="AU277" s="119"/>
      <c r="AV277" s="119"/>
      <c r="AW277" s="119"/>
      <c r="AX277" s="119"/>
      <c r="AY277" s="119"/>
      <c r="AZ277" s="119"/>
      <c r="BA277" s="119"/>
      <c r="BB277" s="119"/>
      <c r="BC277" s="119"/>
      <c r="BD277" s="119"/>
      <c r="BE277" s="119"/>
      <c r="BF277" s="119"/>
      <c r="BG277" s="119"/>
      <c r="BH277" s="119"/>
    </row>
    <row r="278" spans="1:60" ht="15.7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  <c r="AP278" s="119"/>
      <c r="AQ278" s="119"/>
      <c r="AR278" s="119"/>
      <c r="AS278" s="119"/>
      <c r="AT278" s="119"/>
      <c r="AU278" s="119"/>
      <c r="AV278" s="119"/>
      <c r="AW278" s="119"/>
      <c r="AX278" s="119"/>
      <c r="AY278" s="119"/>
      <c r="AZ278" s="119"/>
      <c r="BA278" s="119"/>
      <c r="BB278" s="119"/>
      <c r="BC278" s="119"/>
      <c r="BD278" s="119"/>
      <c r="BE278" s="119"/>
      <c r="BF278" s="119"/>
      <c r="BG278" s="119"/>
      <c r="BH278" s="119"/>
    </row>
    <row r="279" spans="1:60" ht="15.7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  <c r="AP279" s="119"/>
      <c r="AQ279" s="119"/>
      <c r="AR279" s="119"/>
      <c r="AS279" s="119"/>
      <c r="AT279" s="119"/>
      <c r="AU279" s="119"/>
      <c r="AV279" s="119"/>
      <c r="AW279" s="119"/>
      <c r="AX279" s="119"/>
      <c r="AY279" s="119"/>
      <c r="AZ279" s="119"/>
      <c r="BA279" s="119"/>
      <c r="BB279" s="119"/>
      <c r="BC279" s="119"/>
      <c r="BD279" s="119"/>
      <c r="BE279" s="119"/>
      <c r="BF279" s="119"/>
      <c r="BG279" s="119"/>
      <c r="BH279" s="119"/>
    </row>
    <row r="280" spans="1:60" ht="15.7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19"/>
      <c r="AQ280" s="119"/>
      <c r="AR280" s="119"/>
      <c r="AS280" s="119"/>
      <c r="AT280" s="119"/>
      <c r="AU280" s="119"/>
      <c r="AV280" s="119"/>
      <c r="AW280" s="119"/>
      <c r="AX280" s="119"/>
      <c r="AY280" s="119"/>
      <c r="AZ280" s="119"/>
      <c r="BA280" s="119"/>
      <c r="BB280" s="119"/>
      <c r="BC280" s="119"/>
      <c r="BD280" s="119"/>
      <c r="BE280" s="119"/>
      <c r="BF280" s="119"/>
      <c r="BG280" s="119"/>
      <c r="BH280" s="119"/>
    </row>
    <row r="281" spans="1:60" ht="15.7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9"/>
      <c r="AV281" s="119"/>
      <c r="AW281" s="119"/>
      <c r="AX281" s="119"/>
      <c r="AY281" s="119"/>
      <c r="AZ281" s="119"/>
      <c r="BA281" s="119"/>
      <c r="BB281" s="119"/>
      <c r="BC281" s="119"/>
      <c r="BD281" s="119"/>
      <c r="BE281" s="119"/>
      <c r="BF281" s="119"/>
      <c r="BG281" s="119"/>
      <c r="BH281" s="119"/>
    </row>
    <row r="282" spans="1:60" ht="15.7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  <c r="AP282" s="119"/>
      <c r="AQ282" s="119"/>
      <c r="AR282" s="119"/>
      <c r="AS282" s="119"/>
      <c r="AT282" s="119"/>
      <c r="AU282" s="119"/>
      <c r="AV282" s="119"/>
      <c r="AW282" s="119"/>
      <c r="AX282" s="119"/>
      <c r="AY282" s="119"/>
      <c r="AZ282" s="119"/>
      <c r="BA282" s="119"/>
      <c r="BB282" s="119"/>
      <c r="BC282" s="119"/>
      <c r="BD282" s="119"/>
      <c r="BE282" s="119"/>
      <c r="BF282" s="119"/>
      <c r="BG282" s="119"/>
      <c r="BH282" s="119"/>
    </row>
    <row r="283" spans="1:60" ht="15.7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  <c r="AP283" s="119"/>
      <c r="AQ283" s="119"/>
      <c r="AR283" s="119"/>
      <c r="AS283" s="119"/>
      <c r="AT283" s="119"/>
      <c r="AU283" s="119"/>
      <c r="AV283" s="119"/>
      <c r="AW283" s="119"/>
      <c r="AX283" s="119"/>
      <c r="AY283" s="119"/>
      <c r="AZ283" s="119"/>
      <c r="BA283" s="119"/>
      <c r="BB283" s="119"/>
      <c r="BC283" s="119"/>
      <c r="BD283" s="119"/>
      <c r="BE283" s="119"/>
      <c r="BF283" s="119"/>
      <c r="BG283" s="119"/>
      <c r="BH283" s="119"/>
    </row>
    <row r="284" spans="1:60" ht="15.7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  <c r="AP284" s="119"/>
      <c r="AQ284" s="119"/>
      <c r="AR284" s="119"/>
      <c r="AS284" s="119"/>
      <c r="AT284" s="119"/>
      <c r="AU284" s="119"/>
      <c r="AV284" s="119"/>
      <c r="AW284" s="119"/>
      <c r="AX284" s="119"/>
      <c r="AY284" s="119"/>
      <c r="AZ284" s="119"/>
      <c r="BA284" s="119"/>
      <c r="BB284" s="119"/>
      <c r="BC284" s="119"/>
      <c r="BD284" s="119"/>
      <c r="BE284" s="119"/>
      <c r="BF284" s="119"/>
      <c r="BG284" s="119"/>
      <c r="BH284" s="119"/>
    </row>
    <row r="285" spans="1:60" ht="15.7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  <c r="AP285" s="119"/>
      <c r="AQ285" s="119"/>
      <c r="AR285" s="119"/>
      <c r="AS285" s="119"/>
      <c r="AT285" s="119"/>
      <c r="AU285" s="119"/>
      <c r="AV285" s="119"/>
      <c r="AW285" s="119"/>
      <c r="AX285" s="119"/>
      <c r="AY285" s="119"/>
      <c r="AZ285" s="119"/>
      <c r="BA285" s="119"/>
      <c r="BB285" s="119"/>
      <c r="BC285" s="119"/>
      <c r="BD285" s="119"/>
      <c r="BE285" s="119"/>
      <c r="BF285" s="119"/>
      <c r="BG285" s="119"/>
      <c r="BH285" s="119"/>
    </row>
    <row r="286" spans="1:60" ht="15.7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  <c r="AP286" s="119"/>
      <c r="AQ286" s="119"/>
      <c r="AR286" s="119"/>
      <c r="AS286" s="119"/>
      <c r="AT286" s="119"/>
      <c r="AU286" s="119"/>
      <c r="AV286" s="119"/>
      <c r="AW286" s="119"/>
      <c r="AX286" s="119"/>
      <c r="AY286" s="119"/>
      <c r="AZ286" s="119"/>
      <c r="BA286" s="119"/>
      <c r="BB286" s="119"/>
      <c r="BC286" s="119"/>
      <c r="BD286" s="119"/>
      <c r="BE286" s="119"/>
      <c r="BF286" s="119"/>
      <c r="BG286" s="119"/>
      <c r="BH286" s="119"/>
    </row>
    <row r="287" spans="1:60" ht="15.7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  <c r="AP287" s="119"/>
      <c r="AQ287" s="119"/>
      <c r="AR287" s="119"/>
      <c r="AS287" s="119"/>
      <c r="AT287" s="119"/>
      <c r="AU287" s="119"/>
      <c r="AV287" s="119"/>
      <c r="AW287" s="119"/>
      <c r="AX287" s="119"/>
      <c r="AY287" s="119"/>
      <c r="AZ287" s="119"/>
      <c r="BA287" s="119"/>
      <c r="BB287" s="119"/>
      <c r="BC287" s="119"/>
      <c r="BD287" s="119"/>
      <c r="BE287" s="119"/>
      <c r="BF287" s="119"/>
      <c r="BG287" s="119"/>
      <c r="BH287" s="119"/>
    </row>
    <row r="288" spans="1:60" ht="15.7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  <c r="AP288" s="119"/>
      <c r="AQ288" s="119"/>
      <c r="AR288" s="119"/>
      <c r="AS288" s="119"/>
      <c r="AT288" s="119"/>
      <c r="AU288" s="119"/>
      <c r="AV288" s="119"/>
      <c r="AW288" s="119"/>
      <c r="AX288" s="119"/>
      <c r="AY288" s="119"/>
      <c r="AZ288" s="119"/>
      <c r="BA288" s="119"/>
      <c r="BB288" s="119"/>
      <c r="BC288" s="119"/>
      <c r="BD288" s="119"/>
      <c r="BE288" s="119"/>
      <c r="BF288" s="119"/>
      <c r="BG288" s="119"/>
      <c r="BH288" s="119"/>
    </row>
    <row r="289" spans="1:60" ht="15.7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  <c r="AP289" s="119"/>
      <c r="AQ289" s="119"/>
      <c r="AR289" s="119"/>
      <c r="AS289" s="119"/>
      <c r="AT289" s="119"/>
      <c r="AU289" s="119"/>
      <c r="AV289" s="119"/>
      <c r="AW289" s="119"/>
      <c r="AX289" s="119"/>
      <c r="AY289" s="119"/>
      <c r="AZ289" s="119"/>
      <c r="BA289" s="119"/>
      <c r="BB289" s="119"/>
      <c r="BC289" s="119"/>
      <c r="BD289" s="119"/>
      <c r="BE289" s="119"/>
      <c r="BF289" s="119"/>
      <c r="BG289" s="119"/>
      <c r="BH289" s="119"/>
    </row>
    <row r="290" spans="1:60" ht="15.7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19"/>
      <c r="AY290" s="119"/>
      <c r="AZ290" s="119"/>
      <c r="BA290" s="119"/>
      <c r="BB290" s="119"/>
      <c r="BC290" s="119"/>
      <c r="BD290" s="119"/>
      <c r="BE290" s="119"/>
      <c r="BF290" s="119"/>
      <c r="BG290" s="119"/>
      <c r="BH290" s="119"/>
    </row>
    <row r="291" spans="1:60" ht="15.7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  <c r="AP291" s="119"/>
      <c r="AQ291" s="119"/>
      <c r="AR291" s="119"/>
      <c r="AS291" s="119"/>
      <c r="AT291" s="119"/>
      <c r="AU291" s="119"/>
      <c r="AV291" s="119"/>
      <c r="AW291" s="119"/>
      <c r="AX291" s="119"/>
      <c r="AY291" s="119"/>
      <c r="AZ291" s="119"/>
      <c r="BA291" s="119"/>
      <c r="BB291" s="119"/>
      <c r="BC291" s="119"/>
      <c r="BD291" s="119"/>
      <c r="BE291" s="119"/>
      <c r="BF291" s="119"/>
      <c r="BG291" s="119"/>
      <c r="BH291" s="119"/>
    </row>
    <row r="292" spans="1:60" ht="15.7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  <c r="AP292" s="119"/>
      <c r="AQ292" s="119"/>
      <c r="AR292" s="119"/>
      <c r="AS292" s="119"/>
      <c r="AT292" s="119"/>
      <c r="AU292" s="119"/>
      <c r="AV292" s="119"/>
      <c r="AW292" s="119"/>
      <c r="AX292" s="119"/>
      <c r="AY292" s="119"/>
      <c r="AZ292" s="119"/>
      <c r="BA292" s="119"/>
      <c r="BB292" s="119"/>
      <c r="BC292" s="119"/>
      <c r="BD292" s="119"/>
      <c r="BE292" s="119"/>
      <c r="BF292" s="119"/>
      <c r="BG292" s="119"/>
      <c r="BH292" s="119"/>
    </row>
    <row r="293" spans="1:60" ht="15.7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  <c r="AP293" s="119"/>
      <c r="AQ293" s="119"/>
      <c r="AR293" s="119"/>
      <c r="AS293" s="119"/>
      <c r="AT293" s="119"/>
      <c r="AU293" s="119"/>
      <c r="AV293" s="119"/>
      <c r="AW293" s="119"/>
      <c r="AX293" s="119"/>
      <c r="AY293" s="119"/>
      <c r="AZ293" s="119"/>
      <c r="BA293" s="119"/>
      <c r="BB293" s="119"/>
      <c r="BC293" s="119"/>
      <c r="BD293" s="119"/>
      <c r="BE293" s="119"/>
      <c r="BF293" s="119"/>
      <c r="BG293" s="119"/>
      <c r="BH293" s="119"/>
    </row>
    <row r="294" spans="1:60" ht="15.7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  <c r="AP294" s="119"/>
      <c r="AQ294" s="119"/>
      <c r="AR294" s="119"/>
      <c r="AS294" s="119"/>
      <c r="AT294" s="119"/>
      <c r="AU294" s="119"/>
      <c r="AV294" s="119"/>
      <c r="AW294" s="119"/>
      <c r="AX294" s="119"/>
      <c r="AY294" s="119"/>
      <c r="AZ294" s="119"/>
      <c r="BA294" s="119"/>
      <c r="BB294" s="119"/>
      <c r="BC294" s="119"/>
      <c r="BD294" s="119"/>
      <c r="BE294" s="119"/>
      <c r="BF294" s="119"/>
      <c r="BG294" s="119"/>
      <c r="BH294" s="119"/>
    </row>
    <row r="295" spans="1:60" ht="15.7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  <c r="AP295" s="119"/>
      <c r="AQ295" s="119"/>
      <c r="AR295" s="119"/>
      <c r="AS295" s="119"/>
      <c r="AT295" s="119"/>
      <c r="AU295" s="119"/>
      <c r="AV295" s="119"/>
      <c r="AW295" s="119"/>
      <c r="AX295" s="119"/>
      <c r="AY295" s="119"/>
      <c r="AZ295" s="119"/>
      <c r="BA295" s="119"/>
      <c r="BB295" s="119"/>
      <c r="BC295" s="119"/>
      <c r="BD295" s="119"/>
      <c r="BE295" s="119"/>
      <c r="BF295" s="119"/>
      <c r="BG295" s="119"/>
      <c r="BH295" s="119"/>
    </row>
    <row r="296" spans="1:60" ht="15.7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  <c r="AP296" s="119"/>
      <c r="AQ296" s="119"/>
      <c r="AR296" s="119"/>
      <c r="AS296" s="119"/>
      <c r="AT296" s="119"/>
      <c r="AU296" s="119"/>
      <c r="AV296" s="119"/>
      <c r="AW296" s="119"/>
      <c r="AX296" s="119"/>
      <c r="AY296" s="119"/>
      <c r="AZ296" s="119"/>
      <c r="BA296" s="119"/>
      <c r="BB296" s="119"/>
      <c r="BC296" s="119"/>
      <c r="BD296" s="119"/>
      <c r="BE296" s="119"/>
      <c r="BF296" s="119"/>
      <c r="BG296" s="119"/>
      <c r="BH296" s="119"/>
    </row>
    <row r="297" spans="1:60" ht="15.7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  <c r="AP297" s="119"/>
      <c r="AQ297" s="119"/>
      <c r="AR297" s="119"/>
      <c r="AS297" s="119"/>
      <c r="AT297" s="119"/>
      <c r="AU297" s="119"/>
      <c r="AV297" s="119"/>
      <c r="AW297" s="119"/>
      <c r="AX297" s="119"/>
      <c r="AY297" s="119"/>
      <c r="AZ297" s="119"/>
      <c r="BA297" s="119"/>
      <c r="BB297" s="119"/>
      <c r="BC297" s="119"/>
      <c r="BD297" s="119"/>
      <c r="BE297" s="119"/>
      <c r="BF297" s="119"/>
      <c r="BG297" s="119"/>
      <c r="BH297" s="119"/>
    </row>
    <row r="298" spans="1:60" ht="15.7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  <c r="AP298" s="119"/>
      <c r="AQ298" s="119"/>
      <c r="AR298" s="119"/>
      <c r="AS298" s="119"/>
      <c r="AT298" s="119"/>
      <c r="AU298" s="119"/>
      <c r="AV298" s="119"/>
      <c r="AW298" s="119"/>
      <c r="AX298" s="119"/>
      <c r="AY298" s="119"/>
      <c r="AZ298" s="119"/>
      <c r="BA298" s="119"/>
      <c r="BB298" s="119"/>
      <c r="BC298" s="119"/>
      <c r="BD298" s="119"/>
      <c r="BE298" s="119"/>
      <c r="BF298" s="119"/>
      <c r="BG298" s="119"/>
      <c r="BH298" s="119"/>
    </row>
    <row r="299" spans="1:60" ht="15.7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  <c r="AP299" s="119"/>
      <c r="AQ299" s="119"/>
      <c r="AR299" s="119"/>
      <c r="AS299" s="119"/>
      <c r="AT299" s="119"/>
      <c r="AU299" s="119"/>
      <c r="AV299" s="119"/>
      <c r="AW299" s="119"/>
      <c r="AX299" s="119"/>
      <c r="AY299" s="119"/>
      <c r="AZ299" s="119"/>
      <c r="BA299" s="119"/>
      <c r="BB299" s="119"/>
      <c r="BC299" s="119"/>
      <c r="BD299" s="119"/>
      <c r="BE299" s="119"/>
      <c r="BF299" s="119"/>
      <c r="BG299" s="119"/>
      <c r="BH299" s="119"/>
    </row>
    <row r="300" spans="1:60" ht="15.7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  <c r="AP300" s="119"/>
      <c r="AQ300" s="119"/>
      <c r="AR300" s="119"/>
      <c r="AS300" s="119"/>
      <c r="AT300" s="119"/>
      <c r="AU300" s="119"/>
      <c r="AV300" s="119"/>
      <c r="AW300" s="119"/>
      <c r="AX300" s="119"/>
      <c r="AY300" s="119"/>
      <c r="AZ300" s="119"/>
      <c r="BA300" s="119"/>
      <c r="BB300" s="119"/>
      <c r="BC300" s="119"/>
      <c r="BD300" s="119"/>
      <c r="BE300" s="119"/>
      <c r="BF300" s="119"/>
      <c r="BG300" s="119"/>
      <c r="BH300" s="119"/>
    </row>
    <row r="301" spans="1:60" ht="15.7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  <c r="AP301" s="119"/>
      <c r="AQ301" s="119"/>
      <c r="AR301" s="119"/>
      <c r="AS301" s="119"/>
      <c r="AT301" s="119"/>
      <c r="AU301" s="119"/>
      <c r="AV301" s="119"/>
      <c r="AW301" s="119"/>
      <c r="AX301" s="119"/>
      <c r="AY301" s="119"/>
      <c r="AZ301" s="119"/>
      <c r="BA301" s="119"/>
      <c r="BB301" s="119"/>
      <c r="BC301" s="119"/>
      <c r="BD301" s="119"/>
      <c r="BE301" s="119"/>
      <c r="BF301" s="119"/>
      <c r="BG301" s="119"/>
      <c r="BH301" s="119"/>
    </row>
    <row r="302" spans="1:60" ht="15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  <c r="AP302" s="119"/>
      <c r="AQ302" s="119"/>
      <c r="AR302" s="119"/>
      <c r="AS302" s="119"/>
      <c r="AT302" s="119"/>
      <c r="AU302" s="119"/>
      <c r="AV302" s="119"/>
      <c r="AW302" s="119"/>
      <c r="AX302" s="119"/>
      <c r="AY302" s="119"/>
      <c r="AZ302" s="119"/>
      <c r="BA302" s="119"/>
      <c r="BB302" s="119"/>
      <c r="BC302" s="119"/>
      <c r="BD302" s="119"/>
      <c r="BE302" s="119"/>
      <c r="BF302" s="119"/>
      <c r="BG302" s="119"/>
      <c r="BH302" s="119"/>
    </row>
    <row r="303" spans="1:60" ht="15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  <c r="AP303" s="119"/>
      <c r="AQ303" s="119"/>
      <c r="AR303" s="119"/>
      <c r="AS303" s="119"/>
      <c r="AT303" s="119"/>
      <c r="AU303" s="119"/>
      <c r="AV303" s="119"/>
      <c r="AW303" s="119"/>
      <c r="AX303" s="119"/>
      <c r="AY303" s="119"/>
      <c r="AZ303" s="119"/>
      <c r="BA303" s="119"/>
      <c r="BB303" s="119"/>
      <c r="BC303" s="119"/>
      <c r="BD303" s="119"/>
      <c r="BE303" s="119"/>
      <c r="BF303" s="119"/>
      <c r="BG303" s="119"/>
      <c r="BH303" s="119"/>
    </row>
    <row r="304" spans="1:60" ht="15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  <c r="AP304" s="119"/>
      <c r="AQ304" s="119"/>
      <c r="AR304" s="119"/>
      <c r="AS304" s="119"/>
      <c r="AT304" s="119"/>
      <c r="AU304" s="119"/>
      <c r="AV304" s="119"/>
      <c r="AW304" s="119"/>
      <c r="AX304" s="119"/>
      <c r="AY304" s="119"/>
      <c r="AZ304" s="119"/>
      <c r="BA304" s="119"/>
      <c r="BB304" s="119"/>
      <c r="BC304" s="119"/>
      <c r="BD304" s="119"/>
      <c r="BE304" s="119"/>
      <c r="BF304" s="119"/>
      <c r="BG304" s="119"/>
      <c r="BH304" s="119"/>
    </row>
    <row r="305" spans="1:60" ht="15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119"/>
      <c r="AQ305" s="119"/>
      <c r="AR305" s="119"/>
      <c r="AS305" s="119"/>
      <c r="AT305" s="119"/>
      <c r="AU305" s="119"/>
      <c r="AV305" s="119"/>
      <c r="AW305" s="119"/>
      <c r="AX305" s="119"/>
      <c r="AY305" s="119"/>
      <c r="AZ305" s="119"/>
      <c r="BA305" s="119"/>
      <c r="BB305" s="119"/>
      <c r="BC305" s="119"/>
      <c r="BD305" s="119"/>
      <c r="BE305" s="119"/>
      <c r="BF305" s="119"/>
      <c r="BG305" s="119"/>
      <c r="BH305" s="119"/>
    </row>
    <row r="306" spans="1:60" ht="15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119"/>
      <c r="AQ306" s="119"/>
      <c r="AR306" s="119"/>
      <c r="AS306" s="119"/>
      <c r="AT306" s="119"/>
      <c r="AU306" s="119"/>
      <c r="AV306" s="119"/>
      <c r="AW306" s="119"/>
      <c r="AX306" s="119"/>
      <c r="AY306" s="119"/>
      <c r="AZ306" s="119"/>
      <c r="BA306" s="119"/>
      <c r="BB306" s="119"/>
      <c r="BC306" s="119"/>
      <c r="BD306" s="119"/>
      <c r="BE306" s="119"/>
      <c r="BF306" s="119"/>
      <c r="BG306" s="119"/>
      <c r="BH306" s="119"/>
    </row>
    <row r="307" spans="1:60" ht="15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119"/>
      <c r="AQ307" s="119"/>
      <c r="AR307" s="119"/>
      <c r="AS307" s="119"/>
      <c r="AT307" s="119"/>
      <c r="AU307" s="119"/>
      <c r="AV307" s="119"/>
      <c r="AW307" s="119"/>
      <c r="AX307" s="119"/>
      <c r="AY307" s="119"/>
      <c r="AZ307" s="119"/>
      <c r="BA307" s="119"/>
      <c r="BB307" s="119"/>
      <c r="BC307" s="119"/>
      <c r="BD307" s="119"/>
      <c r="BE307" s="119"/>
      <c r="BF307" s="119"/>
      <c r="BG307" s="119"/>
      <c r="BH307" s="119"/>
    </row>
    <row r="308" spans="1:60" ht="15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9"/>
      <c r="BC308" s="119"/>
      <c r="BD308" s="119"/>
      <c r="BE308" s="119"/>
      <c r="BF308" s="119"/>
      <c r="BG308" s="119"/>
      <c r="BH308" s="119"/>
    </row>
    <row r="309" spans="1:60" ht="15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  <c r="AP309" s="119"/>
      <c r="AQ309" s="119"/>
      <c r="AR309" s="119"/>
      <c r="AS309" s="119"/>
      <c r="AT309" s="119"/>
      <c r="AU309" s="119"/>
      <c r="AV309" s="119"/>
      <c r="AW309" s="119"/>
      <c r="AX309" s="119"/>
      <c r="AY309" s="119"/>
      <c r="AZ309" s="119"/>
      <c r="BA309" s="119"/>
      <c r="BB309" s="119"/>
      <c r="BC309" s="119"/>
      <c r="BD309" s="119"/>
      <c r="BE309" s="119"/>
      <c r="BF309" s="119"/>
      <c r="BG309" s="119"/>
      <c r="BH309" s="119"/>
    </row>
    <row r="310" spans="1:60" ht="15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  <c r="AP310" s="119"/>
      <c r="AQ310" s="119"/>
      <c r="AR310" s="119"/>
      <c r="AS310" s="119"/>
      <c r="AT310" s="119"/>
      <c r="AU310" s="119"/>
      <c r="AV310" s="119"/>
      <c r="AW310" s="119"/>
      <c r="AX310" s="119"/>
      <c r="AY310" s="119"/>
      <c r="AZ310" s="119"/>
      <c r="BA310" s="119"/>
      <c r="BB310" s="119"/>
      <c r="BC310" s="119"/>
      <c r="BD310" s="119"/>
      <c r="BE310" s="119"/>
      <c r="BF310" s="119"/>
      <c r="BG310" s="119"/>
      <c r="BH310" s="119"/>
    </row>
    <row r="311" spans="1:60" ht="15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  <c r="AP311" s="119"/>
      <c r="AQ311" s="119"/>
      <c r="AR311" s="119"/>
      <c r="AS311" s="119"/>
      <c r="AT311" s="119"/>
      <c r="AU311" s="119"/>
      <c r="AV311" s="119"/>
      <c r="AW311" s="119"/>
      <c r="AX311" s="119"/>
      <c r="AY311" s="119"/>
      <c r="AZ311" s="119"/>
      <c r="BA311" s="119"/>
      <c r="BB311" s="119"/>
      <c r="BC311" s="119"/>
      <c r="BD311" s="119"/>
      <c r="BE311" s="119"/>
      <c r="BF311" s="119"/>
      <c r="BG311" s="119"/>
      <c r="BH311" s="119"/>
    </row>
    <row r="312" spans="1:60" ht="15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  <c r="AP312" s="119"/>
      <c r="AQ312" s="119"/>
      <c r="AR312" s="119"/>
      <c r="AS312" s="119"/>
      <c r="AT312" s="119"/>
      <c r="AU312" s="119"/>
      <c r="AV312" s="119"/>
      <c r="AW312" s="119"/>
      <c r="AX312" s="119"/>
      <c r="AY312" s="119"/>
      <c r="AZ312" s="119"/>
      <c r="BA312" s="119"/>
      <c r="BB312" s="119"/>
      <c r="BC312" s="119"/>
      <c r="BD312" s="119"/>
      <c r="BE312" s="119"/>
      <c r="BF312" s="119"/>
      <c r="BG312" s="119"/>
      <c r="BH312" s="119"/>
    </row>
    <row r="313" spans="1:60" ht="15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  <c r="AP313" s="119"/>
      <c r="AQ313" s="119"/>
      <c r="AR313" s="119"/>
      <c r="AS313" s="119"/>
      <c r="AT313" s="119"/>
      <c r="AU313" s="119"/>
      <c r="AV313" s="119"/>
      <c r="AW313" s="119"/>
      <c r="AX313" s="119"/>
      <c r="AY313" s="119"/>
      <c r="AZ313" s="119"/>
      <c r="BA313" s="119"/>
      <c r="BB313" s="119"/>
      <c r="BC313" s="119"/>
      <c r="BD313" s="119"/>
      <c r="BE313" s="119"/>
      <c r="BF313" s="119"/>
      <c r="BG313" s="119"/>
      <c r="BH313" s="119"/>
    </row>
    <row r="314" spans="1:60" ht="15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  <c r="AP314" s="119"/>
      <c r="AQ314" s="119"/>
      <c r="AR314" s="119"/>
      <c r="AS314" s="119"/>
      <c r="AT314" s="119"/>
      <c r="AU314" s="119"/>
      <c r="AV314" s="119"/>
      <c r="AW314" s="119"/>
      <c r="AX314" s="119"/>
      <c r="AY314" s="119"/>
      <c r="AZ314" s="119"/>
      <c r="BA314" s="119"/>
      <c r="BB314" s="119"/>
      <c r="BC314" s="119"/>
      <c r="BD314" s="119"/>
      <c r="BE314" s="119"/>
      <c r="BF314" s="119"/>
      <c r="BG314" s="119"/>
      <c r="BH314" s="119"/>
    </row>
    <row r="315" spans="1:60" ht="15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  <c r="AP315" s="119"/>
      <c r="AQ315" s="119"/>
      <c r="AR315" s="119"/>
      <c r="AS315" s="119"/>
      <c r="AT315" s="119"/>
      <c r="AU315" s="119"/>
      <c r="AV315" s="119"/>
      <c r="AW315" s="119"/>
      <c r="AX315" s="119"/>
      <c r="AY315" s="119"/>
      <c r="AZ315" s="119"/>
      <c r="BA315" s="119"/>
      <c r="BB315" s="119"/>
      <c r="BC315" s="119"/>
      <c r="BD315" s="119"/>
      <c r="BE315" s="119"/>
      <c r="BF315" s="119"/>
      <c r="BG315" s="119"/>
      <c r="BH315" s="119"/>
    </row>
    <row r="316" spans="1:60" ht="15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  <c r="AP316" s="119"/>
      <c r="AQ316" s="119"/>
      <c r="AR316" s="119"/>
      <c r="AS316" s="119"/>
      <c r="AT316" s="119"/>
      <c r="AU316" s="119"/>
      <c r="AV316" s="119"/>
      <c r="AW316" s="119"/>
      <c r="AX316" s="119"/>
      <c r="AY316" s="119"/>
      <c r="AZ316" s="119"/>
      <c r="BA316" s="119"/>
      <c r="BB316" s="119"/>
      <c r="BC316" s="119"/>
      <c r="BD316" s="119"/>
      <c r="BE316" s="119"/>
      <c r="BF316" s="119"/>
      <c r="BG316" s="119"/>
      <c r="BH316" s="119"/>
    </row>
    <row r="317" spans="1:60" ht="15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  <c r="AP317" s="119"/>
      <c r="AQ317" s="119"/>
      <c r="AR317" s="119"/>
      <c r="AS317" s="119"/>
      <c r="AT317" s="119"/>
      <c r="AU317" s="119"/>
      <c r="AV317" s="119"/>
      <c r="AW317" s="119"/>
      <c r="AX317" s="119"/>
      <c r="AY317" s="119"/>
      <c r="AZ317" s="119"/>
      <c r="BA317" s="119"/>
      <c r="BB317" s="119"/>
      <c r="BC317" s="119"/>
      <c r="BD317" s="119"/>
      <c r="BE317" s="119"/>
      <c r="BF317" s="119"/>
      <c r="BG317" s="119"/>
      <c r="BH317" s="119"/>
    </row>
    <row r="318" spans="1:60" ht="15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  <c r="AP318" s="119"/>
      <c r="AQ318" s="119"/>
      <c r="AR318" s="119"/>
      <c r="AS318" s="119"/>
      <c r="AT318" s="119"/>
      <c r="AU318" s="119"/>
      <c r="AV318" s="119"/>
      <c r="AW318" s="119"/>
      <c r="AX318" s="119"/>
      <c r="AY318" s="119"/>
      <c r="AZ318" s="119"/>
      <c r="BA318" s="119"/>
      <c r="BB318" s="119"/>
      <c r="BC318" s="119"/>
      <c r="BD318" s="119"/>
      <c r="BE318" s="119"/>
      <c r="BF318" s="119"/>
      <c r="BG318" s="119"/>
      <c r="BH318" s="119"/>
    </row>
    <row r="319" spans="1:60" ht="15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  <c r="AP319" s="119"/>
      <c r="AQ319" s="119"/>
      <c r="AR319" s="119"/>
      <c r="AS319" s="119"/>
      <c r="AT319" s="119"/>
      <c r="AU319" s="119"/>
      <c r="AV319" s="119"/>
      <c r="AW319" s="119"/>
      <c r="AX319" s="119"/>
      <c r="AY319" s="119"/>
      <c r="AZ319" s="119"/>
      <c r="BA319" s="119"/>
      <c r="BB319" s="119"/>
      <c r="BC319" s="119"/>
      <c r="BD319" s="119"/>
      <c r="BE319" s="119"/>
      <c r="BF319" s="119"/>
      <c r="BG319" s="119"/>
      <c r="BH319" s="119"/>
    </row>
    <row r="320" spans="1:60" ht="15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119"/>
      <c r="AQ320" s="119"/>
      <c r="AR320" s="119"/>
      <c r="AS320" s="119"/>
      <c r="AT320" s="119"/>
      <c r="AU320" s="119"/>
      <c r="AV320" s="119"/>
      <c r="AW320" s="119"/>
      <c r="AX320" s="119"/>
      <c r="AY320" s="119"/>
      <c r="AZ320" s="119"/>
      <c r="BA320" s="119"/>
      <c r="BB320" s="119"/>
      <c r="BC320" s="119"/>
      <c r="BD320" s="119"/>
      <c r="BE320" s="119"/>
      <c r="BF320" s="119"/>
      <c r="BG320" s="119"/>
      <c r="BH320" s="119"/>
    </row>
    <row r="321" spans="1:60" ht="15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119"/>
      <c r="AQ321" s="119"/>
      <c r="AR321" s="119"/>
      <c r="AS321" s="119"/>
      <c r="AT321" s="119"/>
      <c r="AU321" s="119"/>
      <c r="AV321" s="119"/>
      <c r="AW321" s="119"/>
      <c r="AX321" s="119"/>
      <c r="AY321" s="119"/>
      <c r="AZ321" s="119"/>
      <c r="BA321" s="119"/>
      <c r="BB321" s="119"/>
      <c r="BC321" s="119"/>
      <c r="BD321" s="119"/>
      <c r="BE321" s="119"/>
      <c r="BF321" s="119"/>
      <c r="BG321" s="119"/>
      <c r="BH321" s="119"/>
    </row>
    <row r="322" spans="1:60" ht="15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119"/>
      <c r="AQ322" s="119"/>
      <c r="AR322" s="119"/>
      <c r="AS322" s="119"/>
      <c r="AT322" s="119"/>
      <c r="AU322" s="119"/>
      <c r="AV322" s="119"/>
      <c r="AW322" s="119"/>
      <c r="AX322" s="119"/>
      <c r="AY322" s="119"/>
      <c r="AZ322" s="119"/>
      <c r="BA322" s="119"/>
      <c r="BB322" s="119"/>
      <c r="BC322" s="119"/>
      <c r="BD322" s="119"/>
      <c r="BE322" s="119"/>
      <c r="BF322" s="119"/>
      <c r="BG322" s="119"/>
      <c r="BH322" s="119"/>
    </row>
    <row r="323" spans="1:60" ht="15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119"/>
      <c r="AQ323" s="119"/>
      <c r="AR323" s="119"/>
      <c r="AS323" s="119"/>
      <c r="AT323" s="119"/>
      <c r="AU323" s="119"/>
      <c r="AV323" s="119"/>
      <c r="AW323" s="119"/>
      <c r="AX323" s="119"/>
      <c r="AY323" s="119"/>
      <c r="AZ323" s="119"/>
      <c r="BA323" s="119"/>
      <c r="BB323" s="119"/>
      <c r="BC323" s="119"/>
      <c r="BD323" s="119"/>
      <c r="BE323" s="119"/>
      <c r="BF323" s="119"/>
      <c r="BG323" s="119"/>
      <c r="BH323" s="119"/>
    </row>
    <row r="324" spans="1:60" ht="15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  <c r="AP324" s="119"/>
      <c r="AQ324" s="119"/>
      <c r="AR324" s="119"/>
      <c r="AS324" s="119"/>
      <c r="AT324" s="119"/>
      <c r="AU324" s="119"/>
      <c r="AV324" s="119"/>
      <c r="AW324" s="119"/>
      <c r="AX324" s="119"/>
      <c r="AY324" s="119"/>
      <c r="AZ324" s="119"/>
      <c r="BA324" s="119"/>
      <c r="BB324" s="119"/>
      <c r="BC324" s="119"/>
      <c r="BD324" s="119"/>
      <c r="BE324" s="119"/>
      <c r="BF324" s="119"/>
      <c r="BG324" s="119"/>
      <c r="BH324" s="119"/>
    </row>
    <row r="325" spans="1:60" ht="15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  <c r="AP325" s="119"/>
      <c r="AQ325" s="119"/>
      <c r="AR325" s="119"/>
      <c r="AS325" s="119"/>
      <c r="AT325" s="119"/>
      <c r="AU325" s="119"/>
      <c r="AV325" s="119"/>
      <c r="AW325" s="119"/>
      <c r="AX325" s="119"/>
      <c r="AY325" s="119"/>
      <c r="AZ325" s="119"/>
      <c r="BA325" s="119"/>
      <c r="BB325" s="119"/>
      <c r="BC325" s="119"/>
      <c r="BD325" s="119"/>
      <c r="BE325" s="119"/>
      <c r="BF325" s="119"/>
      <c r="BG325" s="119"/>
      <c r="BH325" s="119"/>
    </row>
    <row r="326" spans="1:60" ht="15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  <c r="AP326" s="119"/>
      <c r="AQ326" s="119"/>
      <c r="AR326" s="119"/>
      <c r="AS326" s="119"/>
      <c r="AT326" s="119"/>
      <c r="AU326" s="119"/>
      <c r="AV326" s="119"/>
      <c r="AW326" s="119"/>
      <c r="AX326" s="119"/>
      <c r="AY326" s="119"/>
      <c r="AZ326" s="119"/>
      <c r="BA326" s="119"/>
      <c r="BB326" s="119"/>
      <c r="BC326" s="119"/>
      <c r="BD326" s="119"/>
      <c r="BE326" s="119"/>
      <c r="BF326" s="119"/>
      <c r="BG326" s="119"/>
      <c r="BH326" s="119"/>
    </row>
    <row r="327" spans="1:60" ht="15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  <c r="AP327" s="119"/>
      <c r="AQ327" s="119"/>
      <c r="AR327" s="119"/>
      <c r="AS327" s="119"/>
      <c r="AT327" s="119"/>
      <c r="AU327" s="119"/>
      <c r="AV327" s="119"/>
      <c r="AW327" s="119"/>
      <c r="AX327" s="119"/>
      <c r="AY327" s="119"/>
      <c r="AZ327" s="119"/>
      <c r="BA327" s="119"/>
      <c r="BB327" s="119"/>
      <c r="BC327" s="119"/>
      <c r="BD327" s="119"/>
      <c r="BE327" s="119"/>
      <c r="BF327" s="119"/>
      <c r="BG327" s="119"/>
      <c r="BH327" s="119"/>
    </row>
    <row r="328" spans="1:60" ht="15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  <c r="AP328" s="119"/>
      <c r="AQ328" s="119"/>
      <c r="AR328" s="119"/>
      <c r="AS328" s="119"/>
      <c r="AT328" s="119"/>
      <c r="AU328" s="119"/>
      <c r="AV328" s="119"/>
      <c r="AW328" s="119"/>
      <c r="AX328" s="119"/>
      <c r="AY328" s="119"/>
      <c r="AZ328" s="119"/>
      <c r="BA328" s="119"/>
      <c r="BB328" s="119"/>
      <c r="BC328" s="119"/>
      <c r="BD328" s="119"/>
      <c r="BE328" s="119"/>
      <c r="BF328" s="119"/>
      <c r="BG328" s="119"/>
      <c r="BH328" s="119"/>
    </row>
    <row r="329" spans="1:60" ht="15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  <c r="AP329" s="119"/>
      <c r="AQ329" s="119"/>
      <c r="AR329" s="119"/>
      <c r="AS329" s="119"/>
      <c r="AT329" s="119"/>
      <c r="AU329" s="119"/>
      <c r="AV329" s="119"/>
      <c r="AW329" s="119"/>
      <c r="AX329" s="119"/>
      <c r="AY329" s="119"/>
      <c r="AZ329" s="119"/>
      <c r="BA329" s="119"/>
      <c r="BB329" s="119"/>
      <c r="BC329" s="119"/>
      <c r="BD329" s="119"/>
      <c r="BE329" s="119"/>
      <c r="BF329" s="119"/>
      <c r="BG329" s="119"/>
      <c r="BH329" s="119"/>
    </row>
    <row r="330" spans="1:60" ht="15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9"/>
      <c r="AV330" s="119"/>
      <c r="AW330" s="119"/>
      <c r="AX330" s="119"/>
      <c r="AY330" s="119"/>
      <c r="AZ330" s="119"/>
      <c r="BA330" s="119"/>
      <c r="BB330" s="119"/>
      <c r="BC330" s="119"/>
      <c r="BD330" s="119"/>
      <c r="BE330" s="119"/>
      <c r="BF330" s="119"/>
      <c r="BG330" s="119"/>
      <c r="BH330" s="119"/>
    </row>
    <row r="331" spans="1:60" ht="15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  <c r="AP331" s="119"/>
      <c r="AQ331" s="119"/>
      <c r="AR331" s="119"/>
      <c r="AS331" s="119"/>
      <c r="AT331" s="119"/>
      <c r="AU331" s="119"/>
      <c r="AV331" s="119"/>
      <c r="AW331" s="119"/>
      <c r="AX331" s="119"/>
      <c r="AY331" s="119"/>
      <c r="AZ331" s="119"/>
      <c r="BA331" s="119"/>
      <c r="BB331" s="119"/>
      <c r="BC331" s="119"/>
      <c r="BD331" s="119"/>
      <c r="BE331" s="119"/>
      <c r="BF331" s="119"/>
      <c r="BG331" s="119"/>
      <c r="BH331" s="119"/>
    </row>
    <row r="332" spans="1:60" ht="15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  <c r="AP332" s="119"/>
      <c r="AQ332" s="119"/>
      <c r="AR332" s="119"/>
      <c r="AS332" s="119"/>
      <c r="AT332" s="119"/>
      <c r="AU332" s="119"/>
      <c r="AV332" s="119"/>
      <c r="AW332" s="119"/>
      <c r="AX332" s="119"/>
      <c r="AY332" s="119"/>
      <c r="AZ332" s="119"/>
      <c r="BA332" s="119"/>
      <c r="BB332" s="119"/>
      <c r="BC332" s="119"/>
      <c r="BD332" s="119"/>
      <c r="BE332" s="119"/>
      <c r="BF332" s="119"/>
      <c r="BG332" s="119"/>
      <c r="BH332" s="119"/>
    </row>
    <row r="333" spans="1:60" ht="15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  <c r="AP333" s="119"/>
      <c r="AQ333" s="119"/>
      <c r="AR333" s="119"/>
      <c r="AS333" s="119"/>
      <c r="AT333" s="119"/>
      <c r="AU333" s="119"/>
      <c r="AV333" s="119"/>
      <c r="AW333" s="119"/>
      <c r="AX333" s="119"/>
      <c r="AY333" s="119"/>
      <c r="AZ333" s="119"/>
      <c r="BA333" s="119"/>
      <c r="BB333" s="119"/>
      <c r="BC333" s="119"/>
      <c r="BD333" s="119"/>
      <c r="BE333" s="119"/>
      <c r="BF333" s="119"/>
      <c r="BG333" s="119"/>
      <c r="BH333" s="119"/>
    </row>
    <row r="334" spans="1:60" ht="15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  <c r="AP334" s="119"/>
      <c r="AQ334" s="119"/>
      <c r="AR334" s="119"/>
      <c r="AS334" s="119"/>
      <c r="AT334" s="119"/>
      <c r="AU334" s="119"/>
      <c r="AV334" s="119"/>
      <c r="AW334" s="119"/>
      <c r="AX334" s="119"/>
      <c r="AY334" s="119"/>
      <c r="AZ334" s="119"/>
      <c r="BA334" s="119"/>
      <c r="BB334" s="119"/>
      <c r="BC334" s="119"/>
      <c r="BD334" s="119"/>
      <c r="BE334" s="119"/>
      <c r="BF334" s="119"/>
      <c r="BG334" s="119"/>
      <c r="BH334" s="119"/>
    </row>
    <row r="335" spans="1:60" ht="15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  <c r="AP335" s="119"/>
      <c r="AQ335" s="119"/>
      <c r="AR335" s="119"/>
      <c r="AS335" s="119"/>
      <c r="AT335" s="119"/>
      <c r="AU335" s="119"/>
      <c r="AV335" s="119"/>
      <c r="AW335" s="119"/>
      <c r="AX335" s="119"/>
      <c r="AY335" s="119"/>
      <c r="AZ335" s="119"/>
      <c r="BA335" s="119"/>
      <c r="BB335" s="119"/>
      <c r="BC335" s="119"/>
      <c r="BD335" s="119"/>
      <c r="BE335" s="119"/>
      <c r="BF335" s="119"/>
      <c r="BG335" s="119"/>
      <c r="BH335" s="119"/>
    </row>
    <row r="336" spans="1:60" ht="15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  <c r="AO336" s="119"/>
      <c r="AP336" s="119"/>
      <c r="AQ336" s="119"/>
      <c r="AR336" s="119"/>
      <c r="AS336" s="119"/>
      <c r="AT336" s="119"/>
      <c r="AU336" s="119"/>
      <c r="AV336" s="119"/>
      <c r="AW336" s="119"/>
      <c r="AX336" s="119"/>
      <c r="AY336" s="119"/>
      <c r="AZ336" s="119"/>
      <c r="BA336" s="119"/>
      <c r="BB336" s="119"/>
      <c r="BC336" s="119"/>
      <c r="BD336" s="119"/>
      <c r="BE336" s="119"/>
      <c r="BF336" s="119"/>
      <c r="BG336" s="119"/>
      <c r="BH336" s="119"/>
    </row>
    <row r="337" spans="1:60" ht="15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  <c r="AO337" s="119"/>
      <c r="AP337" s="119"/>
      <c r="AQ337" s="119"/>
      <c r="AR337" s="119"/>
      <c r="AS337" s="119"/>
      <c r="AT337" s="119"/>
      <c r="AU337" s="119"/>
      <c r="AV337" s="119"/>
      <c r="AW337" s="119"/>
      <c r="AX337" s="119"/>
      <c r="AY337" s="119"/>
      <c r="AZ337" s="119"/>
      <c r="BA337" s="119"/>
      <c r="BB337" s="119"/>
      <c r="BC337" s="119"/>
      <c r="BD337" s="119"/>
      <c r="BE337" s="119"/>
      <c r="BF337" s="119"/>
      <c r="BG337" s="119"/>
      <c r="BH337" s="119"/>
    </row>
    <row r="338" spans="1:60" ht="15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  <c r="AO338" s="119"/>
      <c r="AP338" s="119"/>
      <c r="AQ338" s="119"/>
      <c r="AR338" s="119"/>
      <c r="AS338" s="119"/>
      <c r="AT338" s="119"/>
      <c r="AU338" s="119"/>
      <c r="AV338" s="119"/>
      <c r="AW338" s="119"/>
      <c r="AX338" s="119"/>
      <c r="AY338" s="119"/>
      <c r="AZ338" s="119"/>
      <c r="BA338" s="119"/>
      <c r="BB338" s="119"/>
      <c r="BC338" s="119"/>
      <c r="BD338" s="119"/>
      <c r="BE338" s="119"/>
      <c r="BF338" s="119"/>
      <c r="BG338" s="119"/>
      <c r="BH338" s="119"/>
    </row>
    <row r="339" spans="1:60" ht="15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  <c r="AO339" s="119"/>
      <c r="AP339" s="119"/>
      <c r="AQ339" s="119"/>
      <c r="AR339" s="119"/>
      <c r="AS339" s="119"/>
      <c r="AT339" s="119"/>
      <c r="AU339" s="119"/>
      <c r="AV339" s="119"/>
      <c r="AW339" s="119"/>
      <c r="AX339" s="119"/>
      <c r="AY339" s="119"/>
      <c r="AZ339" s="119"/>
      <c r="BA339" s="119"/>
      <c r="BB339" s="119"/>
      <c r="BC339" s="119"/>
      <c r="BD339" s="119"/>
      <c r="BE339" s="119"/>
      <c r="BF339" s="119"/>
      <c r="BG339" s="119"/>
      <c r="BH339" s="119"/>
    </row>
    <row r="340" spans="1:60" ht="15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  <c r="AO340" s="119"/>
      <c r="AP340" s="119"/>
      <c r="AQ340" s="119"/>
      <c r="AR340" s="119"/>
      <c r="AS340" s="119"/>
      <c r="AT340" s="119"/>
      <c r="AU340" s="119"/>
      <c r="AV340" s="119"/>
      <c r="AW340" s="119"/>
      <c r="AX340" s="119"/>
      <c r="AY340" s="119"/>
      <c r="AZ340" s="119"/>
      <c r="BA340" s="119"/>
      <c r="BB340" s="119"/>
      <c r="BC340" s="119"/>
      <c r="BD340" s="119"/>
      <c r="BE340" s="119"/>
      <c r="BF340" s="119"/>
      <c r="BG340" s="119"/>
      <c r="BH340" s="119"/>
    </row>
    <row r="341" spans="1:60" ht="15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  <c r="AO341" s="119"/>
      <c r="AP341" s="119"/>
      <c r="AQ341" s="119"/>
      <c r="AR341" s="119"/>
      <c r="AS341" s="119"/>
      <c r="AT341" s="119"/>
      <c r="AU341" s="119"/>
      <c r="AV341" s="119"/>
      <c r="AW341" s="119"/>
      <c r="AX341" s="119"/>
      <c r="AY341" s="119"/>
      <c r="AZ341" s="119"/>
      <c r="BA341" s="119"/>
      <c r="BB341" s="119"/>
      <c r="BC341" s="119"/>
      <c r="BD341" s="119"/>
      <c r="BE341" s="119"/>
      <c r="BF341" s="119"/>
      <c r="BG341" s="119"/>
      <c r="BH341" s="119"/>
    </row>
    <row r="342" spans="1:60" ht="15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  <c r="AP342" s="119"/>
      <c r="AQ342" s="119"/>
      <c r="AR342" s="119"/>
      <c r="AS342" s="119"/>
      <c r="AT342" s="119"/>
      <c r="AU342" s="119"/>
      <c r="AV342" s="119"/>
      <c r="AW342" s="119"/>
      <c r="AX342" s="119"/>
      <c r="AY342" s="119"/>
      <c r="AZ342" s="119"/>
      <c r="BA342" s="119"/>
      <c r="BB342" s="119"/>
      <c r="BC342" s="119"/>
      <c r="BD342" s="119"/>
      <c r="BE342" s="119"/>
      <c r="BF342" s="119"/>
      <c r="BG342" s="119"/>
      <c r="BH342" s="119"/>
    </row>
    <row r="343" spans="1:60" ht="15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  <c r="AP343" s="119"/>
      <c r="AQ343" s="119"/>
      <c r="AR343" s="119"/>
      <c r="AS343" s="119"/>
      <c r="AT343" s="119"/>
      <c r="AU343" s="119"/>
      <c r="AV343" s="119"/>
      <c r="AW343" s="119"/>
      <c r="AX343" s="119"/>
      <c r="AY343" s="119"/>
      <c r="AZ343" s="119"/>
      <c r="BA343" s="119"/>
      <c r="BB343" s="119"/>
      <c r="BC343" s="119"/>
      <c r="BD343" s="119"/>
      <c r="BE343" s="119"/>
      <c r="BF343" s="119"/>
      <c r="BG343" s="119"/>
      <c r="BH343" s="119"/>
    </row>
    <row r="344" spans="1:60" ht="15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  <c r="AP344" s="119"/>
      <c r="AQ344" s="119"/>
      <c r="AR344" s="119"/>
      <c r="AS344" s="119"/>
      <c r="AT344" s="119"/>
      <c r="AU344" s="119"/>
      <c r="AV344" s="119"/>
      <c r="AW344" s="119"/>
      <c r="AX344" s="119"/>
      <c r="AY344" s="119"/>
      <c r="AZ344" s="119"/>
      <c r="BA344" s="119"/>
      <c r="BB344" s="119"/>
      <c r="BC344" s="119"/>
      <c r="BD344" s="119"/>
      <c r="BE344" s="119"/>
      <c r="BF344" s="119"/>
      <c r="BG344" s="119"/>
      <c r="BH344" s="119"/>
    </row>
    <row r="345" spans="1:60" ht="15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  <c r="AP345" s="119"/>
      <c r="AQ345" s="119"/>
      <c r="AR345" s="119"/>
      <c r="AS345" s="119"/>
      <c r="AT345" s="119"/>
      <c r="AU345" s="119"/>
      <c r="AV345" s="119"/>
      <c r="AW345" s="119"/>
      <c r="AX345" s="119"/>
      <c r="AY345" s="119"/>
      <c r="AZ345" s="119"/>
      <c r="BA345" s="119"/>
      <c r="BB345" s="119"/>
      <c r="BC345" s="119"/>
      <c r="BD345" s="119"/>
      <c r="BE345" s="119"/>
      <c r="BF345" s="119"/>
      <c r="BG345" s="119"/>
      <c r="BH345" s="119"/>
    </row>
    <row r="346" spans="1:60" ht="15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  <c r="AP346" s="119"/>
      <c r="AQ346" s="119"/>
      <c r="AR346" s="119"/>
      <c r="AS346" s="119"/>
      <c r="AT346" s="119"/>
      <c r="AU346" s="119"/>
      <c r="AV346" s="119"/>
      <c r="AW346" s="119"/>
      <c r="AX346" s="119"/>
      <c r="AY346" s="119"/>
      <c r="AZ346" s="119"/>
      <c r="BA346" s="119"/>
      <c r="BB346" s="119"/>
      <c r="BC346" s="119"/>
      <c r="BD346" s="119"/>
      <c r="BE346" s="119"/>
      <c r="BF346" s="119"/>
      <c r="BG346" s="119"/>
      <c r="BH346" s="119"/>
    </row>
    <row r="347" spans="1:60" ht="15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  <c r="AP347" s="119"/>
      <c r="AQ347" s="119"/>
      <c r="AR347" s="119"/>
      <c r="AS347" s="119"/>
      <c r="AT347" s="119"/>
      <c r="AU347" s="119"/>
      <c r="AV347" s="119"/>
      <c r="AW347" s="119"/>
      <c r="AX347" s="119"/>
      <c r="AY347" s="119"/>
      <c r="AZ347" s="119"/>
      <c r="BA347" s="119"/>
      <c r="BB347" s="119"/>
      <c r="BC347" s="119"/>
      <c r="BD347" s="119"/>
      <c r="BE347" s="119"/>
      <c r="BF347" s="119"/>
      <c r="BG347" s="119"/>
      <c r="BH347" s="119"/>
    </row>
    <row r="348" spans="1:60" ht="15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  <c r="AP348" s="119"/>
      <c r="AQ348" s="119"/>
      <c r="AR348" s="119"/>
      <c r="AS348" s="119"/>
      <c r="AT348" s="119"/>
      <c r="AU348" s="119"/>
      <c r="AV348" s="119"/>
      <c r="AW348" s="119"/>
      <c r="AX348" s="119"/>
      <c r="AY348" s="119"/>
      <c r="AZ348" s="119"/>
      <c r="BA348" s="119"/>
      <c r="BB348" s="119"/>
      <c r="BC348" s="119"/>
      <c r="BD348" s="119"/>
      <c r="BE348" s="119"/>
      <c r="BF348" s="119"/>
      <c r="BG348" s="119"/>
      <c r="BH348" s="119"/>
    </row>
    <row r="349" spans="1:60" ht="15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  <c r="AO349" s="119"/>
      <c r="AP349" s="119"/>
      <c r="AQ349" s="119"/>
      <c r="AR349" s="119"/>
      <c r="AS349" s="119"/>
      <c r="AT349" s="119"/>
      <c r="AU349" s="119"/>
      <c r="AV349" s="119"/>
      <c r="AW349" s="119"/>
      <c r="AX349" s="119"/>
      <c r="AY349" s="119"/>
      <c r="AZ349" s="119"/>
      <c r="BA349" s="119"/>
      <c r="BB349" s="119"/>
      <c r="BC349" s="119"/>
      <c r="BD349" s="119"/>
      <c r="BE349" s="119"/>
      <c r="BF349" s="119"/>
      <c r="BG349" s="119"/>
      <c r="BH349" s="119"/>
    </row>
    <row r="350" spans="1:60" ht="15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  <c r="AO350" s="119"/>
      <c r="AP350" s="119"/>
      <c r="AQ350" s="119"/>
      <c r="AR350" s="119"/>
      <c r="AS350" s="119"/>
      <c r="AT350" s="119"/>
      <c r="AU350" s="119"/>
      <c r="AV350" s="119"/>
      <c r="AW350" s="119"/>
      <c r="AX350" s="119"/>
      <c r="AY350" s="119"/>
      <c r="AZ350" s="119"/>
      <c r="BA350" s="119"/>
      <c r="BB350" s="119"/>
      <c r="BC350" s="119"/>
      <c r="BD350" s="119"/>
      <c r="BE350" s="119"/>
      <c r="BF350" s="119"/>
      <c r="BG350" s="119"/>
      <c r="BH350" s="119"/>
    </row>
    <row r="351" spans="1:60" ht="15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  <c r="AP351" s="119"/>
      <c r="AQ351" s="119"/>
      <c r="AR351" s="119"/>
      <c r="AS351" s="119"/>
      <c r="AT351" s="119"/>
      <c r="AU351" s="119"/>
      <c r="AV351" s="119"/>
      <c r="AW351" s="119"/>
      <c r="AX351" s="119"/>
      <c r="AY351" s="119"/>
      <c r="AZ351" s="119"/>
      <c r="BA351" s="119"/>
      <c r="BB351" s="119"/>
      <c r="BC351" s="119"/>
      <c r="BD351" s="119"/>
      <c r="BE351" s="119"/>
      <c r="BF351" s="119"/>
      <c r="BG351" s="119"/>
      <c r="BH351" s="119"/>
    </row>
    <row r="352" spans="1:60" ht="15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  <c r="AP352" s="119"/>
      <c r="AQ352" s="119"/>
      <c r="AR352" s="119"/>
      <c r="AS352" s="119"/>
      <c r="AT352" s="119"/>
      <c r="AU352" s="119"/>
      <c r="AV352" s="119"/>
      <c r="AW352" s="119"/>
      <c r="AX352" s="119"/>
      <c r="AY352" s="119"/>
      <c r="AZ352" s="119"/>
      <c r="BA352" s="119"/>
      <c r="BB352" s="119"/>
      <c r="BC352" s="119"/>
      <c r="BD352" s="119"/>
      <c r="BE352" s="119"/>
      <c r="BF352" s="119"/>
      <c r="BG352" s="119"/>
      <c r="BH352" s="119"/>
    </row>
    <row r="353" spans="1:60" ht="15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  <c r="AP353" s="119"/>
      <c r="AQ353" s="119"/>
      <c r="AR353" s="119"/>
      <c r="AS353" s="119"/>
      <c r="AT353" s="119"/>
      <c r="AU353" s="119"/>
      <c r="AV353" s="119"/>
      <c r="AW353" s="119"/>
      <c r="AX353" s="119"/>
      <c r="AY353" s="119"/>
      <c r="AZ353" s="119"/>
      <c r="BA353" s="119"/>
      <c r="BB353" s="119"/>
      <c r="BC353" s="119"/>
      <c r="BD353" s="119"/>
      <c r="BE353" s="119"/>
      <c r="BF353" s="119"/>
      <c r="BG353" s="119"/>
      <c r="BH353" s="119"/>
    </row>
    <row r="354" spans="1:60" ht="15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  <c r="AP354" s="119"/>
      <c r="AQ354" s="119"/>
      <c r="AR354" s="119"/>
      <c r="AS354" s="119"/>
      <c r="AT354" s="119"/>
      <c r="AU354" s="119"/>
      <c r="AV354" s="119"/>
      <c r="AW354" s="119"/>
      <c r="AX354" s="119"/>
      <c r="AY354" s="119"/>
      <c r="AZ354" s="119"/>
      <c r="BA354" s="119"/>
      <c r="BB354" s="119"/>
      <c r="BC354" s="119"/>
      <c r="BD354" s="119"/>
      <c r="BE354" s="119"/>
      <c r="BF354" s="119"/>
      <c r="BG354" s="119"/>
      <c r="BH354" s="119"/>
    </row>
    <row r="355" spans="1:60" ht="15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  <c r="AP355" s="119"/>
      <c r="AQ355" s="119"/>
      <c r="AR355" s="119"/>
      <c r="AS355" s="119"/>
      <c r="AT355" s="119"/>
      <c r="AU355" s="119"/>
      <c r="AV355" s="119"/>
      <c r="AW355" s="119"/>
      <c r="AX355" s="119"/>
      <c r="AY355" s="119"/>
      <c r="AZ355" s="119"/>
      <c r="BA355" s="119"/>
      <c r="BB355" s="119"/>
      <c r="BC355" s="119"/>
      <c r="BD355" s="119"/>
      <c r="BE355" s="119"/>
      <c r="BF355" s="119"/>
      <c r="BG355" s="119"/>
      <c r="BH355" s="119"/>
    </row>
    <row r="356" spans="1:60" ht="15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  <c r="AP356" s="119"/>
      <c r="AQ356" s="119"/>
      <c r="AR356" s="119"/>
      <c r="AS356" s="119"/>
      <c r="AT356" s="119"/>
      <c r="AU356" s="119"/>
      <c r="AV356" s="119"/>
      <c r="AW356" s="119"/>
      <c r="AX356" s="119"/>
      <c r="AY356" s="119"/>
      <c r="AZ356" s="119"/>
      <c r="BA356" s="119"/>
      <c r="BB356" s="119"/>
      <c r="BC356" s="119"/>
      <c r="BD356" s="119"/>
      <c r="BE356" s="119"/>
      <c r="BF356" s="119"/>
      <c r="BG356" s="119"/>
      <c r="BH356" s="119"/>
    </row>
    <row r="357" spans="1:60" ht="15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  <c r="AN357" s="119"/>
      <c r="AO357" s="119"/>
      <c r="AP357" s="119"/>
      <c r="AQ357" s="119"/>
      <c r="AR357" s="119"/>
      <c r="AS357" s="119"/>
      <c r="AT357" s="119"/>
      <c r="AU357" s="119"/>
      <c r="AV357" s="119"/>
      <c r="AW357" s="119"/>
      <c r="AX357" s="119"/>
      <c r="AY357" s="119"/>
      <c r="AZ357" s="119"/>
      <c r="BA357" s="119"/>
      <c r="BB357" s="119"/>
      <c r="BC357" s="119"/>
      <c r="BD357" s="119"/>
      <c r="BE357" s="119"/>
      <c r="BF357" s="119"/>
      <c r="BG357" s="119"/>
      <c r="BH357" s="119"/>
    </row>
    <row r="358" spans="1:60" ht="15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  <c r="AN358" s="119"/>
      <c r="AO358" s="119"/>
      <c r="AP358" s="119"/>
      <c r="AQ358" s="119"/>
      <c r="AR358" s="119"/>
      <c r="AS358" s="119"/>
      <c r="AT358" s="119"/>
      <c r="AU358" s="119"/>
      <c r="AV358" s="119"/>
      <c r="AW358" s="119"/>
      <c r="AX358" s="119"/>
      <c r="AY358" s="119"/>
      <c r="AZ358" s="119"/>
      <c r="BA358" s="119"/>
      <c r="BB358" s="119"/>
      <c r="BC358" s="119"/>
      <c r="BD358" s="119"/>
      <c r="BE358" s="119"/>
      <c r="BF358" s="119"/>
      <c r="BG358" s="119"/>
      <c r="BH358" s="119"/>
    </row>
    <row r="359" spans="1:60" ht="15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  <c r="AN359" s="119"/>
      <c r="AO359" s="119"/>
      <c r="AP359" s="119"/>
      <c r="AQ359" s="119"/>
      <c r="AR359" s="119"/>
      <c r="AS359" s="119"/>
      <c r="AT359" s="119"/>
      <c r="AU359" s="119"/>
      <c r="AV359" s="119"/>
      <c r="AW359" s="119"/>
      <c r="AX359" s="119"/>
      <c r="AY359" s="119"/>
      <c r="AZ359" s="119"/>
      <c r="BA359" s="119"/>
      <c r="BB359" s="119"/>
      <c r="BC359" s="119"/>
      <c r="BD359" s="119"/>
      <c r="BE359" s="119"/>
      <c r="BF359" s="119"/>
      <c r="BG359" s="119"/>
      <c r="BH359" s="119"/>
    </row>
    <row r="360" spans="1:60" ht="15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  <c r="AN360" s="119"/>
      <c r="AO360" s="119"/>
      <c r="AP360" s="119"/>
      <c r="AQ360" s="119"/>
      <c r="AR360" s="119"/>
      <c r="AS360" s="119"/>
      <c r="AT360" s="119"/>
      <c r="AU360" s="119"/>
      <c r="AV360" s="119"/>
      <c r="AW360" s="119"/>
      <c r="AX360" s="119"/>
      <c r="AY360" s="119"/>
      <c r="AZ360" s="119"/>
      <c r="BA360" s="119"/>
      <c r="BB360" s="119"/>
      <c r="BC360" s="119"/>
      <c r="BD360" s="119"/>
      <c r="BE360" s="119"/>
      <c r="BF360" s="119"/>
      <c r="BG360" s="119"/>
      <c r="BH360" s="119"/>
    </row>
    <row r="361" spans="1:60" ht="15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  <c r="AN361" s="119"/>
      <c r="AO361" s="119"/>
      <c r="AP361" s="119"/>
      <c r="AQ361" s="119"/>
      <c r="AR361" s="119"/>
      <c r="AS361" s="119"/>
      <c r="AT361" s="119"/>
      <c r="AU361" s="119"/>
      <c r="AV361" s="119"/>
      <c r="AW361" s="119"/>
      <c r="AX361" s="119"/>
      <c r="AY361" s="119"/>
      <c r="AZ361" s="119"/>
      <c r="BA361" s="119"/>
      <c r="BB361" s="119"/>
      <c r="BC361" s="119"/>
      <c r="BD361" s="119"/>
      <c r="BE361" s="119"/>
      <c r="BF361" s="119"/>
      <c r="BG361" s="119"/>
      <c r="BH361" s="119"/>
    </row>
    <row r="362" spans="1:60" ht="15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  <c r="AN362" s="119"/>
      <c r="AO362" s="119"/>
      <c r="AP362" s="119"/>
      <c r="AQ362" s="119"/>
      <c r="AR362" s="119"/>
      <c r="AS362" s="119"/>
      <c r="AT362" s="119"/>
      <c r="AU362" s="119"/>
      <c r="AV362" s="119"/>
      <c r="AW362" s="119"/>
      <c r="AX362" s="119"/>
      <c r="AY362" s="119"/>
      <c r="AZ362" s="119"/>
      <c r="BA362" s="119"/>
      <c r="BB362" s="119"/>
      <c r="BC362" s="119"/>
      <c r="BD362" s="119"/>
      <c r="BE362" s="119"/>
      <c r="BF362" s="119"/>
      <c r="BG362" s="119"/>
      <c r="BH362" s="119"/>
    </row>
    <row r="363" spans="1:60" ht="15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  <c r="AN363" s="119"/>
      <c r="AO363" s="119"/>
      <c r="AP363" s="119"/>
      <c r="AQ363" s="119"/>
      <c r="AR363" s="119"/>
      <c r="AS363" s="119"/>
      <c r="AT363" s="119"/>
      <c r="AU363" s="119"/>
      <c r="AV363" s="119"/>
      <c r="AW363" s="119"/>
      <c r="AX363" s="119"/>
      <c r="AY363" s="119"/>
      <c r="AZ363" s="119"/>
      <c r="BA363" s="119"/>
      <c r="BB363" s="119"/>
      <c r="BC363" s="119"/>
      <c r="BD363" s="119"/>
      <c r="BE363" s="119"/>
      <c r="BF363" s="119"/>
      <c r="BG363" s="119"/>
      <c r="BH363" s="119"/>
    </row>
    <row r="364" spans="1:60" ht="15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  <c r="AN364" s="119"/>
      <c r="AO364" s="119"/>
      <c r="AP364" s="119"/>
      <c r="AQ364" s="119"/>
      <c r="AR364" s="119"/>
      <c r="AS364" s="119"/>
      <c r="AT364" s="119"/>
      <c r="AU364" s="119"/>
      <c r="AV364" s="119"/>
      <c r="AW364" s="119"/>
      <c r="AX364" s="119"/>
      <c r="AY364" s="119"/>
      <c r="AZ364" s="119"/>
      <c r="BA364" s="119"/>
      <c r="BB364" s="119"/>
      <c r="BC364" s="119"/>
      <c r="BD364" s="119"/>
      <c r="BE364" s="119"/>
      <c r="BF364" s="119"/>
      <c r="BG364" s="119"/>
      <c r="BH364" s="119"/>
    </row>
    <row r="365" spans="1:60" ht="15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  <c r="AN365" s="119"/>
      <c r="AO365" s="119"/>
      <c r="AP365" s="119"/>
      <c r="AQ365" s="119"/>
      <c r="AR365" s="119"/>
      <c r="AS365" s="119"/>
      <c r="AT365" s="119"/>
      <c r="AU365" s="119"/>
      <c r="AV365" s="119"/>
      <c r="AW365" s="119"/>
      <c r="AX365" s="119"/>
      <c r="AY365" s="119"/>
      <c r="AZ365" s="119"/>
      <c r="BA365" s="119"/>
      <c r="BB365" s="119"/>
      <c r="BC365" s="119"/>
      <c r="BD365" s="119"/>
      <c r="BE365" s="119"/>
      <c r="BF365" s="119"/>
      <c r="BG365" s="119"/>
      <c r="BH365" s="119"/>
    </row>
    <row r="366" spans="1:60" ht="15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  <c r="AN366" s="119"/>
      <c r="AO366" s="119"/>
      <c r="AP366" s="119"/>
      <c r="AQ366" s="119"/>
      <c r="AR366" s="119"/>
      <c r="AS366" s="119"/>
      <c r="AT366" s="119"/>
      <c r="AU366" s="119"/>
      <c r="AV366" s="119"/>
      <c r="AW366" s="119"/>
      <c r="AX366" s="119"/>
      <c r="AY366" s="119"/>
      <c r="AZ366" s="119"/>
      <c r="BA366" s="119"/>
      <c r="BB366" s="119"/>
      <c r="BC366" s="119"/>
      <c r="BD366" s="119"/>
      <c r="BE366" s="119"/>
      <c r="BF366" s="119"/>
      <c r="BG366" s="119"/>
      <c r="BH366" s="119"/>
    </row>
    <row r="367" spans="1:60" ht="15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  <c r="AN367" s="119"/>
      <c r="AO367" s="119"/>
      <c r="AP367" s="119"/>
      <c r="AQ367" s="119"/>
      <c r="AR367" s="119"/>
      <c r="AS367" s="119"/>
      <c r="AT367" s="119"/>
      <c r="AU367" s="119"/>
      <c r="AV367" s="119"/>
      <c r="AW367" s="119"/>
      <c r="AX367" s="119"/>
      <c r="AY367" s="119"/>
      <c r="AZ367" s="119"/>
      <c r="BA367" s="119"/>
      <c r="BB367" s="119"/>
      <c r="BC367" s="119"/>
      <c r="BD367" s="119"/>
      <c r="BE367" s="119"/>
      <c r="BF367" s="119"/>
      <c r="BG367" s="119"/>
      <c r="BH367" s="119"/>
    </row>
    <row r="368" spans="1:60" ht="15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  <c r="AN368" s="119"/>
      <c r="AO368" s="119"/>
      <c r="AP368" s="119"/>
      <c r="AQ368" s="119"/>
      <c r="AR368" s="119"/>
      <c r="AS368" s="119"/>
      <c r="AT368" s="119"/>
      <c r="AU368" s="119"/>
      <c r="AV368" s="119"/>
      <c r="AW368" s="119"/>
      <c r="AX368" s="119"/>
      <c r="AY368" s="119"/>
      <c r="AZ368" s="119"/>
      <c r="BA368" s="119"/>
      <c r="BB368" s="119"/>
      <c r="BC368" s="119"/>
      <c r="BD368" s="119"/>
      <c r="BE368" s="119"/>
      <c r="BF368" s="119"/>
      <c r="BG368" s="119"/>
      <c r="BH368" s="119"/>
    </row>
    <row r="369" spans="1:60" ht="15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  <c r="AN369" s="119"/>
      <c r="AO369" s="119"/>
      <c r="AP369" s="119"/>
      <c r="AQ369" s="119"/>
      <c r="AR369" s="119"/>
      <c r="AS369" s="119"/>
      <c r="AT369" s="119"/>
      <c r="AU369" s="119"/>
      <c r="AV369" s="119"/>
      <c r="AW369" s="119"/>
      <c r="AX369" s="119"/>
      <c r="AY369" s="119"/>
      <c r="AZ369" s="119"/>
      <c r="BA369" s="119"/>
      <c r="BB369" s="119"/>
      <c r="BC369" s="119"/>
      <c r="BD369" s="119"/>
      <c r="BE369" s="119"/>
      <c r="BF369" s="119"/>
      <c r="BG369" s="119"/>
      <c r="BH369" s="119"/>
    </row>
    <row r="370" spans="1:60" ht="15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  <c r="AN370" s="119"/>
      <c r="AO370" s="119"/>
      <c r="AP370" s="119"/>
      <c r="AQ370" s="119"/>
      <c r="AR370" s="119"/>
      <c r="AS370" s="119"/>
      <c r="AT370" s="119"/>
      <c r="AU370" s="119"/>
      <c r="AV370" s="119"/>
      <c r="AW370" s="119"/>
      <c r="AX370" s="119"/>
      <c r="AY370" s="119"/>
      <c r="AZ370" s="119"/>
      <c r="BA370" s="119"/>
      <c r="BB370" s="119"/>
      <c r="BC370" s="119"/>
      <c r="BD370" s="119"/>
      <c r="BE370" s="119"/>
      <c r="BF370" s="119"/>
      <c r="BG370" s="119"/>
      <c r="BH370" s="119"/>
    </row>
    <row r="371" spans="1:60" ht="15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  <c r="AN371" s="119"/>
      <c r="AO371" s="119"/>
      <c r="AP371" s="119"/>
      <c r="AQ371" s="119"/>
      <c r="AR371" s="119"/>
      <c r="AS371" s="119"/>
      <c r="AT371" s="119"/>
      <c r="AU371" s="119"/>
      <c r="AV371" s="119"/>
      <c r="AW371" s="119"/>
      <c r="AX371" s="119"/>
      <c r="AY371" s="119"/>
      <c r="AZ371" s="119"/>
      <c r="BA371" s="119"/>
      <c r="BB371" s="119"/>
      <c r="BC371" s="119"/>
      <c r="BD371" s="119"/>
      <c r="BE371" s="119"/>
      <c r="BF371" s="119"/>
      <c r="BG371" s="119"/>
      <c r="BH371" s="119"/>
    </row>
    <row r="372" spans="1:60" ht="15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  <c r="AN372" s="119"/>
      <c r="AO372" s="119"/>
      <c r="AP372" s="119"/>
      <c r="AQ372" s="119"/>
      <c r="AR372" s="119"/>
      <c r="AS372" s="119"/>
      <c r="AT372" s="119"/>
      <c r="AU372" s="119"/>
      <c r="AV372" s="119"/>
      <c r="AW372" s="119"/>
      <c r="AX372" s="119"/>
      <c r="AY372" s="119"/>
      <c r="AZ372" s="119"/>
      <c r="BA372" s="119"/>
      <c r="BB372" s="119"/>
      <c r="BC372" s="119"/>
      <c r="BD372" s="119"/>
      <c r="BE372" s="119"/>
      <c r="BF372" s="119"/>
      <c r="BG372" s="119"/>
      <c r="BH372" s="119"/>
    </row>
    <row r="373" spans="1:60" ht="15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  <c r="AN373" s="119"/>
      <c r="AO373" s="119"/>
      <c r="AP373" s="119"/>
      <c r="AQ373" s="119"/>
      <c r="AR373" s="119"/>
      <c r="AS373" s="119"/>
      <c r="AT373" s="119"/>
      <c r="AU373" s="119"/>
      <c r="AV373" s="119"/>
      <c r="AW373" s="119"/>
      <c r="AX373" s="119"/>
      <c r="AY373" s="119"/>
      <c r="AZ373" s="119"/>
      <c r="BA373" s="119"/>
      <c r="BB373" s="119"/>
      <c r="BC373" s="119"/>
      <c r="BD373" s="119"/>
      <c r="BE373" s="119"/>
      <c r="BF373" s="119"/>
      <c r="BG373" s="119"/>
      <c r="BH373" s="119"/>
    </row>
    <row r="374" spans="1:60" ht="15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  <c r="AN374" s="119"/>
      <c r="AO374" s="119"/>
      <c r="AP374" s="119"/>
      <c r="AQ374" s="119"/>
      <c r="AR374" s="119"/>
      <c r="AS374" s="119"/>
      <c r="AT374" s="119"/>
      <c r="AU374" s="119"/>
      <c r="AV374" s="119"/>
      <c r="AW374" s="119"/>
      <c r="AX374" s="119"/>
      <c r="AY374" s="119"/>
      <c r="AZ374" s="119"/>
      <c r="BA374" s="119"/>
      <c r="BB374" s="119"/>
      <c r="BC374" s="119"/>
      <c r="BD374" s="119"/>
      <c r="BE374" s="119"/>
      <c r="BF374" s="119"/>
      <c r="BG374" s="119"/>
      <c r="BH374" s="119"/>
    </row>
    <row r="375" spans="1:60" ht="15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  <c r="AN375" s="119"/>
      <c r="AO375" s="119"/>
      <c r="AP375" s="119"/>
      <c r="AQ375" s="119"/>
      <c r="AR375" s="119"/>
      <c r="AS375" s="119"/>
      <c r="AT375" s="119"/>
      <c r="AU375" s="119"/>
      <c r="AV375" s="119"/>
      <c r="AW375" s="119"/>
      <c r="AX375" s="119"/>
      <c r="AY375" s="119"/>
      <c r="AZ375" s="119"/>
      <c r="BA375" s="119"/>
      <c r="BB375" s="119"/>
      <c r="BC375" s="119"/>
      <c r="BD375" s="119"/>
      <c r="BE375" s="119"/>
      <c r="BF375" s="119"/>
      <c r="BG375" s="119"/>
      <c r="BH375" s="119"/>
    </row>
    <row r="376" spans="1:60" ht="15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  <c r="AN376" s="119"/>
      <c r="AO376" s="119"/>
      <c r="AP376" s="119"/>
      <c r="AQ376" s="119"/>
      <c r="AR376" s="119"/>
      <c r="AS376" s="119"/>
      <c r="AT376" s="119"/>
      <c r="AU376" s="119"/>
      <c r="AV376" s="119"/>
      <c r="AW376" s="119"/>
      <c r="AX376" s="119"/>
      <c r="AY376" s="119"/>
      <c r="AZ376" s="119"/>
      <c r="BA376" s="119"/>
      <c r="BB376" s="119"/>
      <c r="BC376" s="119"/>
      <c r="BD376" s="119"/>
      <c r="BE376" s="119"/>
      <c r="BF376" s="119"/>
      <c r="BG376" s="119"/>
      <c r="BH376" s="119"/>
    </row>
    <row r="377" spans="1:60" ht="15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  <c r="AN377" s="119"/>
      <c r="AO377" s="119"/>
      <c r="AP377" s="119"/>
      <c r="AQ377" s="119"/>
      <c r="AR377" s="119"/>
      <c r="AS377" s="119"/>
      <c r="AT377" s="119"/>
      <c r="AU377" s="119"/>
      <c r="AV377" s="119"/>
      <c r="AW377" s="119"/>
      <c r="AX377" s="119"/>
      <c r="AY377" s="119"/>
      <c r="AZ377" s="119"/>
      <c r="BA377" s="119"/>
      <c r="BB377" s="119"/>
      <c r="BC377" s="119"/>
      <c r="BD377" s="119"/>
      <c r="BE377" s="119"/>
      <c r="BF377" s="119"/>
      <c r="BG377" s="119"/>
      <c r="BH377" s="119"/>
    </row>
    <row r="378" spans="1:60" ht="15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  <c r="AN378" s="119"/>
      <c r="AO378" s="119"/>
      <c r="AP378" s="119"/>
      <c r="AQ378" s="119"/>
      <c r="AR378" s="119"/>
      <c r="AS378" s="119"/>
      <c r="AT378" s="119"/>
      <c r="AU378" s="119"/>
      <c r="AV378" s="119"/>
      <c r="AW378" s="119"/>
      <c r="AX378" s="119"/>
      <c r="AY378" s="119"/>
      <c r="AZ378" s="119"/>
      <c r="BA378" s="119"/>
      <c r="BB378" s="119"/>
      <c r="BC378" s="119"/>
      <c r="BD378" s="119"/>
      <c r="BE378" s="119"/>
      <c r="BF378" s="119"/>
      <c r="BG378" s="119"/>
      <c r="BH378" s="119"/>
    </row>
    <row r="379" spans="1:60" ht="15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  <c r="AN379" s="119"/>
      <c r="AO379" s="119"/>
      <c r="AP379" s="119"/>
      <c r="AQ379" s="119"/>
      <c r="AR379" s="119"/>
      <c r="AS379" s="119"/>
      <c r="AT379" s="119"/>
      <c r="AU379" s="119"/>
      <c r="AV379" s="119"/>
      <c r="AW379" s="119"/>
      <c r="AX379" s="119"/>
      <c r="AY379" s="119"/>
      <c r="AZ379" s="119"/>
      <c r="BA379" s="119"/>
      <c r="BB379" s="119"/>
      <c r="BC379" s="119"/>
      <c r="BD379" s="119"/>
      <c r="BE379" s="119"/>
      <c r="BF379" s="119"/>
      <c r="BG379" s="119"/>
      <c r="BH379" s="119"/>
    </row>
    <row r="380" spans="1:60" ht="15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  <c r="AN380" s="119"/>
      <c r="AO380" s="119"/>
      <c r="AP380" s="119"/>
      <c r="AQ380" s="119"/>
      <c r="AR380" s="119"/>
      <c r="AS380" s="119"/>
      <c r="AT380" s="119"/>
      <c r="AU380" s="119"/>
      <c r="AV380" s="119"/>
      <c r="AW380" s="119"/>
      <c r="AX380" s="119"/>
      <c r="AY380" s="119"/>
      <c r="AZ380" s="119"/>
      <c r="BA380" s="119"/>
      <c r="BB380" s="119"/>
      <c r="BC380" s="119"/>
      <c r="BD380" s="119"/>
      <c r="BE380" s="119"/>
      <c r="BF380" s="119"/>
      <c r="BG380" s="119"/>
      <c r="BH380" s="119"/>
    </row>
    <row r="381" spans="1:60" ht="15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  <c r="AN381" s="119"/>
      <c r="AO381" s="119"/>
      <c r="AP381" s="119"/>
      <c r="AQ381" s="119"/>
      <c r="AR381" s="119"/>
      <c r="AS381" s="119"/>
      <c r="AT381" s="119"/>
      <c r="AU381" s="119"/>
      <c r="AV381" s="119"/>
      <c r="AW381" s="119"/>
      <c r="AX381" s="119"/>
      <c r="AY381" s="119"/>
      <c r="AZ381" s="119"/>
      <c r="BA381" s="119"/>
      <c r="BB381" s="119"/>
      <c r="BC381" s="119"/>
      <c r="BD381" s="119"/>
      <c r="BE381" s="119"/>
      <c r="BF381" s="119"/>
      <c r="BG381" s="119"/>
      <c r="BH381" s="119"/>
    </row>
    <row r="382" spans="1:60" ht="15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  <c r="AN382" s="119"/>
      <c r="AO382" s="119"/>
      <c r="AP382" s="119"/>
      <c r="AQ382" s="119"/>
      <c r="AR382" s="119"/>
      <c r="AS382" s="119"/>
      <c r="AT382" s="119"/>
      <c r="AU382" s="119"/>
      <c r="AV382" s="119"/>
      <c r="AW382" s="119"/>
      <c r="AX382" s="119"/>
      <c r="AY382" s="119"/>
      <c r="AZ382" s="119"/>
      <c r="BA382" s="119"/>
      <c r="BB382" s="119"/>
      <c r="BC382" s="119"/>
      <c r="BD382" s="119"/>
      <c r="BE382" s="119"/>
      <c r="BF382" s="119"/>
      <c r="BG382" s="119"/>
      <c r="BH382" s="119"/>
    </row>
    <row r="383" spans="1:60" ht="15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  <c r="AN383" s="119"/>
      <c r="AO383" s="119"/>
      <c r="AP383" s="119"/>
      <c r="AQ383" s="119"/>
      <c r="AR383" s="119"/>
      <c r="AS383" s="119"/>
      <c r="AT383" s="119"/>
      <c r="AU383" s="119"/>
      <c r="AV383" s="119"/>
      <c r="AW383" s="119"/>
      <c r="AX383" s="119"/>
      <c r="AY383" s="119"/>
      <c r="AZ383" s="119"/>
      <c r="BA383" s="119"/>
      <c r="BB383" s="119"/>
      <c r="BC383" s="119"/>
      <c r="BD383" s="119"/>
      <c r="BE383" s="119"/>
      <c r="BF383" s="119"/>
      <c r="BG383" s="119"/>
      <c r="BH383" s="119"/>
    </row>
    <row r="384" spans="1:60" ht="15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  <c r="AN384" s="119"/>
      <c r="AO384" s="119"/>
      <c r="AP384" s="119"/>
      <c r="AQ384" s="119"/>
      <c r="AR384" s="119"/>
      <c r="AS384" s="119"/>
      <c r="AT384" s="119"/>
      <c r="AU384" s="119"/>
      <c r="AV384" s="119"/>
      <c r="AW384" s="119"/>
      <c r="AX384" s="119"/>
      <c r="AY384" s="119"/>
      <c r="AZ384" s="119"/>
      <c r="BA384" s="119"/>
      <c r="BB384" s="119"/>
      <c r="BC384" s="119"/>
      <c r="BD384" s="119"/>
      <c r="BE384" s="119"/>
      <c r="BF384" s="119"/>
      <c r="BG384" s="119"/>
      <c r="BH384" s="119"/>
    </row>
    <row r="385" spans="1:60" ht="15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  <c r="AN385" s="119"/>
      <c r="AO385" s="119"/>
      <c r="AP385" s="119"/>
      <c r="AQ385" s="119"/>
      <c r="AR385" s="119"/>
      <c r="AS385" s="119"/>
      <c r="AT385" s="119"/>
      <c r="AU385" s="119"/>
      <c r="AV385" s="119"/>
      <c r="AW385" s="119"/>
      <c r="AX385" s="119"/>
      <c r="AY385" s="119"/>
      <c r="AZ385" s="119"/>
      <c r="BA385" s="119"/>
      <c r="BB385" s="119"/>
      <c r="BC385" s="119"/>
      <c r="BD385" s="119"/>
      <c r="BE385" s="119"/>
      <c r="BF385" s="119"/>
      <c r="BG385" s="119"/>
      <c r="BH385" s="119"/>
    </row>
    <row r="386" spans="1:60" ht="15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  <c r="AN386" s="119"/>
      <c r="AO386" s="119"/>
      <c r="AP386" s="119"/>
      <c r="AQ386" s="119"/>
      <c r="AR386" s="119"/>
      <c r="AS386" s="119"/>
      <c r="AT386" s="119"/>
      <c r="AU386" s="119"/>
      <c r="AV386" s="119"/>
      <c r="AW386" s="119"/>
      <c r="AX386" s="119"/>
      <c r="AY386" s="119"/>
      <c r="AZ386" s="119"/>
      <c r="BA386" s="119"/>
      <c r="BB386" s="119"/>
      <c r="BC386" s="119"/>
      <c r="BD386" s="119"/>
      <c r="BE386" s="119"/>
      <c r="BF386" s="119"/>
      <c r="BG386" s="119"/>
      <c r="BH386" s="119"/>
    </row>
    <row r="387" spans="1:60" ht="15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  <c r="AN387" s="119"/>
      <c r="AO387" s="119"/>
      <c r="AP387" s="119"/>
      <c r="AQ387" s="119"/>
      <c r="AR387" s="119"/>
      <c r="AS387" s="119"/>
      <c r="AT387" s="119"/>
      <c r="AU387" s="119"/>
      <c r="AV387" s="119"/>
      <c r="AW387" s="119"/>
      <c r="AX387" s="119"/>
      <c r="AY387" s="119"/>
      <c r="AZ387" s="119"/>
      <c r="BA387" s="119"/>
      <c r="BB387" s="119"/>
      <c r="BC387" s="119"/>
      <c r="BD387" s="119"/>
      <c r="BE387" s="119"/>
      <c r="BF387" s="119"/>
      <c r="BG387" s="119"/>
      <c r="BH387" s="119"/>
    </row>
    <row r="388" spans="1:60" ht="15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  <c r="AN388" s="119"/>
      <c r="AO388" s="119"/>
      <c r="AP388" s="119"/>
      <c r="AQ388" s="119"/>
      <c r="AR388" s="119"/>
      <c r="AS388" s="119"/>
      <c r="AT388" s="119"/>
      <c r="AU388" s="119"/>
      <c r="AV388" s="119"/>
      <c r="AW388" s="119"/>
      <c r="AX388" s="119"/>
      <c r="AY388" s="119"/>
      <c r="AZ388" s="119"/>
      <c r="BA388" s="119"/>
      <c r="BB388" s="119"/>
      <c r="BC388" s="119"/>
      <c r="BD388" s="119"/>
      <c r="BE388" s="119"/>
      <c r="BF388" s="119"/>
      <c r="BG388" s="119"/>
      <c r="BH388" s="119"/>
    </row>
    <row r="389" spans="1:60" ht="15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  <c r="AN389" s="119"/>
      <c r="AO389" s="119"/>
      <c r="AP389" s="119"/>
      <c r="AQ389" s="119"/>
      <c r="AR389" s="119"/>
      <c r="AS389" s="119"/>
      <c r="AT389" s="119"/>
      <c r="AU389" s="119"/>
      <c r="AV389" s="119"/>
      <c r="AW389" s="119"/>
      <c r="AX389" s="119"/>
      <c r="AY389" s="119"/>
      <c r="AZ389" s="119"/>
      <c r="BA389" s="119"/>
      <c r="BB389" s="119"/>
      <c r="BC389" s="119"/>
      <c r="BD389" s="119"/>
      <c r="BE389" s="119"/>
      <c r="BF389" s="119"/>
      <c r="BG389" s="119"/>
      <c r="BH389" s="119"/>
    </row>
    <row r="390" spans="1:60" ht="15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  <c r="AN390" s="119"/>
      <c r="AO390" s="119"/>
      <c r="AP390" s="119"/>
      <c r="AQ390" s="119"/>
      <c r="AR390" s="119"/>
      <c r="AS390" s="119"/>
      <c r="AT390" s="119"/>
      <c r="AU390" s="119"/>
      <c r="AV390" s="119"/>
      <c r="AW390" s="119"/>
      <c r="AX390" s="119"/>
      <c r="AY390" s="119"/>
      <c r="AZ390" s="119"/>
      <c r="BA390" s="119"/>
      <c r="BB390" s="119"/>
      <c r="BC390" s="119"/>
      <c r="BD390" s="119"/>
      <c r="BE390" s="119"/>
      <c r="BF390" s="119"/>
      <c r="BG390" s="119"/>
      <c r="BH390" s="119"/>
    </row>
    <row r="391" spans="1:60" ht="15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  <c r="AN391" s="119"/>
      <c r="AO391" s="119"/>
      <c r="AP391" s="119"/>
      <c r="AQ391" s="119"/>
      <c r="AR391" s="119"/>
      <c r="AS391" s="119"/>
      <c r="AT391" s="119"/>
      <c r="AU391" s="119"/>
      <c r="AV391" s="119"/>
      <c r="AW391" s="119"/>
      <c r="AX391" s="119"/>
      <c r="AY391" s="119"/>
      <c r="AZ391" s="119"/>
      <c r="BA391" s="119"/>
      <c r="BB391" s="119"/>
      <c r="BC391" s="119"/>
      <c r="BD391" s="119"/>
      <c r="BE391" s="119"/>
      <c r="BF391" s="119"/>
      <c r="BG391" s="119"/>
      <c r="BH391" s="119"/>
    </row>
    <row r="392" spans="1:60" ht="15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  <c r="AN392" s="119"/>
      <c r="AO392" s="119"/>
      <c r="AP392" s="119"/>
      <c r="AQ392" s="119"/>
      <c r="AR392" s="119"/>
      <c r="AS392" s="119"/>
      <c r="AT392" s="119"/>
      <c r="AU392" s="119"/>
      <c r="AV392" s="119"/>
      <c r="AW392" s="119"/>
      <c r="AX392" s="119"/>
      <c r="AY392" s="119"/>
      <c r="AZ392" s="119"/>
      <c r="BA392" s="119"/>
      <c r="BB392" s="119"/>
      <c r="BC392" s="119"/>
      <c r="BD392" s="119"/>
      <c r="BE392" s="119"/>
      <c r="BF392" s="119"/>
      <c r="BG392" s="119"/>
      <c r="BH392" s="119"/>
    </row>
    <row r="393" spans="1:60" ht="15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  <c r="AN393" s="119"/>
      <c r="AO393" s="119"/>
      <c r="AP393" s="119"/>
      <c r="AQ393" s="119"/>
      <c r="AR393" s="119"/>
      <c r="AS393" s="119"/>
      <c r="AT393" s="119"/>
      <c r="AU393" s="119"/>
      <c r="AV393" s="119"/>
      <c r="AW393" s="119"/>
      <c r="AX393" s="119"/>
      <c r="AY393" s="119"/>
      <c r="AZ393" s="119"/>
      <c r="BA393" s="119"/>
      <c r="BB393" s="119"/>
      <c r="BC393" s="119"/>
      <c r="BD393" s="119"/>
      <c r="BE393" s="119"/>
      <c r="BF393" s="119"/>
      <c r="BG393" s="119"/>
      <c r="BH393" s="119"/>
    </row>
    <row r="394" spans="1:60" ht="15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  <c r="AN394" s="119"/>
      <c r="AO394" s="119"/>
      <c r="AP394" s="119"/>
      <c r="AQ394" s="119"/>
      <c r="AR394" s="119"/>
      <c r="AS394" s="119"/>
      <c r="AT394" s="119"/>
      <c r="AU394" s="119"/>
      <c r="AV394" s="119"/>
      <c r="AW394" s="119"/>
      <c r="AX394" s="119"/>
      <c r="AY394" s="119"/>
      <c r="AZ394" s="119"/>
      <c r="BA394" s="119"/>
      <c r="BB394" s="119"/>
      <c r="BC394" s="119"/>
      <c r="BD394" s="119"/>
      <c r="BE394" s="119"/>
      <c r="BF394" s="119"/>
      <c r="BG394" s="119"/>
      <c r="BH394" s="119"/>
    </row>
    <row r="395" spans="1:60" ht="15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  <c r="AN395" s="119"/>
      <c r="AO395" s="119"/>
      <c r="AP395" s="119"/>
      <c r="AQ395" s="119"/>
      <c r="AR395" s="119"/>
      <c r="AS395" s="119"/>
      <c r="AT395" s="119"/>
      <c r="AU395" s="119"/>
      <c r="AV395" s="119"/>
      <c r="AW395" s="119"/>
      <c r="AX395" s="119"/>
      <c r="AY395" s="119"/>
      <c r="AZ395" s="119"/>
      <c r="BA395" s="119"/>
      <c r="BB395" s="119"/>
      <c r="BC395" s="119"/>
      <c r="BD395" s="119"/>
      <c r="BE395" s="119"/>
      <c r="BF395" s="119"/>
      <c r="BG395" s="119"/>
      <c r="BH395" s="119"/>
    </row>
    <row r="396" spans="1:60" ht="15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  <c r="AN396" s="119"/>
      <c r="AO396" s="119"/>
      <c r="AP396" s="119"/>
      <c r="AQ396" s="119"/>
      <c r="AR396" s="119"/>
      <c r="AS396" s="119"/>
      <c r="AT396" s="119"/>
      <c r="AU396" s="119"/>
      <c r="AV396" s="119"/>
      <c r="AW396" s="119"/>
      <c r="AX396" s="119"/>
      <c r="AY396" s="119"/>
      <c r="AZ396" s="119"/>
      <c r="BA396" s="119"/>
      <c r="BB396" s="119"/>
      <c r="BC396" s="119"/>
      <c r="BD396" s="119"/>
      <c r="BE396" s="119"/>
      <c r="BF396" s="119"/>
      <c r="BG396" s="119"/>
      <c r="BH396" s="119"/>
    </row>
    <row r="397" spans="1:60" ht="15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  <c r="AN397" s="119"/>
      <c r="AO397" s="119"/>
      <c r="AP397" s="119"/>
      <c r="AQ397" s="119"/>
      <c r="AR397" s="119"/>
      <c r="AS397" s="119"/>
      <c r="AT397" s="119"/>
      <c r="AU397" s="119"/>
      <c r="AV397" s="119"/>
      <c r="AW397" s="119"/>
      <c r="AX397" s="119"/>
      <c r="AY397" s="119"/>
      <c r="AZ397" s="119"/>
      <c r="BA397" s="119"/>
      <c r="BB397" s="119"/>
      <c r="BC397" s="119"/>
      <c r="BD397" s="119"/>
      <c r="BE397" s="119"/>
      <c r="BF397" s="119"/>
      <c r="BG397" s="119"/>
      <c r="BH397" s="119"/>
    </row>
    <row r="398" spans="1:60" ht="15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  <c r="AN398" s="119"/>
      <c r="AO398" s="119"/>
      <c r="AP398" s="119"/>
      <c r="AQ398" s="119"/>
      <c r="AR398" s="119"/>
      <c r="AS398" s="119"/>
      <c r="AT398" s="119"/>
      <c r="AU398" s="119"/>
      <c r="AV398" s="119"/>
      <c r="AW398" s="119"/>
      <c r="AX398" s="119"/>
      <c r="AY398" s="119"/>
      <c r="AZ398" s="119"/>
      <c r="BA398" s="119"/>
      <c r="BB398" s="119"/>
      <c r="BC398" s="119"/>
      <c r="BD398" s="119"/>
      <c r="BE398" s="119"/>
      <c r="BF398" s="119"/>
      <c r="BG398" s="119"/>
      <c r="BH398" s="119"/>
    </row>
    <row r="399" spans="1:60" ht="15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  <c r="AN399" s="119"/>
      <c r="AO399" s="119"/>
      <c r="AP399" s="119"/>
      <c r="AQ399" s="119"/>
      <c r="AR399" s="119"/>
      <c r="AS399" s="119"/>
      <c r="AT399" s="119"/>
      <c r="AU399" s="119"/>
      <c r="AV399" s="119"/>
      <c r="AW399" s="119"/>
      <c r="AX399" s="119"/>
      <c r="AY399" s="119"/>
      <c r="AZ399" s="119"/>
      <c r="BA399" s="119"/>
      <c r="BB399" s="119"/>
      <c r="BC399" s="119"/>
      <c r="BD399" s="119"/>
      <c r="BE399" s="119"/>
      <c r="BF399" s="119"/>
      <c r="BG399" s="119"/>
      <c r="BH399" s="119"/>
    </row>
    <row r="400" spans="1:60" ht="15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  <c r="AN400" s="119"/>
      <c r="AO400" s="119"/>
      <c r="AP400" s="119"/>
      <c r="AQ400" s="119"/>
      <c r="AR400" s="119"/>
      <c r="AS400" s="119"/>
      <c r="AT400" s="119"/>
      <c r="AU400" s="119"/>
      <c r="AV400" s="119"/>
      <c r="AW400" s="119"/>
      <c r="AX400" s="119"/>
      <c r="AY400" s="119"/>
      <c r="AZ400" s="119"/>
      <c r="BA400" s="119"/>
      <c r="BB400" s="119"/>
      <c r="BC400" s="119"/>
      <c r="BD400" s="119"/>
      <c r="BE400" s="119"/>
      <c r="BF400" s="119"/>
      <c r="BG400" s="119"/>
      <c r="BH400" s="119"/>
    </row>
    <row r="401" spans="1:60" ht="15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  <c r="AN401" s="119"/>
      <c r="AO401" s="119"/>
      <c r="AP401" s="119"/>
      <c r="AQ401" s="119"/>
      <c r="AR401" s="119"/>
      <c r="AS401" s="119"/>
      <c r="AT401" s="119"/>
      <c r="AU401" s="119"/>
      <c r="AV401" s="119"/>
      <c r="AW401" s="119"/>
      <c r="AX401" s="119"/>
      <c r="AY401" s="119"/>
      <c r="AZ401" s="119"/>
      <c r="BA401" s="119"/>
      <c r="BB401" s="119"/>
      <c r="BC401" s="119"/>
      <c r="BD401" s="119"/>
      <c r="BE401" s="119"/>
      <c r="BF401" s="119"/>
      <c r="BG401" s="119"/>
      <c r="BH401" s="119"/>
    </row>
    <row r="402" spans="1:60" ht="15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  <c r="AN402" s="119"/>
      <c r="AO402" s="119"/>
      <c r="AP402" s="119"/>
      <c r="AQ402" s="119"/>
      <c r="AR402" s="119"/>
      <c r="AS402" s="119"/>
      <c r="AT402" s="119"/>
      <c r="AU402" s="119"/>
      <c r="AV402" s="119"/>
      <c r="AW402" s="119"/>
      <c r="AX402" s="119"/>
      <c r="AY402" s="119"/>
      <c r="AZ402" s="119"/>
      <c r="BA402" s="119"/>
      <c r="BB402" s="119"/>
      <c r="BC402" s="119"/>
      <c r="BD402" s="119"/>
      <c r="BE402" s="119"/>
      <c r="BF402" s="119"/>
      <c r="BG402" s="119"/>
      <c r="BH402" s="119"/>
    </row>
    <row r="403" spans="1:60" ht="15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  <c r="AN403" s="119"/>
      <c r="AO403" s="119"/>
      <c r="AP403" s="119"/>
      <c r="AQ403" s="119"/>
      <c r="AR403" s="119"/>
      <c r="AS403" s="119"/>
      <c r="AT403" s="119"/>
      <c r="AU403" s="119"/>
      <c r="AV403" s="119"/>
      <c r="AW403" s="119"/>
      <c r="AX403" s="119"/>
      <c r="AY403" s="119"/>
      <c r="AZ403" s="119"/>
      <c r="BA403" s="119"/>
      <c r="BB403" s="119"/>
      <c r="BC403" s="119"/>
      <c r="BD403" s="119"/>
      <c r="BE403" s="119"/>
      <c r="BF403" s="119"/>
      <c r="BG403" s="119"/>
      <c r="BH403" s="119"/>
    </row>
    <row r="404" spans="1:60" ht="15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  <c r="AN404" s="119"/>
      <c r="AO404" s="119"/>
      <c r="AP404" s="119"/>
      <c r="AQ404" s="119"/>
      <c r="AR404" s="119"/>
      <c r="AS404" s="119"/>
      <c r="AT404" s="119"/>
      <c r="AU404" s="119"/>
      <c r="AV404" s="119"/>
      <c r="AW404" s="119"/>
      <c r="AX404" s="119"/>
      <c r="AY404" s="119"/>
      <c r="AZ404" s="119"/>
      <c r="BA404" s="119"/>
      <c r="BB404" s="119"/>
      <c r="BC404" s="119"/>
      <c r="BD404" s="119"/>
      <c r="BE404" s="119"/>
      <c r="BF404" s="119"/>
      <c r="BG404" s="119"/>
      <c r="BH404" s="119"/>
    </row>
    <row r="405" spans="1:60" ht="15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  <c r="AN405" s="119"/>
      <c r="AO405" s="119"/>
      <c r="AP405" s="119"/>
      <c r="AQ405" s="119"/>
      <c r="AR405" s="119"/>
      <c r="AS405" s="119"/>
      <c r="AT405" s="119"/>
      <c r="AU405" s="119"/>
      <c r="AV405" s="119"/>
      <c r="AW405" s="119"/>
      <c r="AX405" s="119"/>
      <c r="AY405" s="119"/>
      <c r="AZ405" s="119"/>
      <c r="BA405" s="119"/>
      <c r="BB405" s="119"/>
      <c r="BC405" s="119"/>
      <c r="BD405" s="119"/>
      <c r="BE405" s="119"/>
      <c r="BF405" s="119"/>
      <c r="BG405" s="119"/>
      <c r="BH405" s="119"/>
    </row>
    <row r="406" spans="1:60" ht="15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  <c r="AN406" s="119"/>
      <c r="AO406" s="119"/>
      <c r="AP406" s="119"/>
      <c r="AQ406" s="119"/>
      <c r="AR406" s="119"/>
      <c r="AS406" s="119"/>
      <c r="AT406" s="119"/>
      <c r="AU406" s="119"/>
      <c r="AV406" s="119"/>
      <c r="AW406" s="119"/>
      <c r="AX406" s="119"/>
      <c r="AY406" s="119"/>
      <c r="AZ406" s="119"/>
      <c r="BA406" s="119"/>
      <c r="BB406" s="119"/>
      <c r="BC406" s="119"/>
      <c r="BD406" s="119"/>
      <c r="BE406" s="119"/>
      <c r="BF406" s="119"/>
      <c r="BG406" s="119"/>
      <c r="BH406" s="119"/>
    </row>
    <row r="407" spans="1:60" ht="15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  <c r="AN407" s="119"/>
      <c r="AO407" s="119"/>
      <c r="AP407" s="119"/>
      <c r="AQ407" s="119"/>
      <c r="AR407" s="119"/>
      <c r="AS407" s="119"/>
      <c r="AT407" s="119"/>
      <c r="AU407" s="119"/>
      <c r="AV407" s="119"/>
      <c r="AW407" s="119"/>
      <c r="AX407" s="119"/>
      <c r="AY407" s="119"/>
      <c r="AZ407" s="119"/>
      <c r="BA407" s="119"/>
      <c r="BB407" s="119"/>
      <c r="BC407" s="119"/>
      <c r="BD407" s="119"/>
      <c r="BE407" s="119"/>
      <c r="BF407" s="119"/>
      <c r="BG407" s="119"/>
      <c r="BH407" s="119"/>
    </row>
    <row r="408" spans="1:60" ht="15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  <c r="AN408" s="119"/>
      <c r="AO408" s="119"/>
      <c r="AP408" s="119"/>
      <c r="AQ408" s="119"/>
      <c r="AR408" s="119"/>
      <c r="AS408" s="119"/>
      <c r="AT408" s="119"/>
      <c r="AU408" s="119"/>
      <c r="AV408" s="119"/>
      <c r="AW408" s="119"/>
      <c r="AX408" s="119"/>
      <c r="AY408" s="119"/>
      <c r="AZ408" s="119"/>
      <c r="BA408" s="119"/>
      <c r="BB408" s="119"/>
      <c r="BC408" s="119"/>
      <c r="BD408" s="119"/>
      <c r="BE408" s="119"/>
      <c r="BF408" s="119"/>
      <c r="BG408" s="119"/>
      <c r="BH408" s="119"/>
    </row>
    <row r="409" spans="1:60" ht="15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  <c r="AN409" s="119"/>
      <c r="AO409" s="119"/>
      <c r="AP409" s="119"/>
      <c r="AQ409" s="119"/>
      <c r="AR409" s="119"/>
      <c r="AS409" s="119"/>
      <c r="AT409" s="119"/>
      <c r="AU409" s="119"/>
      <c r="AV409" s="119"/>
      <c r="AW409" s="119"/>
      <c r="AX409" s="119"/>
      <c r="AY409" s="119"/>
      <c r="AZ409" s="119"/>
      <c r="BA409" s="119"/>
      <c r="BB409" s="119"/>
      <c r="BC409" s="119"/>
      <c r="BD409" s="119"/>
      <c r="BE409" s="119"/>
      <c r="BF409" s="119"/>
      <c r="BG409" s="119"/>
      <c r="BH409" s="119"/>
    </row>
    <row r="410" spans="1:60" ht="15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  <c r="AN410" s="119"/>
      <c r="AO410" s="119"/>
      <c r="AP410" s="119"/>
      <c r="AQ410" s="119"/>
      <c r="AR410" s="119"/>
      <c r="AS410" s="119"/>
      <c r="AT410" s="119"/>
      <c r="AU410" s="119"/>
      <c r="AV410" s="119"/>
      <c r="AW410" s="119"/>
      <c r="AX410" s="119"/>
      <c r="AY410" s="119"/>
      <c r="AZ410" s="119"/>
      <c r="BA410" s="119"/>
      <c r="BB410" s="119"/>
      <c r="BC410" s="119"/>
      <c r="BD410" s="119"/>
      <c r="BE410" s="119"/>
      <c r="BF410" s="119"/>
      <c r="BG410" s="119"/>
      <c r="BH410" s="119"/>
    </row>
    <row r="411" spans="1:60" ht="15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  <c r="AN411" s="119"/>
      <c r="AO411" s="119"/>
      <c r="AP411" s="119"/>
      <c r="AQ411" s="119"/>
      <c r="AR411" s="119"/>
      <c r="AS411" s="119"/>
      <c r="AT411" s="119"/>
      <c r="AU411" s="119"/>
      <c r="AV411" s="119"/>
      <c r="AW411" s="119"/>
      <c r="AX411" s="119"/>
      <c r="AY411" s="119"/>
      <c r="AZ411" s="119"/>
      <c r="BA411" s="119"/>
      <c r="BB411" s="119"/>
      <c r="BC411" s="119"/>
      <c r="BD411" s="119"/>
      <c r="BE411" s="119"/>
      <c r="BF411" s="119"/>
      <c r="BG411" s="119"/>
      <c r="BH411" s="119"/>
    </row>
    <row r="412" spans="1:60" ht="15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  <c r="AN412" s="119"/>
      <c r="AO412" s="119"/>
      <c r="AP412" s="119"/>
      <c r="AQ412" s="119"/>
      <c r="AR412" s="119"/>
      <c r="AS412" s="119"/>
      <c r="AT412" s="119"/>
      <c r="AU412" s="119"/>
      <c r="AV412" s="119"/>
      <c r="AW412" s="119"/>
      <c r="AX412" s="119"/>
      <c r="AY412" s="119"/>
      <c r="AZ412" s="119"/>
      <c r="BA412" s="119"/>
      <c r="BB412" s="119"/>
      <c r="BC412" s="119"/>
      <c r="BD412" s="119"/>
      <c r="BE412" s="119"/>
      <c r="BF412" s="119"/>
      <c r="BG412" s="119"/>
      <c r="BH412" s="119"/>
    </row>
    <row r="413" spans="1:60" ht="15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  <c r="AN413" s="119"/>
      <c r="AO413" s="119"/>
      <c r="AP413" s="119"/>
      <c r="AQ413" s="119"/>
      <c r="AR413" s="119"/>
      <c r="AS413" s="119"/>
      <c r="AT413" s="119"/>
      <c r="AU413" s="119"/>
      <c r="AV413" s="119"/>
      <c r="AW413" s="119"/>
      <c r="AX413" s="119"/>
      <c r="AY413" s="119"/>
      <c r="AZ413" s="119"/>
      <c r="BA413" s="119"/>
      <c r="BB413" s="119"/>
      <c r="BC413" s="119"/>
      <c r="BD413" s="119"/>
      <c r="BE413" s="119"/>
      <c r="BF413" s="119"/>
      <c r="BG413" s="119"/>
      <c r="BH413" s="119"/>
    </row>
    <row r="414" spans="1:60" ht="15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  <c r="AN414" s="119"/>
      <c r="AO414" s="119"/>
      <c r="AP414" s="119"/>
      <c r="AQ414" s="119"/>
      <c r="AR414" s="119"/>
      <c r="AS414" s="119"/>
      <c r="AT414" s="119"/>
      <c r="AU414" s="119"/>
      <c r="AV414" s="119"/>
      <c r="AW414" s="119"/>
      <c r="AX414" s="119"/>
      <c r="AY414" s="119"/>
      <c r="AZ414" s="119"/>
      <c r="BA414" s="119"/>
      <c r="BB414" s="119"/>
      <c r="BC414" s="119"/>
      <c r="BD414" s="119"/>
      <c r="BE414" s="119"/>
      <c r="BF414" s="119"/>
      <c r="BG414" s="119"/>
      <c r="BH414" s="119"/>
    </row>
    <row r="415" spans="1:60" ht="15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  <c r="AN415" s="119"/>
      <c r="AO415" s="119"/>
      <c r="AP415" s="119"/>
      <c r="AQ415" s="119"/>
      <c r="AR415" s="119"/>
      <c r="AS415" s="119"/>
      <c r="AT415" s="119"/>
      <c r="AU415" s="119"/>
      <c r="AV415" s="119"/>
      <c r="AW415" s="119"/>
      <c r="AX415" s="119"/>
      <c r="AY415" s="119"/>
      <c r="AZ415" s="119"/>
      <c r="BA415" s="119"/>
      <c r="BB415" s="119"/>
      <c r="BC415" s="119"/>
      <c r="BD415" s="119"/>
      <c r="BE415" s="119"/>
      <c r="BF415" s="119"/>
      <c r="BG415" s="119"/>
      <c r="BH415" s="119"/>
    </row>
    <row r="416" spans="1:60" ht="15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  <c r="AN416" s="119"/>
      <c r="AO416" s="119"/>
      <c r="AP416" s="119"/>
      <c r="AQ416" s="119"/>
      <c r="AR416" s="119"/>
      <c r="AS416" s="119"/>
      <c r="AT416" s="119"/>
      <c r="AU416" s="119"/>
      <c r="AV416" s="119"/>
      <c r="AW416" s="119"/>
      <c r="AX416" s="119"/>
      <c r="AY416" s="119"/>
      <c r="AZ416" s="119"/>
      <c r="BA416" s="119"/>
      <c r="BB416" s="119"/>
      <c r="BC416" s="119"/>
      <c r="BD416" s="119"/>
      <c r="BE416" s="119"/>
      <c r="BF416" s="119"/>
      <c r="BG416" s="119"/>
      <c r="BH416" s="119"/>
    </row>
    <row r="417" spans="1:60" ht="15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  <c r="AN417" s="119"/>
      <c r="AO417" s="119"/>
      <c r="AP417" s="119"/>
      <c r="AQ417" s="119"/>
      <c r="AR417" s="119"/>
      <c r="AS417" s="119"/>
      <c r="AT417" s="119"/>
      <c r="AU417" s="119"/>
      <c r="AV417" s="119"/>
      <c r="AW417" s="119"/>
      <c r="AX417" s="119"/>
      <c r="AY417" s="119"/>
      <c r="AZ417" s="119"/>
      <c r="BA417" s="119"/>
      <c r="BB417" s="119"/>
      <c r="BC417" s="119"/>
      <c r="BD417" s="119"/>
      <c r="BE417" s="119"/>
      <c r="BF417" s="119"/>
      <c r="BG417" s="119"/>
      <c r="BH417" s="119"/>
    </row>
    <row r="418" spans="1:60" ht="15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  <c r="AN418" s="119"/>
      <c r="AO418" s="119"/>
      <c r="AP418" s="119"/>
      <c r="AQ418" s="119"/>
      <c r="AR418" s="119"/>
      <c r="AS418" s="119"/>
      <c r="AT418" s="119"/>
      <c r="AU418" s="119"/>
      <c r="AV418" s="119"/>
      <c r="AW418" s="119"/>
      <c r="AX418" s="119"/>
      <c r="AY418" s="119"/>
      <c r="AZ418" s="119"/>
      <c r="BA418" s="119"/>
      <c r="BB418" s="119"/>
      <c r="BC418" s="119"/>
      <c r="BD418" s="119"/>
      <c r="BE418" s="119"/>
      <c r="BF418" s="119"/>
      <c r="BG418" s="119"/>
      <c r="BH418" s="119"/>
    </row>
    <row r="419" spans="1:60" ht="15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  <c r="AN419" s="119"/>
      <c r="AO419" s="119"/>
      <c r="AP419" s="119"/>
      <c r="AQ419" s="119"/>
      <c r="AR419" s="119"/>
      <c r="AS419" s="119"/>
      <c r="AT419" s="119"/>
      <c r="AU419" s="119"/>
      <c r="AV419" s="119"/>
      <c r="AW419" s="119"/>
      <c r="AX419" s="119"/>
      <c r="AY419" s="119"/>
      <c r="AZ419" s="119"/>
      <c r="BA419" s="119"/>
      <c r="BB419" s="119"/>
      <c r="BC419" s="119"/>
      <c r="BD419" s="119"/>
      <c r="BE419" s="119"/>
      <c r="BF419" s="119"/>
      <c r="BG419" s="119"/>
      <c r="BH419" s="119"/>
    </row>
    <row r="420" spans="1:60" ht="15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  <c r="AN420" s="119"/>
      <c r="AO420" s="119"/>
      <c r="AP420" s="119"/>
      <c r="AQ420" s="119"/>
      <c r="AR420" s="119"/>
      <c r="AS420" s="119"/>
      <c r="AT420" s="119"/>
      <c r="AU420" s="119"/>
      <c r="AV420" s="119"/>
      <c r="AW420" s="119"/>
      <c r="AX420" s="119"/>
      <c r="AY420" s="119"/>
      <c r="AZ420" s="119"/>
      <c r="BA420" s="119"/>
      <c r="BB420" s="119"/>
      <c r="BC420" s="119"/>
      <c r="BD420" s="119"/>
      <c r="BE420" s="119"/>
      <c r="BF420" s="119"/>
      <c r="BG420" s="119"/>
      <c r="BH420" s="119"/>
    </row>
    <row r="421" spans="1:60" ht="15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  <c r="AN421" s="119"/>
      <c r="AO421" s="119"/>
      <c r="AP421" s="119"/>
      <c r="AQ421" s="119"/>
      <c r="AR421" s="119"/>
      <c r="AS421" s="119"/>
      <c r="AT421" s="119"/>
      <c r="AU421" s="119"/>
      <c r="AV421" s="119"/>
      <c r="AW421" s="119"/>
      <c r="AX421" s="119"/>
      <c r="AY421" s="119"/>
      <c r="AZ421" s="119"/>
      <c r="BA421" s="119"/>
      <c r="BB421" s="119"/>
      <c r="BC421" s="119"/>
      <c r="BD421" s="119"/>
      <c r="BE421" s="119"/>
      <c r="BF421" s="119"/>
      <c r="BG421" s="119"/>
      <c r="BH421" s="119"/>
    </row>
    <row r="422" spans="1:60" ht="15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  <c r="AN422" s="119"/>
      <c r="AO422" s="119"/>
      <c r="AP422" s="119"/>
      <c r="AQ422" s="119"/>
      <c r="AR422" s="119"/>
      <c r="AS422" s="119"/>
      <c r="AT422" s="119"/>
      <c r="AU422" s="119"/>
      <c r="AV422" s="119"/>
      <c r="AW422" s="119"/>
      <c r="AX422" s="119"/>
      <c r="AY422" s="119"/>
      <c r="AZ422" s="119"/>
      <c r="BA422" s="119"/>
      <c r="BB422" s="119"/>
      <c r="BC422" s="119"/>
      <c r="BD422" s="119"/>
      <c r="BE422" s="119"/>
      <c r="BF422" s="119"/>
      <c r="BG422" s="119"/>
      <c r="BH422" s="119"/>
    </row>
    <row r="423" spans="1:60" ht="15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  <c r="AN423" s="119"/>
      <c r="AO423" s="119"/>
      <c r="AP423" s="119"/>
      <c r="AQ423" s="119"/>
      <c r="AR423" s="119"/>
      <c r="AS423" s="119"/>
      <c r="AT423" s="119"/>
      <c r="AU423" s="119"/>
      <c r="AV423" s="119"/>
      <c r="AW423" s="119"/>
      <c r="AX423" s="119"/>
      <c r="AY423" s="119"/>
      <c r="AZ423" s="119"/>
      <c r="BA423" s="119"/>
      <c r="BB423" s="119"/>
      <c r="BC423" s="119"/>
      <c r="BD423" s="119"/>
      <c r="BE423" s="119"/>
      <c r="BF423" s="119"/>
      <c r="BG423" s="119"/>
      <c r="BH423" s="119"/>
    </row>
    <row r="424" spans="1:60" ht="15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  <c r="AN424" s="119"/>
      <c r="AO424" s="119"/>
      <c r="AP424" s="119"/>
      <c r="AQ424" s="119"/>
      <c r="AR424" s="119"/>
      <c r="AS424" s="119"/>
      <c r="AT424" s="119"/>
      <c r="AU424" s="119"/>
      <c r="AV424" s="119"/>
      <c r="AW424" s="119"/>
      <c r="AX424" s="119"/>
      <c r="AY424" s="119"/>
      <c r="AZ424" s="119"/>
      <c r="BA424" s="119"/>
      <c r="BB424" s="119"/>
      <c r="BC424" s="119"/>
      <c r="BD424" s="119"/>
      <c r="BE424" s="119"/>
      <c r="BF424" s="119"/>
      <c r="BG424" s="119"/>
      <c r="BH424" s="119"/>
    </row>
    <row r="425" spans="1:60" ht="15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  <c r="AN425" s="119"/>
      <c r="AO425" s="119"/>
      <c r="AP425" s="119"/>
      <c r="AQ425" s="119"/>
      <c r="AR425" s="119"/>
      <c r="AS425" s="119"/>
      <c r="AT425" s="119"/>
      <c r="AU425" s="119"/>
      <c r="AV425" s="119"/>
      <c r="AW425" s="119"/>
      <c r="AX425" s="119"/>
      <c r="AY425" s="119"/>
      <c r="AZ425" s="119"/>
      <c r="BA425" s="119"/>
      <c r="BB425" s="119"/>
      <c r="BC425" s="119"/>
      <c r="BD425" s="119"/>
      <c r="BE425" s="119"/>
      <c r="BF425" s="119"/>
      <c r="BG425" s="119"/>
      <c r="BH425" s="119"/>
    </row>
    <row r="426" spans="1:60" ht="15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  <c r="AN426" s="119"/>
      <c r="AO426" s="119"/>
      <c r="AP426" s="119"/>
      <c r="AQ426" s="119"/>
      <c r="AR426" s="119"/>
      <c r="AS426" s="119"/>
      <c r="AT426" s="119"/>
      <c r="AU426" s="119"/>
      <c r="AV426" s="119"/>
      <c r="AW426" s="119"/>
      <c r="AX426" s="119"/>
      <c r="AY426" s="119"/>
      <c r="AZ426" s="119"/>
      <c r="BA426" s="119"/>
      <c r="BB426" s="119"/>
      <c r="BC426" s="119"/>
      <c r="BD426" s="119"/>
      <c r="BE426" s="119"/>
      <c r="BF426" s="119"/>
      <c r="BG426" s="119"/>
      <c r="BH426" s="119"/>
    </row>
    <row r="427" spans="1:60" ht="15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  <c r="AN427" s="119"/>
      <c r="AO427" s="119"/>
      <c r="AP427" s="119"/>
      <c r="AQ427" s="119"/>
      <c r="AR427" s="119"/>
      <c r="AS427" s="119"/>
      <c r="AT427" s="119"/>
      <c r="AU427" s="119"/>
      <c r="AV427" s="119"/>
      <c r="AW427" s="119"/>
      <c r="AX427" s="119"/>
      <c r="AY427" s="119"/>
      <c r="AZ427" s="119"/>
      <c r="BA427" s="119"/>
      <c r="BB427" s="119"/>
      <c r="BC427" s="119"/>
      <c r="BD427" s="119"/>
      <c r="BE427" s="119"/>
      <c r="BF427" s="119"/>
      <c r="BG427" s="119"/>
      <c r="BH427" s="119"/>
    </row>
    <row r="428" spans="1:60" ht="15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  <c r="AN428" s="119"/>
      <c r="AO428" s="119"/>
      <c r="AP428" s="119"/>
      <c r="AQ428" s="119"/>
      <c r="AR428" s="119"/>
      <c r="AS428" s="119"/>
      <c r="AT428" s="119"/>
      <c r="AU428" s="119"/>
      <c r="AV428" s="119"/>
      <c r="AW428" s="119"/>
      <c r="AX428" s="119"/>
      <c r="AY428" s="119"/>
      <c r="AZ428" s="119"/>
      <c r="BA428" s="119"/>
      <c r="BB428" s="119"/>
      <c r="BC428" s="119"/>
      <c r="BD428" s="119"/>
      <c r="BE428" s="119"/>
      <c r="BF428" s="119"/>
      <c r="BG428" s="119"/>
      <c r="BH428" s="119"/>
    </row>
    <row r="429" spans="1:60" ht="15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  <c r="AN429" s="119"/>
      <c r="AO429" s="119"/>
      <c r="AP429" s="119"/>
      <c r="AQ429" s="119"/>
      <c r="AR429" s="119"/>
      <c r="AS429" s="119"/>
      <c r="AT429" s="119"/>
      <c r="AU429" s="119"/>
      <c r="AV429" s="119"/>
      <c r="AW429" s="119"/>
      <c r="AX429" s="119"/>
      <c r="AY429" s="119"/>
      <c r="AZ429" s="119"/>
      <c r="BA429" s="119"/>
      <c r="BB429" s="119"/>
      <c r="BC429" s="119"/>
      <c r="BD429" s="119"/>
      <c r="BE429" s="119"/>
      <c r="BF429" s="119"/>
      <c r="BG429" s="119"/>
      <c r="BH429" s="119"/>
    </row>
    <row r="430" spans="1:60" ht="15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  <c r="AN430" s="119"/>
      <c r="AO430" s="119"/>
      <c r="AP430" s="119"/>
      <c r="AQ430" s="119"/>
      <c r="AR430" s="119"/>
      <c r="AS430" s="119"/>
      <c r="AT430" s="119"/>
      <c r="AU430" s="119"/>
      <c r="AV430" s="119"/>
      <c r="AW430" s="119"/>
      <c r="AX430" s="119"/>
      <c r="AY430" s="119"/>
      <c r="AZ430" s="119"/>
      <c r="BA430" s="119"/>
      <c r="BB430" s="119"/>
      <c r="BC430" s="119"/>
      <c r="BD430" s="119"/>
      <c r="BE430" s="119"/>
      <c r="BF430" s="119"/>
      <c r="BG430" s="119"/>
      <c r="BH430" s="119"/>
    </row>
    <row r="431" spans="1:60" ht="15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  <c r="AN431" s="119"/>
      <c r="AO431" s="119"/>
      <c r="AP431" s="119"/>
      <c r="AQ431" s="119"/>
      <c r="AR431" s="119"/>
      <c r="AS431" s="119"/>
      <c r="AT431" s="119"/>
      <c r="AU431" s="119"/>
      <c r="AV431" s="119"/>
      <c r="AW431" s="119"/>
      <c r="AX431" s="119"/>
      <c r="AY431" s="119"/>
      <c r="AZ431" s="119"/>
      <c r="BA431" s="119"/>
      <c r="BB431" s="119"/>
      <c r="BC431" s="119"/>
      <c r="BD431" s="119"/>
      <c r="BE431" s="119"/>
      <c r="BF431" s="119"/>
      <c r="BG431" s="119"/>
      <c r="BH431" s="119"/>
    </row>
    <row r="432" spans="1:60" ht="15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  <c r="AN432" s="119"/>
      <c r="AO432" s="119"/>
      <c r="AP432" s="119"/>
      <c r="AQ432" s="119"/>
      <c r="AR432" s="119"/>
      <c r="AS432" s="119"/>
      <c r="AT432" s="119"/>
      <c r="AU432" s="119"/>
      <c r="AV432" s="119"/>
      <c r="AW432" s="119"/>
      <c r="AX432" s="119"/>
      <c r="AY432" s="119"/>
      <c r="AZ432" s="119"/>
      <c r="BA432" s="119"/>
      <c r="BB432" s="119"/>
      <c r="BC432" s="119"/>
      <c r="BD432" s="119"/>
      <c r="BE432" s="119"/>
      <c r="BF432" s="119"/>
      <c r="BG432" s="119"/>
      <c r="BH432" s="119"/>
    </row>
    <row r="433" spans="1:60" ht="15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  <c r="AN433" s="119"/>
      <c r="AO433" s="119"/>
      <c r="AP433" s="119"/>
      <c r="AQ433" s="119"/>
      <c r="AR433" s="119"/>
      <c r="AS433" s="119"/>
      <c r="AT433" s="119"/>
      <c r="AU433" s="119"/>
      <c r="AV433" s="119"/>
      <c r="AW433" s="119"/>
      <c r="AX433" s="119"/>
      <c r="AY433" s="119"/>
      <c r="AZ433" s="119"/>
      <c r="BA433" s="119"/>
      <c r="BB433" s="119"/>
      <c r="BC433" s="119"/>
      <c r="BD433" s="119"/>
      <c r="BE433" s="119"/>
      <c r="BF433" s="119"/>
      <c r="BG433" s="119"/>
      <c r="BH433" s="119"/>
    </row>
    <row r="434" spans="1:60" ht="15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  <c r="AN434" s="119"/>
      <c r="AO434" s="119"/>
      <c r="AP434" s="119"/>
      <c r="AQ434" s="119"/>
      <c r="AR434" s="119"/>
      <c r="AS434" s="119"/>
      <c r="AT434" s="119"/>
      <c r="AU434" s="119"/>
      <c r="AV434" s="119"/>
      <c r="AW434" s="119"/>
      <c r="AX434" s="119"/>
      <c r="AY434" s="119"/>
      <c r="AZ434" s="119"/>
      <c r="BA434" s="119"/>
      <c r="BB434" s="119"/>
      <c r="BC434" s="119"/>
      <c r="BD434" s="119"/>
      <c r="BE434" s="119"/>
      <c r="BF434" s="119"/>
      <c r="BG434" s="119"/>
      <c r="BH434" s="119"/>
    </row>
    <row r="435" spans="1:60" ht="15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  <c r="AN435" s="119"/>
      <c r="AO435" s="119"/>
      <c r="AP435" s="119"/>
      <c r="AQ435" s="119"/>
      <c r="AR435" s="119"/>
      <c r="AS435" s="119"/>
      <c r="AT435" s="119"/>
      <c r="AU435" s="119"/>
      <c r="AV435" s="119"/>
      <c r="AW435" s="119"/>
      <c r="AX435" s="119"/>
      <c r="AY435" s="119"/>
      <c r="AZ435" s="119"/>
      <c r="BA435" s="119"/>
      <c r="BB435" s="119"/>
      <c r="BC435" s="119"/>
      <c r="BD435" s="119"/>
      <c r="BE435" s="119"/>
      <c r="BF435" s="119"/>
      <c r="BG435" s="119"/>
      <c r="BH435" s="119"/>
    </row>
    <row r="436" spans="1:60" ht="15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  <c r="AN436" s="119"/>
      <c r="AO436" s="119"/>
      <c r="AP436" s="119"/>
      <c r="AQ436" s="119"/>
      <c r="AR436" s="119"/>
      <c r="AS436" s="119"/>
      <c r="AT436" s="119"/>
      <c r="AU436" s="119"/>
      <c r="AV436" s="119"/>
      <c r="AW436" s="119"/>
      <c r="AX436" s="119"/>
      <c r="AY436" s="119"/>
      <c r="AZ436" s="119"/>
      <c r="BA436" s="119"/>
      <c r="BB436" s="119"/>
      <c r="BC436" s="119"/>
      <c r="BD436" s="119"/>
      <c r="BE436" s="119"/>
      <c r="BF436" s="119"/>
      <c r="BG436" s="119"/>
      <c r="BH436" s="119"/>
    </row>
    <row r="437" spans="1:60" ht="15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  <c r="AN437" s="119"/>
      <c r="AO437" s="119"/>
      <c r="AP437" s="119"/>
      <c r="AQ437" s="119"/>
      <c r="AR437" s="119"/>
      <c r="AS437" s="119"/>
      <c r="AT437" s="119"/>
      <c r="AU437" s="119"/>
      <c r="AV437" s="119"/>
      <c r="AW437" s="119"/>
      <c r="AX437" s="119"/>
      <c r="AY437" s="119"/>
      <c r="AZ437" s="119"/>
      <c r="BA437" s="119"/>
      <c r="BB437" s="119"/>
      <c r="BC437" s="119"/>
      <c r="BD437" s="119"/>
      <c r="BE437" s="119"/>
      <c r="BF437" s="119"/>
      <c r="BG437" s="119"/>
      <c r="BH437" s="119"/>
    </row>
    <row r="438" spans="1:60" ht="15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  <c r="AN438" s="119"/>
      <c r="AO438" s="119"/>
      <c r="AP438" s="119"/>
      <c r="AQ438" s="119"/>
      <c r="AR438" s="119"/>
      <c r="AS438" s="119"/>
      <c r="AT438" s="119"/>
      <c r="AU438" s="119"/>
      <c r="AV438" s="119"/>
      <c r="AW438" s="119"/>
      <c r="AX438" s="119"/>
      <c r="AY438" s="119"/>
      <c r="AZ438" s="119"/>
      <c r="BA438" s="119"/>
      <c r="BB438" s="119"/>
      <c r="BC438" s="119"/>
      <c r="BD438" s="119"/>
      <c r="BE438" s="119"/>
      <c r="BF438" s="119"/>
      <c r="BG438" s="119"/>
      <c r="BH438" s="119"/>
    </row>
    <row r="439" spans="1:60" ht="15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  <c r="AN439" s="119"/>
      <c r="AO439" s="119"/>
      <c r="AP439" s="119"/>
      <c r="AQ439" s="119"/>
      <c r="AR439" s="119"/>
      <c r="AS439" s="119"/>
      <c r="AT439" s="119"/>
      <c r="AU439" s="119"/>
      <c r="AV439" s="119"/>
      <c r="AW439" s="119"/>
      <c r="AX439" s="119"/>
      <c r="AY439" s="119"/>
      <c r="AZ439" s="119"/>
      <c r="BA439" s="119"/>
      <c r="BB439" s="119"/>
      <c r="BC439" s="119"/>
      <c r="BD439" s="119"/>
      <c r="BE439" s="119"/>
      <c r="BF439" s="119"/>
      <c r="BG439" s="119"/>
      <c r="BH439" s="119"/>
    </row>
    <row r="440" spans="1:60" ht="15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  <c r="AN440" s="119"/>
      <c r="AO440" s="119"/>
      <c r="AP440" s="119"/>
      <c r="AQ440" s="119"/>
      <c r="AR440" s="119"/>
      <c r="AS440" s="119"/>
      <c r="AT440" s="119"/>
      <c r="AU440" s="119"/>
      <c r="AV440" s="119"/>
      <c r="AW440" s="119"/>
      <c r="AX440" s="119"/>
      <c r="AY440" s="119"/>
      <c r="AZ440" s="119"/>
      <c r="BA440" s="119"/>
      <c r="BB440" s="119"/>
      <c r="BC440" s="119"/>
      <c r="BD440" s="119"/>
      <c r="BE440" s="119"/>
      <c r="BF440" s="119"/>
      <c r="BG440" s="119"/>
      <c r="BH440" s="119"/>
    </row>
    <row r="441" spans="1:60" ht="15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  <c r="AN441" s="119"/>
      <c r="AO441" s="119"/>
      <c r="AP441" s="119"/>
      <c r="AQ441" s="119"/>
      <c r="AR441" s="119"/>
      <c r="AS441" s="119"/>
      <c r="AT441" s="119"/>
      <c r="AU441" s="119"/>
      <c r="AV441" s="119"/>
      <c r="AW441" s="119"/>
      <c r="AX441" s="119"/>
      <c r="AY441" s="119"/>
      <c r="AZ441" s="119"/>
      <c r="BA441" s="119"/>
      <c r="BB441" s="119"/>
      <c r="BC441" s="119"/>
      <c r="BD441" s="119"/>
      <c r="BE441" s="119"/>
      <c r="BF441" s="119"/>
      <c r="BG441" s="119"/>
      <c r="BH441" s="119"/>
    </row>
    <row r="442" spans="1:60" ht="15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  <c r="AN442" s="119"/>
      <c r="AO442" s="119"/>
      <c r="AP442" s="119"/>
      <c r="AQ442" s="119"/>
      <c r="AR442" s="119"/>
      <c r="AS442" s="119"/>
      <c r="AT442" s="119"/>
      <c r="AU442" s="119"/>
      <c r="AV442" s="119"/>
      <c r="AW442" s="119"/>
      <c r="AX442" s="119"/>
      <c r="AY442" s="119"/>
      <c r="AZ442" s="119"/>
      <c r="BA442" s="119"/>
      <c r="BB442" s="119"/>
      <c r="BC442" s="119"/>
      <c r="BD442" s="119"/>
      <c r="BE442" s="119"/>
      <c r="BF442" s="119"/>
      <c r="BG442" s="119"/>
      <c r="BH442" s="119"/>
    </row>
    <row r="443" spans="1:60" ht="15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  <c r="AN443" s="119"/>
      <c r="AO443" s="119"/>
      <c r="AP443" s="119"/>
      <c r="AQ443" s="119"/>
      <c r="AR443" s="119"/>
      <c r="AS443" s="119"/>
      <c r="AT443" s="119"/>
      <c r="AU443" s="119"/>
      <c r="AV443" s="119"/>
      <c r="AW443" s="119"/>
      <c r="AX443" s="119"/>
      <c r="AY443" s="119"/>
      <c r="AZ443" s="119"/>
      <c r="BA443" s="119"/>
      <c r="BB443" s="119"/>
      <c r="BC443" s="119"/>
      <c r="BD443" s="119"/>
      <c r="BE443" s="119"/>
      <c r="BF443" s="119"/>
      <c r="BG443" s="119"/>
      <c r="BH443" s="119"/>
    </row>
    <row r="444" spans="1:60" ht="15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  <c r="AN444" s="119"/>
      <c r="AO444" s="119"/>
      <c r="AP444" s="119"/>
      <c r="AQ444" s="119"/>
      <c r="AR444" s="119"/>
      <c r="AS444" s="119"/>
      <c r="AT444" s="119"/>
      <c r="AU444" s="119"/>
      <c r="AV444" s="119"/>
      <c r="AW444" s="119"/>
      <c r="AX444" s="119"/>
      <c r="AY444" s="119"/>
      <c r="AZ444" s="119"/>
      <c r="BA444" s="119"/>
      <c r="BB444" s="119"/>
      <c r="BC444" s="119"/>
      <c r="BD444" s="119"/>
      <c r="BE444" s="119"/>
      <c r="BF444" s="119"/>
      <c r="BG444" s="119"/>
      <c r="BH444" s="119"/>
    </row>
    <row r="445" spans="1:60" ht="15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  <c r="AN445" s="119"/>
      <c r="AO445" s="119"/>
      <c r="AP445" s="119"/>
      <c r="AQ445" s="119"/>
      <c r="AR445" s="119"/>
      <c r="AS445" s="119"/>
      <c r="AT445" s="119"/>
      <c r="AU445" s="119"/>
      <c r="AV445" s="119"/>
      <c r="AW445" s="119"/>
      <c r="AX445" s="119"/>
      <c r="AY445" s="119"/>
      <c r="AZ445" s="119"/>
      <c r="BA445" s="119"/>
      <c r="BB445" s="119"/>
      <c r="BC445" s="119"/>
      <c r="BD445" s="119"/>
      <c r="BE445" s="119"/>
      <c r="BF445" s="119"/>
      <c r="BG445" s="119"/>
      <c r="BH445" s="119"/>
    </row>
    <row r="446" spans="1:60" ht="15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  <c r="AN446" s="119"/>
      <c r="AO446" s="119"/>
      <c r="AP446" s="119"/>
      <c r="AQ446" s="119"/>
      <c r="AR446" s="119"/>
      <c r="AS446" s="119"/>
      <c r="AT446" s="119"/>
      <c r="AU446" s="119"/>
      <c r="AV446" s="119"/>
      <c r="AW446" s="119"/>
      <c r="AX446" s="119"/>
      <c r="AY446" s="119"/>
      <c r="AZ446" s="119"/>
      <c r="BA446" s="119"/>
      <c r="BB446" s="119"/>
      <c r="BC446" s="119"/>
      <c r="BD446" s="119"/>
      <c r="BE446" s="119"/>
      <c r="BF446" s="119"/>
      <c r="BG446" s="119"/>
      <c r="BH446" s="119"/>
    </row>
    <row r="447" spans="1:60" ht="15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  <c r="AN447" s="119"/>
      <c r="AO447" s="119"/>
      <c r="AP447" s="119"/>
      <c r="AQ447" s="119"/>
      <c r="AR447" s="119"/>
      <c r="AS447" s="119"/>
      <c r="AT447" s="119"/>
      <c r="AU447" s="119"/>
      <c r="AV447" s="119"/>
      <c r="AW447" s="119"/>
      <c r="AX447" s="119"/>
      <c r="AY447" s="119"/>
      <c r="AZ447" s="119"/>
      <c r="BA447" s="119"/>
      <c r="BB447" s="119"/>
      <c r="BC447" s="119"/>
      <c r="BD447" s="119"/>
      <c r="BE447" s="119"/>
      <c r="BF447" s="119"/>
      <c r="BG447" s="119"/>
      <c r="BH447" s="119"/>
    </row>
    <row r="448" spans="1:60" ht="15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  <c r="AN448" s="119"/>
      <c r="AO448" s="119"/>
      <c r="AP448" s="119"/>
      <c r="AQ448" s="119"/>
      <c r="AR448" s="119"/>
      <c r="AS448" s="119"/>
      <c r="AT448" s="119"/>
      <c r="AU448" s="119"/>
      <c r="AV448" s="119"/>
      <c r="AW448" s="119"/>
      <c r="AX448" s="119"/>
      <c r="AY448" s="119"/>
      <c r="AZ448" s="119"/>
      <c r="BA448" s="119"/>
      <c r="BB448" s="119"/>
      <c r="BC448" s="119"/>
      <c r="BD448" s="119"/>
      <c r="BE448" s="119"/>
      <c r="BF448" s="119"/>
      <c r="BG448" s="119"/>
      <c r="BH448" s="119"/>
    </row>
    <row r="449" spans="1:60" ht="15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  <c r="AN449" s="119"/>
      <c r="AO449" s="119"/>
      <c r="AP449" s="119"/>
      <c r="AQ449" s="119"/>
      <c r="AR449" s="119"/>
      <c r="AS449" s="119"/>
      <c r="AT449" s="119"/>
      <c r="AU449" s="119"/>
      <c r="AV449" s="119"/>
      <c r="AW449" s="119"/>
      <c r="AX449" s="119"/>
      <c r="AY449" s="119"/>
      <c r="AZ449" s="119"/>
      <c r="BA449" s="119"/>
      <c r="BB449" s="119"/>
      <c r="BC449" s="119"/>
      <c r="BD449" s="119"/>
      <c r="BE449" s="119"/>
      <c r="BF449" s="119"/>
      <c r="BG449" s="119"/>
      <c r="BH449" s="119"/>
    </row>
    <row r="450" spans="1:60" ht="15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  <c r="AN450" s="119"/>
      <c r="AO450" s="119"/>
      <c r="AP450" s="119"/>
      <c r="AQ450" s="119"/>
      <c r="AR450" s="119"/>
      <c r="AS450" s="119"/>
      <c r="AT450" s="119"/>
      <c r="AU450" s="119"/>
      <c r="AV450" s="119"/>
      <c r="AW450" s="119"/>
      <c r="AX450" s="119"/>
      <c r="AY450" s="119"/>
      <c r="AZ450" s="119"/>
      <c r="BA450" s="119"/>
      <c r="BB450" s="119"/>
      <c r="BC450" s="119"/>
      <c r="BD450" s="119"/>
      <c r="BE450" s="119"/>
      <c r="BF450" s="119"/>
      <c r="BG450" s="119"/>
      <c r="BH450" s="119"/>
    </row>
    <row r="451" spans="1:60" ht="15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  <c r="AN451" s="119"/>
      <c r="AO451" s="119"/>
      <c r="AP451" s="119"/>
      <c r="AQ451" s="119"/>
      <c r="AR451" s="119"/>
      <c r="AS451" s="119"/>
      <c r="AT451" s="119"/>
      <c r="AU451" s="119"/>
      <c r="AV451" s="119"/>
      <c r="AW451" s="119"/>
      <c r="AX451" s="119"/>
      <c r="AY451" s="119"/>
      <c r="AZ451" s="119"/>
      <c r="BA451" s="119"/>
      <c r="BB451" s="119"/>
      <c r="BC451" s="119"/>
      <c r="BD451" s="119"/>
      <c r="BE451" s="119"/>
      <c r="BF451" s="119"/>
      <c r="BG451" s="119"/>
      <c r="BH451" s="119"/>
    </row>
    <row r="452" spans="1:60" ht="15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  <c r="AN452" s="119"/>
      <c r="AO452" s="119"/>
      <c r="AP452" s="119"/>
      <c r="AQ452" s="119"/>
      <c r="AR452" s="119"/>
      <c r="AS452" s="119"/>
      <c r="AT452" s="119"/>
      <c r="AU452" s="119"/>
      <c r="AV452" s="119"/>
      <c r="AW452" s="119"/>
      <c r="AX452" s="119"/>
      <c r="AY452" s="119"/>
      <c r="AZ452" s="119"/>
      <c r="BA452" s="119"/>
      <c r="BB452" s="119"/>
      <c r="BC452" s="119"/>
      <c r="BD452" s="119"/>
      <c r="BE452" s="119"/>
      <c r="BF452" s="119"/>
      <c r="BG452" s="119"/>
      <c r="BH452" s="119"/>
    </row>
    <row r="453" spans="1:60" ht="15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  <c r="AN453" s="119"/>
      <c r="AO453" s="119"/>
      <c r="AP453" s="119"/>
      <c r="AQ453" s="119"/>
      <c r="AR453" s="119"/>
      <c r="AS453" s="119"/>
      <c r="AT453" s="119"/>
      <c r="AU453" s="119"/>
      <c r="AV453" s="119"/>
      <c r="AW453" s="119"/>
      <c r="AX453" s="119"/>
      <c r="AY453" s="119"/>
      <c r="AZ453" s="119"/>
      <c r="BA453" s="119"/>
      <c r="BB453" s="119"/>
      <c r="BC453" s="119"/>
      <c r="BD453" s="119"/>
      <c r="BE453" s="119"/>
      <c r="BF453" s="119"/>
      <c r="BG453" s="119"/>
      <c r="BH453" s="119"/>
    </row>
    <row r="454" spans="1:60" ht="15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  <c r="AN454" s="119"/>
      <c r="AO454" s="119"/>
      <c r="AP454" s="119"/>
      <c r="AQ454" s="119"/>
      <c r="AR454" s="119"/>
      <c r="AS454" s="119"/>
      <c r="AT454" s="119"/>
      <c r="AU454" s="119"/>
      <c r="AV454" s="119"/>
      <c r="AW454" s="119"/>
      <c r="AX454" s="119"/>
      <c r="AY454" s="119"/>
      <c r="AZ454" s="119"/>
      <c r="BA454" s="119"/>
      <c r="BB454" s="119"/>
      <c r="BC454" s="119"/>
      <c r="BD454" s="119"/>
      <c r="BE454" s="119"/>
      <c r="BF454" s="119"/>
      <c r="BG454" s="119"/>
      <c r="BH454" s="119"/>
    </row>
    <row r="455" spans="1:60" ht="15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  <c r="AN455" s="119"/>
      <c r="AO455" s="119"/>
      <c r="AP455" s="119"/>
      <c r="AQ455" s="119"/>
      <c r="AR455" s="119"/>
      <c r="AS455" s="119"/>
      <c r="AT455" s="119"/>
      <c r="AU455" s="119"/>
      <c r="AV455" s="119"/>
      <c r="AW455" s="119"/>
      <c r="AX455" s="119"/>
      <c r="AY455" s="119"/>
      <c r="AZ455" s="119"/>
      <c r="BA455" s="119"/>
      <c r="BB455" s="119"/>
      <c r="BC455" s="119"/>
      <c r="BD455" s="119"/>
      <c r="BE455" s="119"/>
      <c r="BF455" s="119"/>
      <c r="BG455" s="119"/>
      <c r="BH455" s="119"/>
    </row>
    <row r="456" spans="1:60" ht="15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  <c r="AN456" s="119"/>
      <c r="AO456" s="119"/>
      <c r="AP456" s="119"/>
      <c r="AQ456" s="119"/>
      <c r="AR456" s="119"/>
      <c r="AS456" s="119"/>
      <c r="AT456" s="119"/>
      <c r="AU456" s="119"/>
      <c r="AV456" s="119"/>
      <c r="AW456" s="119"/>
      <c r="AX456" s="119"/>
      <c r="AY456" s="119"/>
      <c r="AZ456" s="119"/>
      <c r="BA456" s="119"/>
      <c r="BB456" s="119"/>
      <c r="BC456" s="119"/>
      <c r="BD456" s="119"/>
      <c r="BE456" s="119"/>
      <c r="BF456" s="119"/>
      <c r="BG456" s="119"/>
      <c r="BH456" s="119"/>
    </row>
    <row r="457" spans="1:60" ht="15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  <c r="AN457" s="119"/>
      <c r="AO457" s="119"/>
      <c r="AP457" s="119"/>
      <c r="AQ457" s="119"/>
      <c r="AR457" s="119"/>
      <c r="AS457" s="119"/>
      <c r="AT457" s="119"/>
      <c r="AU457" s="119"/>
      <c r="AV457" s="119"/>
      <c r="AW457" s="119"/>
      <c r="AX457" s="119"/>
      <c r="AY457" s="119"/>
      <c r="AZ457" s="119"/>
      <c r="BA457" s="119"/>
      <c r="BB457" s="119"/>
      <c r="BC457" s="119"/>
      <c r="BD457" s="119"/>
      <c r="BE457" s="119"/>
      <c r="BF457" s="119"/>
      <c r="BG457" s="119"/>
      <c r="BH457" s="119"/>
    </row>
    <row r="458" spans="1:60" ht="15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  <c r="AN458" s="119"/>
      <c r="AO458" s="119"/>
      <c r="AP458" s="119"/>
      <c r="AQ458" s="119"/>
      <c r="AR458" s="119"/>
      <c r="AS458" s="119"/>
      <c r="AT458" s="119"/>
      <c r="AU458" s="119"/>
      <c r="AV458" s="119"/>
      <c r="AW458" s="119"/>
      <c r="AX458" s="119"/>
      <c r="AY458" s="119"/>
      <c r="AZ458" s="119"/>
      <c r="BA458" s="119"/>
      <c r="BB458" s="119"/>
      <c r="BC458" s="119"/>
      <c r="BD458" s="119"/>
      <c r="BE458" s="119"/>
      <c r="BF458" s="119"/>
      <c r="BG458" s="119"/>
      <c r="BH458" s="119"/>
    </row>
    <row r="459" spans="1:60" ht="15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  <c r="AN459" s="119"/>
      <c r="AO459" s="119"/>
      <c r="AP459" s="119"/>
      <c r="AQ459" s="119"/>
      <c r="AR459" s="119"/>
      <c r="AS459" s="119"/>
      <c r="AT459" s="119"/>
      <c r="AU459" s="119"/>
      <c r="AV459" s="119"/>
      <c r="AW459" s="119"/>
      <c r="AX459" s="119"/>
      <c r="AY459" s="119"/>
      <c r="AZ459" s="119"/>
      <c r="BA459" s="119"/>
      <c r="BB459" s="119"/>
      <c r="BC459" s="119"/>
      <c r="BD459" s="119"/>
      <c r="BE459" s="119"/>
      <c r="BF459" s="119"/>
      <c r="BG459" s="119"/>
      <c r="BH459" s="119"/>
    </row>
    <row r="460" spans="1:60" ht="15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  <c r="AN460" s="119"/>
      <c r="AO460" s="119"/>
      <c r="AP460" s="119"/>
      <c r="AQ460" s="119"/>
      <c r="AR460" s="119"/>
      <c r="AS460" s="119"/>
      <c r="AT460" s="119"/>
      <c r="AU460" s="119"/>
      <c r="AV460" s="119"/>
      <c r="AW460" s="119"/>
      <c r="AX460" s="119"/>
      <c r="AY460" s="119"/>
      <c r="AZ460" s="119"/>
      <c r="BA460" s="119"/>
      <c r="BB460" s="119"/>
      <c r="BC460" s="119"/>
      <c r="BD460" s="119"/>
      <c r="BE460" s="119"/>
      <c r="BF460" s="119"/>
      <c r="BG460" s="119"/>
      <c r="BH460" s="119"/>
    </row>
    <row r="461" spans="1:60" ht="15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  <c r="AN461" s="119"/>
      <c r="AO461" s="119"/>
      <c r="AP461" s="119"/>
      <c r="AQ461" s="119"/>
      <c r="AR461" s="119"/>
      <c r="AS461" s="119"/>
      <c r="AT461" s="119"/>
      <c r="AU461" s="119"/>
      <c r="AV461" s="119"/>
      <c r="AW461" s="119"/>
      <c r="AX461" s="119"/>
      <c r="AY461" s="119"/>
      <c r="AZ461" s="119"/>
      <c r="BA461" s="119"/>
      <c r="BB461" s="119"/>
      <c r="BC461" s="119"/>
      <c r="BD461" s="119"/>
      <c r="BE461" s="119"/>
      <c r="BF461" s="119"/>
      <c r="BG461" s="119"/>
      <c r="BH461" s="119"/>
    </row>
    <row r="462" spans="1:60" ht="15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  <c r="AN462" s="119"/>
      <c r="AO462" s="119"/>
      <c r="AP462" s="119"/>
      <c r="AQ462" s="119"/>
      <c r="AR462" s="119"/>
      <c r="AS462" s="119"/>
      <c r="AT462" s="119"/>
      <c r="AU462" s="119"/>
      <c r="AV462" s="119"/>
      <c r="AW462" s="119"/>
      <c r="AX462" s="119"/>
      <c r="AY462" s="119"/>
      <c r="AZ462" s="119"/>
      <c r="BA462" s="119"/>
      <c r="BB462" s="119"/>
      <c r="BC462" s="119"/>
      <c r="BD462" s="119"/>
      <c r="BE462" s="119"/>
      <c r="BF462" s="119"/>
      <c r="BG462" s="119"/>
      <c r="BH462" s="119"/>
    </row>
    <row r="463" spans="1:60" ht="15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  <c r="AN463" s="119"/>
      <c r="AO463" s="119"/>
      <c r="AP463" s="119"/>
      <c r="AQ463" s="119"/>
      <c r="AR463" s="119"/>
      <c r="AS463" s="119"/>
      <c r="AT463" s="119"/>
      <c r="AU463" s="119"/>
      <c r="AV463" s="119"/>
      <c r="AW463" s="119"/>
      <c r="AX463" s="119"/>
      <c r="AY463" s="119"/>
      <c r="AZ463" s="119"/>
      <c r="BA463" s="119"/>
      <c r="BB463" s="119"/>
      <c r="BC463" s="119"/>
      <c r="BD463" s="119"/>
      <c r="BE463" s="119"/>
      <c r="BF463" s="119"/>
      <c r="BG463" s="119"/>
      <c r="BH463" s="119"/>
    </row>
    <row r="464" spans="1:60" ht="15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  <c r="AN464" s="119"/>
      <c r="AO464" s="119"/>
      <c r="AP464" s="119"/>
      <c r="AQ464" s="119"/>
      <c r="AR464" s="119"/>
      <c r="AS464" s="119"/>
      <c r="AT464" s="119"/>
      <c r="AU464" s="119"/>
      <c r="AV464" s="119"/>
      <c r="AW464" s="119"/>
      <c r="AX464" s="119"/>
      <c r="AY464" s="119"/>
      <c r="AZ464" s="119"/>
      <c r="BA464" s="119"/>
      <c r="BB464" s="119"/>
      <c r="BC464" s="119"/>
      <c r="BD464" s="119"/>
      <c r="BE464" s="119"/>
      <c r="BF464" s="119"/>
      <c r="BG464" s="119"/>
      <c r="BH464" s="119"/>
    </row>
    <row r="465" spans="1:60" ht="15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  <c r="AN465" s="119"/>
      <c r="AO465" s="119"/>
      <c r="AP465" s="119"/>
      <c r="AQ465" s="119"/>
      <c r="AR465" s="119"/>
      <c r="AS465" s="119"/>
      <c r="AT465" s="119"/>
      <c r="AU465" s="119"/>
      <c r="AV465" s="119"/>
      <c r="AW465" s="119"/>
      <c r="AX465" s="119"/>
      <c r="AY465" s="119"/>
      <c r="AZ465" s="119"/>
      <c r="BA465" s="119"/>
      <c r="BB465" s="119"/>
      <c r="BC465" s="119"/>
      <c r="BD465" s="119"/>
      <c r="BE465" s="119"/>
      <c r="BF465" s="119"/>
      <c r="BG465" s="119"/>
      <c r="BH465" s="119"/>
    </row>
    <row r="466" spans="1:60" ht="15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  <c r="AN466" s="119"/>
      <c r="AO466" s="119"/>
      <c r="AP466" s="119"/>
      <c r="AQ466" s="119"/>
      <c r="AR466" s="119"/>
      <c r="AS466" s="119"/>
      <c r="AT466" s="119"/>
      <c r="AU466" s="119"/>
      <c r="AV466" s="119"/>
      <c r="AW466" s="119"/>
      <c r="AX466" s="119"/>
      <c r="AY466" s="119"/>
      <c r="AZ466" s="119"/>
      <c r="BA466" s="119"/>
      <c r="BB466" s="119"/>
      <c r="BC466" s="119"/>
      <c r="BD466" s="119"/>
      <c r="BE466" s="119"/>
      <c r="BF466" s="119"/>
      <c r="BG466" s="119"/>
      <c r="BH466" s="119"/>
    </row>
    <row r="467" spans="1:60" ht="15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  <c r="AN467" s="119"/>
      <c r="AO467" s="119"/>
      <c r="AP467" s="119"/>
      <c r="AQ467" s="119"/>
      <c r="AR467" s="119"/>
      <c r="AS467" s="119"/>
      <c r="AT467" s="119"/>
      <c r="AU467" s="119"/>
      <c r="AV467" s="119"/>
      <c r="AW467" s="119"/>
      <c r="AX467" s="119"/>
      <c r="AY467" s="119"/>
      <c r="AZ467" s="119"/>
      <c r="BA467" s="119"/>
      <c r="BB467" s="119"/>
      <c r="BC467" s="119"/>
      <c r="BD467" s="119"/>
      <c r="BE467" s="119"/>
      <c r="BF467" s="119"/>
      <c r="BG467" s="119"/>
      <c r="BH467" s="119"/>
    </row>
    <row r="468" spans="1:60" ht="15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  <c r="AN468" s="119"/>
      <c r="AO468" s="119"/>
      <c r="AP468" s="119"/>
      <c r="AQ468" s="119"/>
      <c r="AR468" s="119"/>
      <c r="AS468" s="119"/>
      <c r="AT468" s="119"/>
      <c r="AU468" s="119"/>
      <c r="AV468" s="119"/>
      <c r="AW468" s="119"/>
      <c r="AX468" s="119"/>
      <c r="AY468" s="119"/>
      <c r="AZ468" s="119"/>
      <c r="BA468" s="119"/>
      <c r="BB468" s="119"/>
      <c r="BC468" s="119"/>
      <c r="BD468" s="119"/>
      <c r="BE468" s="119"/>
      <c r="BF468" s="119"/>
      <c r="BG468" s="119"/>
      <c r="BH468" s="119"/>
    </row>
    <row r="469" spans="1:60" ht="15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  <c r="AN469" s="119"/>
      <c r="AO469" s="119"/>
      <c r="AP469" s="119"/>
      <c r="AQ469" s="119"/>
      <c r="AR469" s="119"/>
      <c r="AS469" s="119"/>
      <c r="AT469" s="119"/>
      <c r="AU469" s="119"/>
      <c r="AV469" s="119"/>
      <c r="AW469" s="119"/>
      <c r="AX469" s="119"/>
      <c r="AY469" s="119"/>
      <c r="AZ469" s="119"/>
      <c r="BA469" s="119"/>
      <c r="BB469" s="119"/>
      <c r="BC469" s="119"/>
      <c r="BD469" s="119"/>
      <c r="BE469" s="119"/>
      <c r="BF469" s="119"/>
      <c r="BG469" s="119"/>
      <c r="BH469" s="119"/>
    </row>
    <row r="470" spans="1:60" ht="15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  <c r="AN470" s="119"/>
      <c r="AO470" s="119"/>
      <c r="AP470" s="119"/>
      <c r="AQ470" s="119"/>
      <c r="AR470" s="119"/>
      <c r="AS470" s="119"/>
      <c r="AT470" s="119"/>
      <c r="AU470" s="119"/>
      <c r="AV470" s="119"/>
      <c r="AW470" s="119"/>
      <c r="AX470" s="119"/>
      <c r="AY470" s="119"/>
      <c r="AZ470" s="119"/>
      <c r="BA470" s="119"/>
      <c r="BB470" s="119"/>
      <c r="BC470" s="119"/>
      <c r="BD470" s="119"/>
      <c r="BE470" s="119"/>
      <c r="BF470" s="119"/>
      <c r="BG470" s="119"/>
      <c r="BH470" s="119"/>
    </row>
    <row r="471" spans="1:60" ht="15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  <c r="AN471" s="119"/>
      <c r="AO471" s="119"/>
      <c r="AP471" s="119"/>
      <c r="AQ471" s="119"/>
      <c r="AR471" s="119"/>
      <c r="AS471" s="119"/>
      <c r="AT471" s="119"/>
      <c r="AU471" s="119"/>
      <c r="AV471" s="119"/>
      <c r="AW471" s="119"/>
      <c r="AX471" s="119"/>
      <c r="AY471" s="119"/>
      <c r="AZ471" s="119"/>
      <c r="BA471" s="119"/>
      <c r="BB471" s="119"/>
      <c r="BC471" s="119"/>
      <c r="BD471" s="119"/>
      <c r="BE471" s="119"/>
      <c r="BF471" s="119"/>
      <c r="BG471" s="119"/>
      <c r="BH471" s="119"/>
    </row>
    <row r="472" spans="1:60" ht="15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  <c r="AN472" s="119"/>
      <c r="AO472" s="119"/>
      <c r="AP472" s="119"/>
      <c r="AQ472" s="119"/>
      <c r="AR472" s="119"/>
      <c r="AS472" s="119"/>
      <c r="AT472" s="119"/>
      <c r="AU472" s="119"/>
      <c r="AV472" s="119"/>
      <c r="AW472" s="119"/>
      <c r="AX472" s="119"/>
      <c r="AY472" s="119"/>
      <c r="AZ472" s="119"/>
      <c r="BA472" s="119"/>
      <c r="BB472" s="119"/>
      <c r="BC472" s="119"/>
      <c r="BD472" s="119"/>
      <c r="BE472" s="119"/>
      <c r="BF472" s="119"/>
      <c r="BG472" s="119"/>
      <c r="BH472" s="119"/>
    </row>
    <row r="473" spans="1:60" ht="15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  <c r="AN473" s="119"/>
      <c r="AO473" s="119"/>
      <c r="AP473" s="119"/>
      <c r="AQ473" s="119"/>
      <c r="AR473" s="119"/>
      <c r="AS473" s="119"/>
      <c r="AT473" s="119"/>
      <c r="AU473" s="119"/>
      <c r="AV473" s="119"/>
      <c r="AW473" s="119"/>
      <c r="AX473" s="119"/>
      <c r="AY473" s="119"/>
      <c r="AZ473" s="119"/>
      <c r="BA473" s="119"/>
      <c r="BB473" s="119"/>
      <c r="BC473" s="119"/>
      <c r="BD473" s="119"/>
      <c r="BE473" s="119"/>
      <c r="BF473" s="119"/>
      <c r="BG473" s="119"/>
      <c r="BH473" s="119"/>
    </row>
    <row r="474" spans="1:60" ht="15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19"/>
      <c r="AZ474" s="119"/>
      <c r="BA474" s="119"/>
      <c r="BB474" s="119"/>
      <c r="BC474" s="119"/>
      <c r="BD474" s="119"/>
      <c r="BE474" s="119"/>
      <c r="BF474" s="119"/>
      <c r="BG474" s="119"/>
      <c r="BH474" s="119"/>
    </row>
    <row r="475" spans="1:60" ht="15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  <c r="AN475" s="119"/>
      <c r="AO475" s="119"/>
      <c r="AP475" s="119"/>
      <c r="AQ475" s="119"/>
      <c r="AR475" s="119"/>
      <c r="AS475" s="119"/>
      <c r="AT475" s="119"/>
      <c r="AU475" s="119"/>
      <c r="AV475" s="119"/>
      <c r="AW475" s="119"/>
      <c r="AX475" s="119"/>
      <c r="AY475" s="119"/>
      <c r="AZ475" s="119"/>
      <c r="BA475" s="119"/>
      <c r="BB475" s="119"/>
      <c r="BC475" s="119"/>
      <c r="BD475" s="119"/>
      <c r="BE475" s="119"/>
      <c r="BF475" s="119"/>
      <c r="BG475" s="119"/>
      <c r="BH475" s="119"/>
    </row>
    <row r="476" spans="1:60" ht="15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  <c r="AN476" s="119"/>
      <c r="AO476" s="119"/>
      <c r="AP476" s="119"/>
      <c r="AQ476" s="119"/>
      <c r="AR476" s="119"/>
      <c r="AS476" s="119"/>
      <c r="AT476" s="119"/>
      <c r="AU476" s="119"/>
      <c r="AV476" s="119"/>
      <c r="AW476" s="119"/>
      <c r="AX476" s="119"/>
      <c r="AY476" s="119"/>
      <c r="AZ476" s="119"/>
      <c r="BA476" s="119"/>
      <c r="BB476" s="119"/>
      <c r="BC476" s="119"/>
      <c r="BD476" s="119"/>
      <c r="BE476" s="119"/>
      <c r="BF476" s="119"/>
      <c r="BG476" s="119"/>
      <c r="BH476" s="119"/>
    </row>
    <row r="477" spans="1:60" ht="15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  <c r="AN477" s="119"/>
      <c r="AO477" s="119"/>
      <c r="AP477" s="119"/>
      <c r="AQ477" s="119"/>
      <c r="AR477" s="119"/>
      <c r="AS477" s="119"/>
      <c r="AT477" s="119"/>
      <c r="AU477" s="119"/>
      <c r="AV477" s="119"/>
      <c r="AW477" s="119"/>
      <c r="AX477" s="119"/>
      <c r="AY477" s="119"/>
      <c r="AZ477" s="119"/>
      <c r="BA477" s="119"/>
      <c r="BB477" s="119"/>
      <c r="BC477" s="119"/>
      <c r="BD477" s="119"/>
      <c r="BE477" s="119"/>
      <c r="BF477" s="119"/>
      <c r="BG477" s="119"/>
      <c r="BH477" s="119"/>
    </row>
    <row r="478" spans="1:60" ht="15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  <c r="AN478" s="119"/>
      <c r="AO478" s="119"/>
      <c r="AP478" s="119"/>
      <c r="AQ478" s="119"/>
      <c r="AR478" s="119"/>
      <c r="AS478" s="119"/>
      <c r="AT478" s="119"/>
      <c r="AU478" s="119"/>
      <c r="AV478" s="119"/>
      <c r="AW478" s="119"/>
      <c r="AX478" s="119"/>
      <c r="AY478" s="119"/>
      <c r="AZ478" s="119"/>
      <c r="BA478" s="119"/>
      <c r="BB478" s="119"/>
      <c r="BC478" s="119"/>
      <c r="BD478" s="119"/>
      <c r="BE478" s="119"/>
      <c r="BF478" s="119"/>
      <c r="BG478" s="119"/>
      <c r="BH478" s="119"/>
    </row>
    <row r="479" spans="1:60" ht="15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  <c r="AN479" s="119"/>
      <c r="AO479" s="119"/>
      <c r="AP479" s="119"/>
      <c r="AQ479" s="119"/>
      <c r="AR479" s="119"/>
      <c r="AS479" s="119"/>
      <c r="AT479" s="119"/>
      <c r="AU479" s="119"/>
      <c r="AV479" s="119"/>
      <c r="AW479" s="119"/>
      <c r="AX479" s="119"/>
      <c r="AY479" s="119"/>
      <c r="AZ479" s="119"/>
      <c r="BA479" s="119"/>
      <c r="BB479" s="119"/>
      <c r="BC479" s="119"/>
      <c r="BD479" s="119"/>
      <c r="BE479" s="119"/>
      <c r="BF479" s="119"/>
      <c r="BG479" s="119"/>
      <c r="BH479" s="119"/>
    </row>
    <row r="480" spans="1:60" ht="15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  <c r="AN480" s="119"/>
      <c r="AO480" s="119"/>
      <c r="AP480" s="119"/>
      <c r="AQ480" s="119"/>
      <c r="AR480" s="119"/>
      <c r="AS480" s="119"/>
      <c r="AT480" s="119"/>
      <c r="AU480" s="119"/>
      <c r="AV480" s="119"/>
      <c r="AW480" s="119"/>
      <c r="AX480" s="119"/>
      <c r="AY480" s="119"/>
      <c r="AZ480" s="119"/>
      <c r="BA480" s="119"/>
      <c r="BB480" s="119"/>
      <c r="BC480" s="119"/>
      <c r="BD480" s="119"/>
      <c r="BE480" s="119"/>
      <c r="BF480" s="119"/>
      <c r="BG480" s="119"/>
      <c r="BH480" s="119"/>
    </row>
    <row r="481" spans="1:60" ht="15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  <c r="AN481" s="119"/>
      <c r="AO481" s="119"/>
      <c r="AP481" s="119"/>
      <c r="AQ481" s="119"/>
      <c r="AR481" s="119"/>
      <c r="AS481" s="119"/>
      <c r="AT481" s="119"/>
      <c r="AU481" s="119"/>
      <c r="AV481" s="119"/>
      <c r="AW481" s="119"/>
      <c r="AX481" s="119"/>
      <c r="AY481" s="119"/>
      <c r="AZ481" s="119"/>
      <c r="BA481" s="119"/>
      <c r="BB481" s="119"/>
      <c r="BC481" s="119"/>
      <c r="BD481" s="119"/>
      <c r="BE481" s="119"/>
      <c r="BF481" s="119"/>
      <c r="BG481" s="119"/>
      <c r="BH481" s="119"/>
    </row>
    <row r="482" spans="1:60" ht="15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  <c r="AN482" s="119"/>
      <c r="AO482" s="119"/>
      <c r="AP482" s="119"/>
      <c r="AQ482" s="119"/>
      <c r="AR482" s="119"/>
      <c r="AS482" s="119"/>
      <c r="AT482" s="119"/>
      <c r="AU482" s="119"/>
      <c r="AV482" s="119"/>
      <c r="AW482" s="119"/>
      <c r="AX482" s="119"/>
      <c r="AY482" s="119"/>
      <c r="AZ482" s="119"/>
      <c r="BA482" s="119"/>
      <c r="BB482" s="119"/>
      <c r="BC482" s="119"/>
      <c r="BD482" s="119"/>
      <c r="BE482" s="119"/>
      <c r="BF482" s="119"/>
      <c r="BG482" s="119"/>
      <c r="BH482" s="119"/>
    </row>
    <row r="483" spans="1:60" ht="15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  <c r="AN483" s="119"/>
      <c r="AO483" s="119"/>
      <c r="AP483" s="119"/>
      <c r="AQ483" s="119"/>
      <c r="AR483" s="119"/>
      <c r="AS483" s="119"/>
      <c r="AT483" s="119"/>
      <c r="AU483" s="119"/>
      <c r="AV483" s="119"/>
      <c r="AW483" s="119"/>
      <c r="AX483" s="119"/>
      <c r="AY483" s="119"/>
      <c r="AZ483" s="119"/>
      <c r="BA483" s="119"/>
      <c r="BB483" s="119"/>
      <c r="BC483" s="119"/>
      <c r="BD483" s="119"/>
      <c r="BE483" s="119"/>
      <c r="BF483" s="119"/>
      <c r="BG483" s="119"/>
      <c r="BH483" s="119"/>
    </row>
    <row r="484" spans="1:60" ht="15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  <c r="AN484" s="119"/>
      <c r="AO484" s="119"/>
      <c r="AP484" s="119"/>
      <c r="AQ484" s="119"/>
      <c r="AR484" s="119"/>
      <c r="AS484" s="119"/>
      <c r="AT484" s="119"/>
      <c r="AU484" s="119"/>
      <c r="AV484" s="119"/>
      <c r="AW484" s="119"/>
      <c r="AX484" s="119"/>
      <c r="AY484" s="119"/>
      <c r="AZ484" s="119"/>
      <c r="BA484" s="119"/>
      <c r="BB484" s="119"/>
      <c r="BC484" s="119"/>
      <c r="BD484" s="119"/>
      <c r="BE484" s="119"/>
      <c r="BF484" s="119"/>
      <c r="BG484" s="119"/>
      <c r="BH484" s="119"/>
    </row>
    <row r="485" spans="1:60" ht="15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  <c r="AN485" s="119"/>
      <c r="AO485" s="119"/>
      <c r="AP485" s="119"/>
      <c r="AQ485" s="119"/>
      <c r="AR485" s="119"/>
      <c r="AS485" s="119"/>
      <c r="AT485" s="119"/>
      <c r="AU485" s="119"/>
      <c r="AV485" s="119"/>
      <c r="AW485" s="119"/>
      <c r="AX485" s="119"/>
      <c r="AY485" s="119"/>
      <c r="AZ485" s="119"/>
      <c r="BA485" s="119"/>
      <c r="BB485" s="119"/>
      <c r="BC485" s="119"/>
      <c r="BD485" s="119"/>
      <c r="BE485" s="119"/>
      <c r="BF485" s="119"/>
      <c r="BG485" s="119"/>
      <c r="BH485" s="119"/>
    </row>
    <row r="486" spans="1:60" ht="15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  <c r="AN486" s="119"/>
      <c r="AO486" s="119"/>
      <c r="AP486" s="119"/>
      <c r="AQ486" s="119"/>
      <c r="AR486" s="119"/>
      <c r="AS486" s="119"/>
      <c r="AT486" s="119"/>
      <c r="AU486" s="119"/>
      <c r="AV486" s="119"/>
      <c r="AW486" s="119"/>
      <c r="AX486" s="119"/>
      <c r="AY486" s="119"/>
      <c r="AZ486" s="119"/>
      <c r="BA486" s="119"/>
      <c r="BB486" s="119"/>
      <c r="BC486" s="119"/>
      <c r="BD486" s="119"/>
      <c r="BE486" s="119"/>
      <c r="BF486" s="119"/>
      <c r="BG486" s="119"/>
      <c r="BH486" s="119"/>
    </row>
    <row r="487" spans="1:60" ht="15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  <c r="AN487" s="119"/>
      <c r="AO487" s="119"/>
      <c r="AP487" s="119"/>
      <c r="AQ487" s="119"/>
      <c r="AR487" s="119"/>
      <c r="AS487" s="119"/>
      <c r="AT487" s="119"/>
      <c r="AU487" s="119"/>
      <c r="AV487" s="119"/>
      <c r="AW487" s="119"/>
      <c r="AX487" s="119"/>
      <c r="AY487" s="119"/>
      <c r="AZ487" s="119"/>
      <c r="BA487" s="119"/>
      <c r="BB487" s="119"/>
      <c r="BC487" s="119"/>
      <c r="BD487" s="119"/>
      <c r="BE487" s="119"/>
      <c r="BF487" s="119"/>
      <c r="BG487" s="119"/>
      <c r="BH487" s="119"/>
    </row>
    <row r="488" spans="1:60" ht="15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  <c r="AN488" s="119"/>
      <c r="AO488" s="119"/>
      <c r="AP488" s="119"/>
      <c r="AQ488" s="119"/>
      <c r="AR488" s="119"/>
      <c r="AS488" s="119"/>
      <c r="AT488" s="119"/>
      <c r="AU488" s="119"/>
      <c r="AV488" s="119"/>
      <c r="AW488" s="119"/>
      <c r="AX488" s="119"/>
      <c r="AY488" s="119"/>
      <c r="AZ488" s="119"/>
      <c r="BA488" s="119"/>
      <c r="BB488" s="119"/>
      <c r="BC488" s="119"/>
      <c r="BD488" s="119"/>
      <c r="BE488" s="119"/>
      <c r="BF488" s="119"/>
      <c r="BG488" s="119"/>
      <c r="BH488" s="119"/>
    </row>
    <row r="489" spans="1:60" ht="15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  <c r="AN489" s="119"/>
      <c r="AO489" s="119"/>
      <c r="AP489" s="119"/>
      <c r="AQ489" s="119"/>
      <c r="AR489" s="119"/>
      <c r="AS489" s="119"/>
      <c r="AT489" s="119"/>
      <c r="AU489" s="119"/>
      <c r="AV489" s="119"/>
      <c r="AW489" s="119"/>
      <c r="AX489" s="119"/>
      <c r="AY489" s="119"/>
      <c r="AZ489" s="119"/>
      <c r="BA489" s="119"/>
      <c r="BB489" s="119"/>
      <c r="BC489" s="119"/>
      <c r="BD489" s="119"/>
      <c r="BE489" s="119"/>
      <c r="BF489" s="119"/>
      <c r="BG489" s="119"/>
      <c r="BH489" s="119"/>
    </row>
    <row r="490" spans="1:60" ht="15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  <c r="AN490" s="119"/>
      <c r="AO490" s="119"/>
      <c r="AP490" s="119"/>
      <c r="AQ490" s="119"/>
      <c r="AR490" s="119"/>
      <c r="AS490" s="119"/>
      <c r="AT490" s="119"/>
      <c r="AU490" s="119"/>
      <c r="AV490" s="119"/>
      <c r="AW490" s="119"/>
      <c r="AX490" s="119"/>
      <c r="AY490" s="119"/>
      <c r="AZ490" s="119"/>
      <c r="BA490" s="119"/>
      <c r="BB490" s="119"/>
      <c r="BC490" s="119"/>
      <c r="BD490" s="119"/>
      <c r="BE490" s="119"/>
      <c r="BF490" s="119"/>
      <c r="BG490" s="119"/>
      <c r="BH490" s="119"/>
    </row>
    <row r="491" spans="1:60" ht="15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  <c r="AN491" s="119"/>
      <c r="AO491" s="119"/>
      <c r="AP491" s="119"/>
      <c r="AQ491" s="119"/>
      <c r="AR491" s="119"/>
      <c r="AS491" s="119"/>
      <c r="AT491" s="119"/>
      <c r="AU491" s="119"/>
      <c r="AV491" s="119"/>
      <c r="AW491" s="119"/>
      <c r="AX491" s="119"/>
      <c r="AY491" s="119"/>
      <c r="AZ491" s="119"/>
      <c r="BA491" s="119"/>
      <c r="BB491" s="119"/>
      <c r="BC491" s="119"/>
      <c r="BD491" s="119"/>
      <c r="BE491" s="119"/>
      <c r="BF491" s="119"/>
      <c r="BG491" s="119"/>
      <c r="BH491" s="119"/>
    </row>
    <row r="492" spans="1:60" ht="15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  <c r="AN492" s="119"/>
      <c r="AO492" s="119"/>
      <c r="AP492" s="119"/>
      <c r="AQ492" s="119"/>
      <c r="AR492" s="119"/>
      <c r="AS492" s="119"/>
      <c r="AT492" s="119"/>
      <c r="AU492" s="119"/>
      <c r="AV492" s="119"/>
      <c r="AW492" s="119"/>
      <c r="AX492" s="119"/>
      <c r="AY492" s="119"/>
      <c r="AZ492" s="119"/>
      <c r="BA492" s="119"/>
      <c r="BB492" s="119"/>
      <c r="BC492" s="119"/>
      <c r="BD492" s="119"/>
      <c r="BE492" s="119"/>
      <c r="BF492" s="119"/>
      <c r="BG492" s="119"/>
      <c r="BH492" s="119"/>
    </row>
    <row r="493" spans="1:60" ht="15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  <c r="AN493" s="119"/>
      <c r="AO493" s="119"/>
      <c r="AP493" s="119"/>
      <c r="AQ493" s="119"/>
      <c r="AR493" s="119"/>
      <c r="AS493" s="119"/>
      <c r="AT493" s="119"/>
      <c r="AU493" s="119"/>
      <c r="AV493" s="119"/>
      <c r="AW493" s="119"/>
      <c r="AX493" s="119"/>
      <c r="AY493" s="119"/>
      <c r="AZ493" s="119"/>
      <c r="BA493" s="119"/>
      <c r="BB493" s="119"/>
      <c r="BC493" s="119"/>
      <c r="BD493" s="119"/>
      <c r="BE493" s="119"/>
      <c r="BF493" s="119"/>
      <c r="BG493" s="119"/>
      <c r="BH493" s="119"/>
    </row>
    <row r="494" spans="1:60" ht="15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  <c r="AN494" s="119"/>
      <c r="AO494" s="119"/>
      <c r="AP494" s="119"/>
      <c r="AQ494" s="119"/>
      <c r="AR494" s="119"/>
      <c r="AS494" s="119"/>
      <c r="AT494" s="119"/>
      <c r="AU494" s="119"/>
      <c r="AV494" s="119"/>
      <c r="AW494" s="119"/>
      <c r="AX494" s="119"/>
      <c r="AY494" s="119"/>
      <c r="AZ494" s="119"/>
      <c r="BA494" s="119"/>
      <c r="BB494" s="119"/>
      <c r="BC494" s="119"/>
      <c r="BD494" s="119"/>
      <c r="BE494" s="119"/>
      <c r="BF494" s="119"/>
      <c r="BG494" s="119"/>
      <c r="BH494" s="119"/>
    </row>
    <row r="495" spans="1:60" ht="15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  <c r="AN495" s="119"/>
      <c r="AO495" s="119"/>
      <c r="AP495" s="119"/>
      <c r="AQ495" s="119"/>
      <c r="AR495" s="119"/>
      <c r="AS495" s="119"/>
      <c r="AT495" s="119"/>
      <c r="AU495" s="119"/>
      <c r="AV495" s="119"/>
      <c r="AW495" s="119"/>
      <c r="AX495" s="119"/>
      <c r="AY495" s="119"/>
      <c r="AZ495" s="119"/>
      <c r="BA495" s="119"/>
      <c r="BB495" s="119"/>
      <c r="BC495" s="119"/>
      <c r="BD495" s="119"/>
      <c r="BE495" s="119"/>
      <c r="BF495" s="119"/>
      <c r="BG495" s="119"/>
      <c r="BH495" s="119"/>
    </row>
    <row r="496" spans="1:60" ht="15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  <c r="AN496" s="119"/>
      <c r="AO496" s="119"/>
      <c r="AP496" s="119"/>
      <c r="AQ496" s="119"/>
      <c r="AR496" s="119"/>
      <c r="AS496" s="119"/>
      <c r="AT496" s="119"/>
      <c r="AU496" s="119"/>
      <c r="AV496" s="119"/>
      <c r="AW496" s="119"/>
      <c r="AX496" s="119"/>
      <c r="AY496" s="119"/>
      <c r="AZ496" s="119"/>
      <c r="BA496" s="119"/>
      <c r="BB496" s="119"/>
      <c r="BC496" s="119"/>
      <c r="BD496" s="119"/>
      <c r="BE496" s="119"/>
      <c r="BF496" s="119"/>
      <c r="BG496" s="119"/>
      <c r="BH496" s="119"/>
    </row>
    <row r="497" spans="1:60" ht="15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  <c r="AN497" s="119"/>
      <c r="AO497" s="119"/>
      <c r="AP497" s="119"/>
      <c r="AQ497" s="119"/>
      <c r="AR497" s="119"/>
      <c r="AS497" s="119"/>
      <c r="AT497" s="119"/>
      <c r="AU497" s="119"/>
      <c r="AV497" s="119"/>
      <c r="AW497" s="119"/>
      <c r="AX497" s="119"/>
      <c r="AY497" s="119"/>
      <c r="AZ497" s="119"/>
      <c r="BA497" s="119"/>
      <c r="BB497" s="119"/>
      <c r="BC497" s="119"/>
      <c r="BD497" s="119"/>
      <c r="BE497" s="119"/>
      <c r="BF497" s="119"/>
      <c r="BG497" s="119"/>
      <c r="BH497" s="119"/>
    </row>
    <row r="498" spans="1:60" ht="15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  <c r="AN498" s="119"/>
      <c r="AO498" s="119"/>
      <c r="AP498" s="119"/>
      <c r="AQ498" s="119"/>
      <c r="AR498" s="119"/>
      <c r="AS498" s="119"/>
      <c r="AT498" s="119"/>
      <c r="AU498" s="119"/>
      <c r="AV498" s="119"/>
      <c r="AW498" s="119"/>
      <c r="AX498" s="119"/>
      <c r="AY498" s="119"/>
      <c r="AZ498" s="119"/>
      <c r="BA498" s="119"/>
      <c r="BB498" s="119"/>
      <c r="BC498" s="119"/>
      <c r="BD498" s="119"/>
      <c r="BE498" s="119"/>
      <c r="BF498" s="119"/>
      <c r="BG498" s="119"/>
      <c r="BH498" s="119"/>
    </row>
    <row r="499" spans="1:60" ht="15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  <c r="AN499" s="119"/>
      <c r="AO499" s="119"/>
      <c r="AP499" s="119"/>
      <c r="AQ499" s="119"/>
      <c r="AR499" s="119"/>
      <c r="AS499" s="119"/>
      <c r="AT499" s="119"/>
      <c r="AU499" s="119"/>
      <c r="AV499" s="119"/>
      <c r="AW499" s="119"/>
      <c r="AX499" s="119"/>
      <c r="AY499" s="119"/>
      <c r="AZ499" s="119"/>
      <c r="BA499" s="119"/>
      <c r="BB499" s="119"/>
      <c r="BC499" s="119"/>
      <c r="BD499" s="119"/>
      <c r="BE499" s="119"/>
      <c r="BF499" s="119"/>
      <c r="BG499" s="119"/>
      <c r="BH499" s="119"/>
    </row>
    <row r="500" spans="1:60" ht="15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  <c r="AN500" s="119"/>
      <c r="AO500" s="119"/>
      <c r="AP500" s="119"/>
      <c r="AQ500" s="119"/>
      <c r="AR500" s="119"/>
      <c r="AS500" s="119"/>
      <c r="AT500" s="119"/>
      <c r="AU500" s="119"/>
      <c r="AV500" s="119"/>
      <c r="AW500" s="119"/>
      <c r="AX500" s="119"/>
      <c r="AY500" s="119"/>
      <c r="AZ500" s="119"/>
      <c r="BA500" s="119"/>
      <c r="BB500" s="119"/>
      <c r="BC500" s="119"/>
      <c r="BD500" s="119"/>
      <c r="BE500" s="119"/>
      <c r="BF500" s="119"/>
      <c r="BG500" s="119"/>
      <c r="BH500" s="119"/>
    </row>
    <row r="501" spans="1:60" ht="15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  <c r="AN501" s="119"/>
      <c r="AO501" s="119"/>
      <c r="AP501" s="119"/>
      <c r="AQ501" s="119"/>
      <c r="AR501" s="119"/>
      <c r="AS501" s="119"/>
      <c r="AT501" s="119"/>
      <c r="AU501" s="119"/>
      <c r="AV501" s="119"/>
      <c r="AW501" s="119"/>
      <c r="AX501" s="119"/>
      <c r="AY501" s="119"/>
      <c r="AZ501" s="119"/>
      <c r="BA501" s="119"/>
      <c r="BB501" s="119"/>
      <c r="BC501" s="119"/>
      <c r="BD501" s="119"/>
      <c r="BE501" s="119"/>
      <c r="BF501" s="119"/>
      <c r="BG501" s="119"/>
      <c r="BH501" s="119"/>
    </row>
    <row r="502" spans="1:60" ht="15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  <c r="AO502" s="119"/>
      <c r="AP502" s="119"/>
      <c r="AQ502" s="119"/>
      <c r="AR502" s="119"/>
      <c r="AS502" s="119"/>
      <c r="AT502" s="119"/>
      <c r="AU502" s="119"/>
      <c r="AV502" s="119"/>
      <c r="AW502" s="119"/>
      <c r="AX502" s="119"/>
      <c r="AY502" s="119"/>
      <c r="AZ502" s="119"/>
      <c r="BA502" s="119"/>
      <c r="BB502" s="119"/>
      <c r="BC502" s="119"/>
      <c r="BD502" s="119"/>
      <c r="BE502" s="119"/>
      <c r="BF502" s="119"/>
      <c r="BG502" s="119"/>
      <c r="BH502" s="119"/>
    </row>
    <row r="503" spans="1:60" ht="15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  <c r="AN503" s="119"/>
      <c r="AO503" s="119"/>
      <c r="AP503" s="119"/>
      <c r="AQ503" s="119"/>
      <c r="AR503" s="119"/>
      <c r="AS503" s="119"/>
      <c r="AT503" s="119"/>
      <c r="AU503" s="119"/>
      <c r="AV503" s="119"/>
      <c r="AW503" s="119"/>
      <c r="AX503" s="119"/>
      <c r="AY503" s="119"/>
      <c r="AZ503" s="119"/>
      <c r="BA503" s="119"/>
      <c r="BB503" s="119"/>
      <c r="BC503" s="119"/>
      <c r="BD503" s="119"/>
      <c r="BE503" s="119"/>
      <c r="BF503" s="119"/>
      <c r="BG503" s="119"/>
      <c r="BH503" s="119"/>
    </row>
    <row r="504" spans="1:60" ht="15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  <c r="AN504" s="119"/>
      <c r="AO504" s="119"/>
      <c r="AP504" s="119"/>
      <c r="AQ504" s="119"/>
      <c r="AR504" s="119"/>
      <c r="AS504" s="119"/>
      <c r="AT504" s="119"/>
      <c r="AU504" s="119"/>
      <c r="AV504" s="119"/>
      <c r="AW504" s="119"/>
      <c r="AX504" s="119"/>
      <c r="AY504" s="119"/>
      <c r="AZ504" s="119"/>
      <c r="BA504" s="119"/>
      <c r="BB504" s="119"/>
      <c r="BC504" s="119"/>
      <c r="BD504" s="119"/>
      <c r="BE504" s="119"/>
      <c r="BF504" s="119"/>
      <c r="BG504" s="119"/>
      <c r="BH504" s="119"/>
    </row>
    <row r="505" spans="1:60" ht="15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  <c r="AN505" s="119"/>
      <c r="AO505" s="119"/>
      <c r="AP505" s="119"/>
      <c r="AQ505" s="119"/>
      <c r="AR505" s="119"/>
      <c r="AS505" s="119"/>
      <c r="AT505" s="119"/>
      <c r="AU505" s="119"/>
      <c r="AV505" s="119"/>
      <c r="AW505" s="119"/>
      <c r="AX505" s="119"/>
      <c r="AY505" s="119"/>
      <c r="AZ505" s="119"/>
      <c r="BA505" s="119"/>
      <c r="BB505" s="119"/>
      <c r="BC505" s="119"/>
      <c r="BD505" s="119"/>
      <c r="BE505" s="119"/>
      <c r="BF505" s="119"/>
      <c r="BG505" s="119"/>
      <c r="BH505" s="119"/>
    </row>
    <row r="506" spans="1:60" ht="15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  <c r="AN506" s="119"/>
      <c r="AO506" s="119"/>
      <c r="AP506" s="119"/>
      <c r="AQ506" s="119"/>
      <c r="AR506" s="119"/>
      <c r="AS506" s="119"/>
      <c r="AT506" s="119"/>
      <c r="AU506" s="119"/>
      <c r="AV506" s="119"/>
      <c r="AW506" s="119"/>
      <c r="AX506" s="119"/>
      <c r="AY506" s="119"/>
      <c r="AZ506" s="119"/>
      <c r="BA506" s="119"/>
      <c r="BB506" s="119"/>
      <c r="BC506" s="119"/>
      <c r="BD506" s="119"/>
      <c r="BE506" s="119"/>
      <c r="BF506" s="119"/>
      <c r="BG506" s="119"/>
      <c r="BH506" s="119"/>
    </row>
    <row r="507" spans="1:60" ht="15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  <c r="AN507" s="119"/>
      <c r="AO507" s="119"/>
      <c r="AP507" s="119"/>
      <c r="AQ507" s="119"/>
      <c r="AR507" s="119"/>
      <c r="AS507" s="119"/>
      <c r="AT507" s="119"/>
      <c r="AU507" s="119"/>
      <c r="AV507" s="119"/>
      <c r="AW507" s="119"/>
      <c r="AX507" s="119"/>
      <c r="AY507" s="119"/>
      <c r="AZ507" s="119"/>
      <c r="BA507" s="119"/>
      <c r="BB507" s="119"/>
      <c r="BC507" s="119"/>
      <c r="BD507" s="119"/>
      <c r="BE507" s="119"/>
      <c r="BF507" s="119"/>
      <c r="BG507" s="119"/>
      <c r="BH507" s="119"/>
    </row>
    <row r="508" spans="1:60" ht="15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  <c r="AN508" s="119"/>
      <c r="AO508" s="119"/>
      <c r="AP508" s="119"/>
      <c r="AQ508" s="119"/>
      <c r="AR508" s="119"/>
      <c r="AS508" s="119"/>
      <c r="AT508" s="119"/>
      <c r="AU508" s="119"/>
      <c r="AV508" s="119"/>
      <c r="AW508" s="119"/>
      <c r="AX508" s="119"/>
      <c r="AY508" s="119"/>
      <c r="AZ508" s="119"/>
      <c r="BA508" s="119"/>
      <c r="BB508" s="119"/>
      <c r="BC508" s="119"/>
      <c r="BD508" s="119"/>
      <c r="BE508" s="119"/>
      <c r="BF508" s="119"/>
      <c r="BG508" s="119"/>
      <c r="BH508" s="119"/>
    </row>
    <row r="509" spans="1:60" ht="15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  <c r="AN509" s="119"/>
      <c r="AO509" s="119"/>
      <c r="AP509" s="119"/>
      <c r="AQ509" s="119"/>
      <c r="AR509" s="119"/>
      <c r="AS509" s="119"/>
      <c r="AT509" s="119"/>
      <c r="AU509" s="119"/>
      <c r="AV509" s="119"/>
      <c r="AW509" s="119"/>
      <c r="AX509" s="119"/>
      <c r="AY509" s="119"/>
      <c r="AZ509" s="119"/>
      <c r="BA509" s="119"/>
      <c r="BB509" s="119"/>
      <c r="BC509" s="119"/>
      <c r="BD509" s="119"/>
      <c r="BE509" s="119"/>
      <c r="BF509" s="119"/>
      <c r="BG509" s="119"/>
      <c r="BH509" s="119"/>
    </row>
    <row r="510" spans="1:60" ht="15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  <c r="AN510" s="119"/>
      <c r="AO510" s="119"/>
      <c r="AP510" s="119"/>
      <c r="AQ510" s="119"/>
      <c r="AR510" s="119"/>
      <c r="AS510" s="119"/>
      <c r="AT510" s="119"/>
      <c r="AU510" s="119"/>
      <c r="AV510" s="119"/>
      <c r="AW510" s="119"/>
      <c r="AX510" s="119"/>
      <c r="AY510" s="119"/>
      <c r="AZ510" s="119"/>
      <c r="BA510" s="119"/>
      <c r="BB510" s="119"/>
      <c r="BC510" s="119"/>
      <c r="BD510" s="119"/>
      <c r="BE510" s="119"/>
      <c r="BF510" s="119"/>
      <c r="BG510" s="119"/>
      <c r="BH510" s="119"/>
    </row>
    <row r="511" spans="1:60" ht="15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  <c r="AN511" s="119"/>
      <c r="AO511" s="119"/>
      <c r="AP511" s="119"/>
      <c r="AQ511" s="119"/>
      <c r="AR511" s="119"/>
      <c r="AS511" s="119"/>
      <c r="AT511" s="119"/>
      <c r="AU511" s="119"/>
      <c r="AV511" s="119"/>
      <c r="AW511" s="119"/>
      <c r="AX511" s="119"/>
      <c r="AY511" s="119"/>
      <c r="AZ511" s="119"/>
      <c r="BA511" s="119"/>
      <c r="BB511" s="119"/>
      <c r="BC511" s="119"/>
      <c r="BD511" s="119"/>
      <c r="BE511" s="119"/>
      <c r="BF511" s="119"/>
      <c r="BG511" s="119"/>
      <c r="BH511" s="119"/>
    </row>
    <row r="512" spans="1:60" ht="15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  <c r="AN512" s="119"/>
      <c r="AO512" s="119"/>
      <c r="AP512" s="119"/>
      <c r="AQ512" s="119"/>
      <c r="AR512" s="119"/>
      <c r="AS512" s="119"/>
      <c r="AT512" s="119"/>
      <c r="AU512" s="119"/>
      <c r="AV512" s="119"/>
      <c r="AW512" s="119"/>
      <c r="AX512" s="119"/>
      <c r="AY512" s="119"/>
      <c r="AZ512" s="119"/>
      <c r="BA512" s="119"/>
      <c r="BB512" s="119"/>
      <c r="BC512" s="119"/>
      <c r="BD512" s="119"/>
      <c r="BE512" s="119"/>
      <c r="BF512" s="119"/>
      <c r="BG512" s="119"/>
      <c r="BH512" s="119"/>
    </row>
    <row r="513" spans="1:60" ht="15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  <c r="AN513" s="119"/>
      <c r="AO513" s="119"/>
      <c r="AP513" s="119"/>
      <c r="AQ513" s="119"/>
      <c r="AR513" s="119"/>
      <c r="AS513" s="119"/>
      <c r="AT513" s="119"/>
      <c r="AU513" s="119"/>
      <c r="AV513" s="119"/>
      <c r="AW513" s="119"/>
      <c r="AX513" s="119"/>
      <c r="AY513" s="119"/>
      <c r="AZ513" s="119"/>
      <c r="BA513" s="119"/>
      <c r="BB513" s="119"/>
      <c r="BC513" s="119"/>
      <c r="BD513" s="119"/>
      <c r="BE513" s="119"/>
      <c r="BF513" s="119"/>
      <c r="BG513" s="119"/>
      <c r="BH513" s="119"/>
    </row>
    <row r="514" spans="1:60" ht="15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  <c r="AN514" s="119"/>
      <c r="AO514" s="119"/>
      <c r="AP514" s="119"/>
      <c r="AQ514" s="119"/>
      <c r="AR514" s="119"/>
      <c r="AS514" s="119"/>
      <c r="AT514" s="119"/>
      <c r="AU514" s="119"/>
      <c r="AV514" s="119"/>
      <c r="AW514" s="119"/>
      <c r="AX514" s="119"/>
      <c r="AY514" s="119"/>
      <c r="AZ514" s="119"/>
      <c r="BA514" s="119"/>
      <c r="BB514" s="119"/>
      <c r="BC514" s="119"/>
      <c r="BD514" s="119"/>
      <c r="BE514" s="119"/>
      <c r="BF514" s="119"/>
      <c r="BG514" s="119"/>
      <c r="BH514" s="119"/>
    </row>
    <row r="515" spans="1:60" ht="15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  <c r="AN515" s="119"/>
      <c r="AO515" s="119"/>
      <c r="AP515" s="119"/>
      <c r="AQ515" s="119"/>
      <c r="AR515" s="119"/>
      <c r="AS515" s="119"/>
      <c r="AT515" s="119"/>
      <c r="AU515" s="119"/>
      <c r="AV515" s="119"/>
      <c r="AW515" s="119"/>
      <c r="AX515" s="119"/>
      <c r="AY515" s="119"/>
      <c r="AZ515" s="119"/>
      <c r="BA515" s="119"/>
      <c r="BB515" s="119"/>
      <c r="BC515" s="119"/>
      <c r="BD515" s="119"/>
      <c r="BE515" s="119"/>
      <c r="BF515" s="119"/>
      <c r="BG515" s="119"/>
      <c r="BH515" s="119"/>
    </row>
    <row r="516" spans="1:60" ht="15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  <c r="AN516" s="119"/>
      <c r="AO516" s="119"/>
      <c r="AP516" s="119"/>
      <c r="AQ516" s="119"/>
      <c r="AR516" s="119"/>
      <c r="AS516" s="119"/>
      <c r="AT516" s="119"/>
      <c r="AU516" s="119"/>
      <c r="AV516" s="119"/>
      <c r="AW516" s="119"/>
      <c r="AX516" s="119"/>
      <c r="AY516" s="119"/>
      <c r="AZ516" s="119"/>
      <c r="BA516" s="119"/>
      <c r="BB516" s="119"/>
      <c r="BC516" s="119"/>
      <c r="BD516" s="119"/>
      <c r="BE516" s="119"/>
      <c r="BF516" s="119"/>
      <c r="BG516" s="119"/>
      <c r="BH516" s="119"/>
    </row>
    <row r="517" spans="1:60" ht="15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  <c r="AN517" s="119"/>
      <c r="AO517" s="119"/>
      <c r="AP517" s="119"/>
      <c r="AQ517" s="119"/>
      <c r="AR517" s="119"/>
      <c r="AS517" s="119"/>
      <c r="AT517" s="119"/>
      <c r="AU517" s="119"/>
      <c r="AV517" s="119"/>
      <c r="AW517" s="119"/>
      <c r="AX517" s="119"/>
      <c r="AY517" s="119"/>
      <c r="AZ517" s="119"/>
      <c r="BA517" s="119"/>
      <c r="BB517" s="119"/>
      <c r="BC517" s="119"/>
      <c r="BD517" s="119"/>
      <c r="BE517" s="119"/>
      <c r="BF517" s="119"/>
      <c r="BG517" s="119"/>
      <c r="BH517" s="119"/>
    </row>
    <row r="518" spans="1:60" ht="15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  <c r="AN518" s="119"/>
      <c r="AO518" s="119"/>
      <c r="AP518" s="119"/>
      <c r="AQ518" s="119"/>
      <c r="AR518" s="119"/>
      <c r="AS518" s="119"/>
      <c r="AT518" s="119"/>
      <c r="AU518" s="119"/>
      <c r="AV518" s="119"/>
      <c r="AW518" s="119"/>
      <c r="AX518" s="119"/>
      <c r="AY518" s="119"/>
      <c r="AZ518" s="119"/>
      <c r="BA518" s="119"/>
      <c r="BB518" s="119"/>
      <c r="BC518" s="119"/>
      <c r="BD518" s="119"/>
      <c r="BE518" s="119"/>
      <c r="BF518" s="119"/>
      <c r="BG518" s="119"/>
      <c r="BH518" s="119"/>
    </row>
    <row r="519" spans="1:60" ht="15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  <c r="AN519" s="119"/>
      <c r="AO519" s="119"/>
      <c r="AP519" s="119"/>
      <c r="AQ519" s="119"/>
      <c r="AR519" s="119"/>
      <c r="AS519" s="119"/>
      <c r="AT519" s="119"/>
      <c r="AU519" s="119"/>
      <c r="AV519" s="119"/>
      <c r="AW519" s="119"/>
      <c r="AX519" s="119"/>
      <c r="AY519" s="119"/>
      <c r="AZ519" s="119"/>
      <c r="BA519" s="119"/>
      <c r="BB519" s="119"/>
      <c r="BC519" s="119"/>
      <c r="BD519" s="119"/>
      <c r="BE519" s="119"/>
      <c r="BF519" s="119"/>
      <c r="BG519" s="119"/>
      <c r="BH519" s="119"/>
    </row>
    <row r="520" spans="1:60" ht="15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  <c r="AN520" s="119"/>
      <c r="AO520" s="119"/>
      <c r="AP520" s="119"/>
      <c r="AQ520" s="119"/>
      <c r="AR520" s="119"/>
      <c r="AS520" s="119"/>
      <c r="AT520" s="119"/>
      <c r="AU520" s="119"/>
      <c r="AV520" s="119"/>
      <c r="AW520" s="119"/>
      <c r="AX520" s="119"/>
      <c r="AY520" s="119"/>
      <c r="AZ520" s="119"/>
      <c r="BA520" s="119"/>
      <c r="BB520" s="119"/>
      <c r="BC520" s="119"/>
      <c r="BD520" s="119"/>
      <c r="BE520" s="119"/>
      <c r="BF520" s="119"/>
      <c r="BG520" s="119"/>
      <c r="BH520" s="119"/>
    </row>
    <row r="521" spans="1:60" ht="15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  <c r="AN521" s="119"/>
      <c r="AO521" s="119"/>
      <c r="AP521" s="119"/>
      <c r="AQ521" s="119"/>
      <c r="AR521" s="119"/>
      <c r="AS521" s="119"/>
      <c r="AT521" s="119"/>
      <c r="AU521" s="119"/>
      <c r="AV521" s="119"/>
      <c r="AW521" s="119"/>
      <c r="AX521" s="119"/>
      <c r="AY521" s="119"/>
      <c r="AZ521" s="119"/>
      <c r="BA521" s="119"/>
      <c r="BB521" s="119"/>
      <c r="BC521" s="119"/>
      <c r="BD521" s="119"/>
      <c r="BE521" s="119"/>
      <c r="BF521" s="119"/>
      <c r="BG521" s="119"/>
      <c r="BH521" s="119"/>
    </row>
    <row r="522" spans="1:60" ht="15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  <c r="AN522" s="119"/>
      <c r="AO522" s="119"/>
      <c r="AP522" s="119"/>
      <c r="AQ522" s="119"/>
      <c r="AR522" s="119"/>
      <c r="AS522" s="119"/>
      <c r="AT522" s="119"/>
      <c r="AU522" s="119"/>
      <c r="AV522" s="119"/>
      <c r="AW522" s="119"/>
      <c r="AX522" s="119"/>
      <c r="AY522" s="119"/>
      <c r="AZ522" s="119"/>
      <c r="BA522" s="119"/>
      <c r="BB522" s="119"/>
      <c r="BC522" s="119"/>
      <c r="BD522" s="119"/>
      <c r="BE522" s="119"/>
      <c r="BF522" s="119"/>
      <c r="BG522" s="119"/>
      <c r="BH522" s="119"/>
    </row>
    <row r="523" spans="1:60" ht="15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  <c r="AN523" s="119"/>
      <c r="AO523" s="119"/>
      <c r="AP523" s="119"/>
      <c r="AQ523" s="119"/>
      <c r="AR523" s="119"/>
      <c r="AS523" s="119"/>
      <c r="AT523" s="119"/>
      <c r="AU523" s="119"/>
      <c r="AV523" s="119"/>
      <c r="AW523" s="119"/>
      <c r="AX523" s="119"/>
      <c r="AY523" s="119"/>
      <c r="AZ523" s="119"/>
      <c r="BA523" s="119"/>
      <c r="BB523" s="119"/>
      <c r="BC523" s="119"/>
      <c r="BD523" s="119"/>
      <c r="BE523" s="119"/>
      <c r="BF523" s="119"/>
      <c r="BG523" s="119"/>
      <c r="BH523" s="119"/>
    </row>
    <row r="524" spans="1:60" ht="15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  <c r="AN524" s="119"/>
      <c r="AO524" s="119"/>
      <c r="AP524" s="119"/>
      <c r="AQ524" s="119"/>
      <c r="AR524" s="119"/>
      <c r="AS524" s="119"/>
      <c r="AT524" s="119"/>
      <c r="AU524" s="119"/>
      <c r="AV524" s="119"/>
      <c r="AW524" s="119"/>
      <c r="AX524" s="119"/>
      <c r="AY524" s="119"/>
      <c r="AZ524" s="119"/>
      <c r="BA524" s="119"/>
      <c r="BB524" s="119"/>
      <c r="BC524" s="119"/>
      <c r="BD524" s="119"/>
      <c r="BE524" s="119"/>
      <c r="BF524" s="119"/>
      <c r="BG524" s="119"/>
      <c r="BH524" s="119"/>
    </row>
    <row r="525" spans="1:60" ht="15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  <c r="AN525" s="119"/>
      <c r="AO525" s="119"/>
      <c r="AP525" s="119"/>
      <c r="AQ525" s="119"/>
      <c r="AR525" s="119"/>
      <c r="AS525" s="119"/>
      <c r="AT525" s="119"/>
      <c r="AU525" s="119"/>
      <c r="AV525" s="119"/>
      <c r="AW525" s="119"/>
      <c r="AX525" s="119"/>
      <c r="AY525" s="119"/>
      <c r="AZ525" s="119"/>
      <c r="BA525" s="119"/>
      <c r="BB525" s="119"/>
      <c r="BC525" s="119"/>
      <c r="BD525" s="119"/>
      <c r="BE525" s="119"/>
      <c r="BF525" s="119"/>
      <c r="BG525" s="119"/>
      <c r="BH525" s="119"/>
    </row>
    <row r="526" spans="1:60" ht="15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  <c r="AN526" s="119"/>
      <c r="AO526" s="119"/>
      <c r="AP526" s="119"/>
      <c r="AQ526" s="119"/>
      <c r="AR526" s="119"/>
      <c r="AS526" s="119"/>
      <c r="AT526" s="119"/>
      <c r="AU526" s="119"/>
      <c r="AV526" s="119"/>
      <c r="AW526" s="119"/>
      <c r="AX526" s="119"/>
      <c r="AY526" s="119"/>
      <c r="AZ526" s="119"/>
      <c r="BA526" s="119"/>
      <c r="BB526" s="119"/>
      <c r="BC526" s="119"/>
      <c r="BD526" s="119"/>
      <c r="BE526" s="119"/>
      <c r="BF526" s="119"/>
      <c r="BG526" s="119"/>
      <c r="BH526" s="119"/>
    </row>
    <row r="527" spans="1:60" ht="15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  <c r="AN527" s="119"/>
      <c r="AO527" s="119"/>
      <c r="AP527" s="119"/>
      <c r="AQ527" s="119"/>
      <c r="AR527" s="119"/>
      <c r="AS527" s="119"/>
      <c r="AT527" s="119"/>
      <c r="AU527" s="119"/>
      <c r="AV527" s="119"/>
      <c r="AW527" s="119"/>
      <c r="AX527" s="119"/>
      <c r="AY527" s="119"/>
      <c r="AZ527" s="119"/>
      <c r="BA527" s="119"/>
      <c r="BB527" s="119"/>
      <c r="BC527" s="119"/>
      <c r="BD527" s="119"/>
      <c r="BE527" s="119"/>
      <c r="BF527" s="119"/>
      <c r="BG527" s="119"/>
      <c r="BH527" s="119"/>
    </row>
    <row r="528" spans="1:60" ht="15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  <c r="AN528" s="119"/>
      <c r="AO528" s="119"/>
      <c r="AP528" s="119"/>
      <c r="AQ528" s="119"/>
      <c r="AR528" s="119"/>
      <c r="AS528" s="119"/>
      <c r="AT528" s="119"/>
      <c r="AU528" s="119"/>
      <c r="AV528" s="119"/>
      <c r="AW528" s="119"/>
      <c r="AX528" s="119"/>
      <c r="AY528" s="119"/>
      <c r="AZ528" s="119"/>
      <c r="BA528" s="119"/>
      <c r="BB528" s="119"/>
      <c r="BC528" s="119"/>
      <c r="BD528" s="119"/>
      <c r="BE528" s="119"/>
      <c r="BF528" s="119"/>
      <c r="BG528" s="119"/>
      <c r="BH528" s="119"/>
    </row>
    <row r="529" spans="1:60" ht="15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  <c r="AN529" s="119"/>
      <c r="AO529" s="119"/>
      <c r="AP529" s="119"/>
      <c r="AQ529" s="119"/>
      <c r="AR529" s="119"/>
      <c r="AS529" s="119"/>
      <c r="AT529" s="119"/>
      <c r="AU529" s="119"/>
      <c r="AV529" s="119"/>
      <c r="AW529" s="119"/>
      <c r="AX529" s="119"/>
      <c r="AY529" s="119"/>
      <c r="AZ529" s="119"/>
      <c r="BA529" s="119"/>
      <c r="BB529" s="119"/>
      <c r="BC529" s="119"/>
      <c r="BD529" s="119"/>
      <c r="BE529" s="119"/>
      <c r="BF529" s="119"/>
      <c r="BG529" s="119"/>
      <c r="BH529" s="119"/>
    </row>
    <row r="530" spans="1:60" ht="15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  <c r="AN530" s="119"/>
      <c r="AO530" s="119"/>
      <c r="AP530" s="119"/>
      <c r="AQ530" s="119"/>
      <c r="AR530" s="119"/>
      <c r="AS530" s="119"/>
      <c r="AT530" s="119"/>
      <c r="AU530" s="119"/>
      <c r="AV530" s="119"/>
      <c r="AW530" s="119"/>
      <c r="AX530" s="119"/>
      <c r="AY530" s="119"/>
      <c r="AZ530" s="119"/>
      <c r="BA530" s="119"/>
      <c r="BB530" s="119"/>
      <c r="BC530" s="119"/>
      <c r="BD530" s="119"/>
      <c r="BE530" s="119"/>
      <c r="BF530" s="119"/>
      <c r="BG530" s="119"/>
      <c r="BH530" s="119"/>
    </row>
    <row r="531" spans="1:60" ht="15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  <c r="AN531" s="119"/>
      <c r="AO531" s="119"/>
      <c r="AP531" s="119"/>
      <c r="AQ531" s="119"/>
      <c r="AR531" s="119"/>
      <c r="AS531" s="119"/>
      <c r="AT531" s="119"/>
      <c r="AU531" s="119"/>
      <c r="AV531" s="119"/>
      <c r="AW531" s="119"/>
      <c r="AX531" s="119"/>
      <c r="AY531" s="119"/>
      <c r="AZ531" s="119"/>
      <c r="BA531" s="119"/>
      <c r="BB531" s="119"/>
      <c r="BC531" s="119"/>
      <c r="BD531" s="119"/>
      <c r="BE531" s="119"/>
      <c r="BF531" s="119"/>
      <c r="BG531" s="119"/>
      <c r="BH531" s="119"/>
    </row>
    <row r="532" spans="1:60" ht="15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  <c r="AN532" s="119"/>
      <c r="AO532" s="119"/>
      <c r="AP532" s="119"/>
      <c r="AQ532" s="119"/>
      <c r="AR532" s="119"/>
      <c r="AS532" s="119"/>
      <c r="AT532" s="119"/>
      <c r="AU532" s="119"/>
      <c r="AV532" s="119"/>
      <c r="AW532" s="119"/>
      <c r="AX532" s="119"/>
      <c r="AY532" s="119"/>
      <c r="AZ532" s="119"/>
      <c r="BA532" s="119"/>
      <c r="BB532" s="119"/>
      <c r="BC532" s="119"/>
      <c r="BD532" s="119"/>
      <c r="BE532" s="119"/>
      <c r="BF532" s="119"/>
      <c r="BG532" s="119"/>
      <c r="BH532" s="119"/>
    </row>
    <row r="533" spans="1:60" ht="15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  <c r="AN533" s="119"/>
      <c r="AO533" s="119"/>
      <c r="AP533" s="119"/>
      <c r="AQ533" s="119"/>
      <c r="AR533" s="119"/>
      <c r="AS533" s="119"/>
      <c r="AT533" s="119"/>
      <c r="AU533" s="119"/>
      <c r="AV533" s="119"/>
      <c r="AW533" s="119"/>
      <c r="AX533" s="119"/>
      <c r="AY533" s="119"/>
      <c r="AZ533" s="119"/>
      <c r="BA533" s="119"/>
      <c r="BB533" s="119"/>
      <c r="BC533" s="119"/>
      <c r="BD533" s="119"/>
      <c r="BE533" s="119"/>
      <c r="BF533" s="119"/>
      <c r="BG533" s="119"/>
      <c r="BH533" s="119"/>
    </row>
    <row r="534" spans="1:60" ht="15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  <c r="AN534" s="119"/>
      <c r="AO534" s="119"/>
      <c r="AP534" s="119"/>
      <c r="AQ534" s="119"/>
      <c r="AR534" s="119"/>
      <c r="AS534" s="119"/>
      <c r="AT534" s="119"/>
      <c r="AU534" s="119"/>
      <c r="AV534" s="119"/>
      <c r="AW534" s="119"/>
      <c r="AX534" s="119"/>
      <c r="AY534" s="119"/>
      <c r="AZ534" s="119"/>
      <c r="BA534" s="119"/>
      <c r="BB534" s="119"/>
      <c r="BC534" s="119"/>
      <c r="BD534" s="119"/>
      <c r="BE534" s="119"/>
      <c r="BF534" s="119"/>
      <c r="BG534" s="119"/>
      <c r="BH534" s="119"/>
    </row>
    <row r="535" spans="1:60" ht="15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  <c r="AN535" s="119"/>
      <c r="AO535" s="119"/>
      <c r="AP535" s="119"/>
      <c r="AQ535" s="119"/>
      <c r="AR535" s="119"/>
      <c r="AS535" s="119"/>
      <c r="AT535" s="119"/>
      <c r="AU535" s="119"/>
      <c r="AV535" s="119"/>
      <c r="AW535" s="119"/>
      <c r="AX535" s="119"/>
      <c r="AY535" s="119"/>
      <c r="AZ535" s="119"/>
      <c r="BA535" s="119"/>
      <c r="BB535" s="119"/>
      <c r="BC535" s="119"/>
      <c r="BD535" s="119"/>
      <c r="BE535" s="119"/>
      <c r="BF535" s="119"/>
      <c r="BG535" s="119"/>
      <c r="BH535" s="119"/>
    </row>
    <row r="536" spans="1:60" ht="15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  <c r="AN536" s="119"/>
      <c r="AO536" s="119"/>
      <c r="AP536" s="119"/>
      <c r="AQ536" s="119"/>
      <c r="AR536" s="119"/>
      <c r="AS536" s="119"/>
      <c r="AT536" s="119"/>
      <c r="AU536" s="119"/>
      <c r="AV536" s="119"/>
      <c r="AW536" s="119"/>
      <c r="AX536" s="119"/>
      <c r="AY536" s="119"/>
      <c r="AZ536" s="119"/>
      <c r="BA536" s="119"/>
      <c r="BB536" s="119"/>
      <c r="BC536" s="119"/>
      <c r="BD536" s="119"/>
      <c r="BE536" s="119"/>
      <c r="BF536" s="119"/>
      <c r="BG536" s="119"/>
      <c r="BH536" s="119"/>
    </row>
    <row r="537" spans="1:60" ht="15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  <c r="AN537" s="119"/>
      <c r="AO537" s="119"/>
      <c r="AP537" s="119"/>
      <c r="AQ537" s="119"/>
      <c r="AR537" s="119"/>
      <c r="AS537" s="119"/>
      <c r="AT537" s="119"/>
      <c r="AU537" s="119"/>
      <c r="AV537" s="119"/>
      <c r="AW537" s="119"/>
      <c r="AX537" s="119"/>
      <c r="AY537" s="119"/>
      <c r="AZ537" s="119"/>
      <c r="BA537" s="119"/>
      <c r="BB537" s="119"/>
      <c r="BC537" s="119"/>
      <c r="BD537" s="119"/>
      <c r="BE537" s="119"/>
      <c r="BF537" s="119"/>
      <c r="BG537" s="119"/>
      <c r="BH537" s="119"/>
    </row>
    <row r="538" spans="1:60" ht="15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  <c r="AN538" s="119"/>
      <c r="AO538" s="119"/>
      <c r="AP538" s="119"/>
      <c r="AQ538" s="119"/>
      <c r="AR538" s="119"/>
      <c r="AS538" s="119"/>
      <c r="AT538" s="119"/>
      <c r="AU538" s="119"/>
      <c r="AV538" s="119"/>
      <c r="AW538" s="119"/>
      <c r="AX538" s="119"/>
      <c r="AY538" s="119"/>
      <c r="AZ538" s="119"/>
      <c r="BA538" s="119"/>
      <c r="BB538" s="119"/>
      <c r="BC538" s="119"/>
      <c r="BD538" s="119"/>
      <c r="BE538" s="119"/>
      <c r="BF538" s="119"/>
      <c r="BG538" s="119"/>
      <c r="BH538" s="119"/>
    </row>
    <row r="539" spans="1:60" ht="15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  <c r="AN539" s="119"/>
      <c r="AO539" s="119"/>
      <c r="AP539" s="119"/>
      <c r="AQ539" s="119"/>
      <c r="AR539" s="119"/>
      <c r="AS539" s="119"/>
      <c r="AT539" s="119"/>
      <c r="AU539" s="119"/>
      <c r="AV539" s="119"/>
      <c r="AW539" s="119"/>
      <c r="AX539" s="119"/>
      <c r="AY539" s="119"/>
      <c r="AZ539" s="119"/>
      <c r="BA539" s="119"/>
      <c r="BB539" s="119"/>
      <c r="BC539" s="119"/>
      <c r="BD539" s="119"/>
      <c r="BE539" s="119"/>
      <c r="BF539" s="119"/>
      <c r="BG539" s="119"/>
      <c r="BH539" s="119"/>
    </row>
    <row r="540" spans="1:60" ht="15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  <c r="AN540" s="119"/>
      <c r="AO540" s="119"/>
      <c r="AP540" s="119"/>
      <c r="AQ540" s="119"/>
      <c r="AR540" s="119"/>
      <c r="AS540" s="119"/>
      <c r="AT540" s="119"/>
      <c r="AU540" s="119"/>
      <c r="AV540" s="119"/>
      <c r="AW540" s="119"/>
      <c r="AX540" s="119"/>
      <c r="AY540" s="119"/>
      <c r="AZ540" s="119"/>
      <c r="BA540" s="119"/>
      <c r="BB540" s="119"/>
      <c r="BC540" s="119"/>
      <c r="BD540" s="119"/>
      <c r="BE540" s="119"/>
      <c r="BF540" s="119"/>
      <c r="BG540" s="119"/>
      <c r="BH540" s="119"/>
    </row>
    <row r="541" spans="1:60" ht="15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  <c r="AN541" s="119"/>
      <c r="AO541" s="119"/>
      <c r="AP541" s="119"/>
      <c r="AQ541" s="119"/>
      <c r="AR541" s="119"/>
      <c r="AS541" s="119"/>
      <c r="AT541" s="119"/>
      <c r="AU541" s="119"/>
      <c r="AV541" s="119"/>
      <c r="AW541" s="119"/>
      <c r="AX541" s="119"/>
      <c r="AY541" s="119"/>
      <c r="AZ541" s="119"/>
      <c r="BA541" s="119"/>
      <c r="BB541" s="119"/>
      <c r="BC541" s="119"/>
      <c r="BD541" s="119"/>
      <c r="BE541" s="119"/>
      <c r="BF541" s="119"/>
      <c r="BG541" s="119"/>
      <c r="BH541" s="119"/>
    </row>
    <row r="542" spans="1:60" ht="15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  <c r="AN542" s="119"/>
      <c r="AO542" s="119"/>
      <c r="AP542" s="119"/>
      <c r="AQ542" s="119"/>
      <c r="AR542" s="119"/>
      <c r="AS542" s="119"/>
      <c r="AT542" s="119"/>
      <c r="AU542" s="119"/>
      <c r="AV542" s="119"/>
      <c r="AW542" s="119"/>
      <c r="AX542" s="119"/>
      <c r="AY542" s="119"/>
      <c r="AZ542" s="119"/>
      <c r="BA542" s="119"/>
      <c r="BB542" s="119"/>
      <c r="BC542" s="119"/>
      <c r="BD542" s="119"/>
      <c r="BE542" s="119"/>
      <c r="BF542" s="119"/>
      <c r="BG542" s="119"/>
      <c r="BH542" s="119"/>
    </row>
    <row r="543" spans="1:60" ht="15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  <c r="AN543" s="119"/>
      <c r="AO543" s="119"/>
      <c r="AP543" s="119"/>
      <c r="AQ543" s="119"/>
      <c r="AR543" s="119"/>
      <c r="AS543" s="119"/>
      <c r="AT543" s="119"/>
      <c r="AU543" s="119"/>
      <c r="AV543" s="119"/>
      <c r="AW543" s="119"/>
      <c r="AX543" s="119"/>
      <c r="AY543" s="119"/>
      <c r="AZ543" s="119"/>
      <c r="BA543" s="119"/>
      <c r="BB543" s="119"/>
      <c r="BC543" s="119"/>
      <c r="BD543" s="119"/>
      <c r="BE543" s="119"/>
      <c r="BF543" s="119"/>
      <c r="BG543" s="119"/>
      <c r="BH543" s="119"/>
    </row>
    <row r="544" spans="1:60" ht="15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  <c r="AN544" s="119"/>
      <c r="AO544" s="119"/>
      <c r="AP544" s="119"/>
      <c r="AQ544" s="119"/>
      <c r="AR544" s="119"/>
      <c r="AS544" s="119"/>
      <c r="AT544" s="119"/>
      <c r="AU544" s="119"/>
      <c r="AV544" s="119"/>
      <c r="AW544" s="119"/>
      <c r="AX544" s="119"/>
      <c r="AY544" s="119"/>
      <c r="AZ544" s="119"/>
      <c r="BA544" s="119"/>
      <c r="BB544" s="119"/>
      <c r="BC544" s="119"/>
      <c r="BD544" s="119"/>
      <c r="BE544" s="119"/>
      <c r="BF544" s="119"/>
      <c r="BG544" s="119"/>
      <c r="BH544" s="119"/>
    </row>
    <row r="545" spans="1:60" ht="15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  <c r="AN545" s="119"/>
      <c r="AO545" s="119"/>
      <c r="AP545" s="119"/>
      <c r="AQ545" s="119"/>
      <c r="AR545" s="119"/>
      <c r="AS545" s="119"/>
      <c r="AT545" s="119"/>
      <c r="AU545" s="119"/>
      <c r="AV545" s="119"/>
      <c r="AW545" s="119"/>
      <c r="AX545" s="119"/>
      <c r="AY545" s="119"/>
      <c r="AZ545" s="119"/>
      <c r="BA545" s="119"/>
      <c r="BB545" s="119"/>
      <c r="BC545" s="119"/>
      <c r="BD545" s="119"/>
      <c r="BE545" s="119"/>
      <c r="BF545" s="119"/>
      <c r="BG545" s="119"/>
      <c r="BH545" s="119"/>
    </row>
    <row r="546" spans="1:60" ht="15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  <c r="AN546" s="119"/>
      <c r="AO546" s="119"/>
      <c r="AP546" s="119"/>
      <c r="AQ546" s="119"/>
      <c r="AR546" s="119"/>
      <c r="AS546" s="119"/>
      <c r="AT546" s="119"/>
      <c r="AU546" s="119"/>
      <c r="AV546" s="119"/>
      <c r="AW546" s="119"/>
      <c r="AX546" s="119"/>
      <c r="AY546" s="119"/>
      <c r="AZ546" s="119"/>
      <c r="BA546" s="119"/>
      <c r="BB546" s="119"/>
      <c r="BC546" s="119"/>
      <c r="BD546" s="119"/>
      <c r="BE546" s="119"/>
      <c r="BF546" s="119"/>
      <c r="BG546" s="119"/>
      <c r="BH546" s="119"/>
    </row>
    <row r="547" spans="1:60" ht="15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  <c r="AN547" s="119"/>
      <c r="AO547" s="119"/>
      <c r="AP547" s="119"/>
      <c r="AQ547" s="119"/>
      <c r="AR547" s="119"/>
      <c r="AS547" s="119"/>
      <c r="AT547" s="119"/>
      <c r="AU547" s="119"/>
      <c r="AV547" s="119"/>
      <c r="AW547" s="119"/>
      <c r="AX547" s="119"/>
      <c r="AY547" s="119"/>
      <c r="AZ547" s="119"/>
      <c r="BA547" s="119"/>
      <c r="BB547" s="119"/>
      <c r="BC547" s="119"/>
      <c r="BD547" s="119"/>
      <c r="BE547" s="119"/>
      <c r="BF547" s="119"/>
      <c r="BG547" s="119"/>
      <c r="BH547" s="119"/>
    </row>
    <row r="548" spans="1:60" ht="15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  <c r="AN548" s="119"/>
      <c r="AO548" s="119"/>
      <c r="AP548" s="119"/>
      <c r="AQ548" s="119"/>
      <c r="AR548" s="119"/>
      <c r="AS548" s="119"/>
      <c r="AT548" s="119"/>
      <c r="AU548" s="119"/>
      <c r="AV548" s="119"/>
      <c r="AW548" s="119"/>
      <c r="AX548" s="119"/>
      <c r="AY548" s="119"/>
      <c r="AZ548" s="119"/>
      <c r="BA548" s="119"/>
      <c r="BB548" s="119"/>
      <c r="BC548" s="119"/>
      <c r="BD548" s="119"/>
      <c r="BE548" s="119"/>
      <c r="BF548" s="119"/>
      <c r="BG548" s="119"/>
      <c r="BH548" s="119"/>
    </row>
    <row r="549" spans="1:60" ht="15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  <c r="AN549" s="119"/>
      <c r="AO549" s="119"/>
      <c r="AP549" s="119"/>
      <c r="AQ549" s="119"/>
      <c r="AR549" s="119"/>
      <c r="AS549" s="119"/>
      <c r="AT549" s="119"/>
      <c r="AU549" s="119"/>
      <c r="AV549" s="119"/>
      <c r="AW549" s="119"/>
      <c r="AX549" s="119"/>
      <c r="AY549" s="119"/>
      <c r="AZ549" s="119"/>
      <c r="BA549" s="119"/>
      <c r="BB549" s="119"/>
      <c r="BC549" s="119"/>
      <c r="BD549" s="119"/>
      <c r="BE549" s="119"/>
      <c r="BF549" s="119"/>
      <c r="BG549" s="119"/>
      <c r="BH549" s="119"/>
    </row>
    <row r="550" spans="1:60" ht="15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  <c r="AN550" s="119"/>
      <c r="AO550" s="119"/>
      <c r="AP550" s="119"/>
      <c r="AQ550" s="119"/>
      <c r="AR550" s="119"/>
      <c r="AS550" s="119"/>
      <c r="AT550" s="119"/>
      <c r="AU550" s="119"/>
      <c r="AV550" s="119"/>
      <c r="AW550" s="119"/>
      <c r="AX550" s="119"/>
      <c r="AY550" s="119"/>
      <c r="AZ550" s="119"/>
      <c r="BA550" s="119"/>
      <c r="BB550" s="119"/>
      <c r="BC550" s="119"/>
      <c r="BD550" s="119"/>
      <c r="BE550" s="119"/>
      <c r="BF550" s="119"/>
      <c r="BG550" s="119"/>
      <c r="BH550" s="119"/>
    </row>
    <row r="551" spans="1:60" ht="15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  <c r="AN551" s="119"/>
      <c r="AO551" s="119"/>
      <c r="AP551" s="119"/>
      <c r="AQ551" s="119"/>
      <c r="AR551" s="119"/>
      <c r="AS551" s="119"/>
      <c r="AT551" s="119"/>
      <c r="AU551" s="119"/>
      <c r="AV551" s="119"/>
      <c r="AW551" s="119"/>
      <c r="AX551" s="119"/>
      <c r="AY551" s="119"/>
      <c r="AZ551" s="119"/>
      <c r="BA551" s="119"/>
      <c r="BB551" s="119"/>
      <c r="BC551" s="119"/>
      <c r="BD551" s="119"/>
      <c r="BE551" s="119"/>
      <c r="BF551" s="119"/>
      <c r="BG551" s="119"/>
      <c r="BH551" s="119"/>
    </row>
    <row r="552" spans="1:60" ht="15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  <c r="AN552" s="119"/>
      <c r="AO552" s="119"/>
      <c r="AP552" s="119"/>
      <c r="AQ552" s="119"/>
      <c r="AR552" s="119"/>
      <c r="AS552" s="119"/>
      <c r="AT552" s="119"/>
      <c r="AU552" s="119"/>
      <c r="AV552" s="119"/>
      <c r="AW552" s="119"/>
      <c r="AX552" s="119"/>
      <c r="AY552" s="119"/>
      <c r="AZ552" s="119"/>
      <c r="BA552" s="119"/>
      <c r="BB552" s="119"/>
      <c r="BC552" s="119"/>
      <c r="BD552" s="119"/>
      <c r="BE552" s="119"/>
      <c r="BF552" s="119"/>
      <c r="BG552" s="119"/>
      <c r="BH552" s="119"/>
    </row>
    <row r="553" spans="1:60" ht="15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  <c r="AN553" s="119"/>
      <c r="AO553" s="119"/>
      <c r="AP553" s="119"/>
      <c r="AQ553" s="119"/>
      <c r="AR553" s="119"/>
      <c r="AS553" s="119"/>
      <c r="AT553" s="119"/>
      <c r="AU553" s="119"/>
      <c r="AV553" s="119"/>
      <c r="AW553" s="119"/>
      <c r="AX553" s="119"/>
      <c r="AY553" s="119"/>
      <c r="AZ553" s="119"/>
      <c r="BA553" s="119"/>
      <c r="BB553" s="119"/>
      <c r="BC553" s="119"/>
      <c r="BD553" s="119"/>
      <c r="BE553" s="119"/>
      <c r="BF553" s="119"/>
      <c r="BG553" s="119"/>
      <c r="BH553" s="119"/>
    </row>
    <row r="554" spans="1:60" ht="15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  <c r="AL554" s="119"/>
      <c r="AM554" s="119"/>
      <c r="AN554" s="119"/>
      <c r="AO554" s="119"/>
      <c r="AP554" s="119"/>
      <c r="AQ554" s="119"/>
      <c r="AR554" s="119"/>
      <c r="AS554" s="119"/>
      <c r="AT554" s="119"/>
      <c r="AU554" s="119"/>
      <c r="AV554" s="119"/>
      <c r="AW554" s="119"/>
      <c r="AX554" s="119"/>
      <c r="AY554" s="119"/>
      <c r="AZ554" s="119"/>
      <c r="BA554" s="119"/>
      <c r="BB554" s="119"/>
      <c r="BC554" s="119"/>
      <c r="BD554" s="119"/>
      <c r="BE554" s="119"/>
      <c r="BF554" s="119"/>
      <c r="BG554" s="119"/>
      <c r="BH554" s="119"/>
    </row>
    <row r="555" spans="1:60" ht="15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  <c r="AN555" s="119"/>
      <c r="AO555" s="119"/>
      <c r="AP555" s="119"/>
      <c r="AQ555" s="119"/>
      <c r="AR555" s="119"/>
      <c r="AS555" s="119"/>
      <c r="AT555" s="119"/>
      <c r="AU555" s="119"/>
      <c r="AV555" s="119"/>
      <c r="AW555" s="119"/>
      <c r="AX555" s="119"/>
      <c r="AY555" s="119"/>
      <c r="AZ555" s="119"/>
      <c r="BA555" s="119"/>
      <c r="BB555" s="119"/>
      <c r="BC555" s="119"/>
      <c r="BD555" s="119"/>
      <c r="BE555" s="119"/>
      <c r="BF555" s="119"/>
      <c r="BG555" s="119"/>
      <c r="BH555" s="119"/>
    </row>
    <row r="556" spans="1:60" ht="15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  <c r="AL556" s="119"/>
      <c r="AM556" s="119"/>
      <c r="AN556" s="119"/>
      <c r="AO556" s="119"/>
      <c r="AP556" s="119"/>
      <c r="AQ556" s="119"/>
      <c r="AR556" s="119"/>
      <c r="AS556" s="119"/>
      <c r="AT556" s="119"/>
      <c r="AU556" s="119"/>
      <c r="AV556" s="119"/>
      <c r="AW556" s="119"/>
      <c r="AX556" s="119"/>
      <c r="AY556" s="119"/>
      <c r="AZ556" s="119"/>
      <c r="BA556" s="119"/>
      <c r="BB556" s="119"/>
      <c r="BC556" s="119"/>
      <c r="BD556" s="119"/>
      <c r="BE556" s="119"/>
      <c r="BF556" s="119"/>
      <c r="BG556" s="119"/>
      <c r="BH556" s="119"/>
    </row>
    <row r="557" spans="1:60" ht="15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  <c r="AL557" s="119"/>
      <c r="AM557" s="119"/>
      <c r="AN557" s="119"/>
      <c r="AO557" s="119"/>
      <c r="AP557" s="119"/>
      <c r="AQ557" s="119"/>
      <c r="AR557" s="119"/>
      <c r="AS557" s="119"/>
      <c r="AT557" s="119"/>
      <c r="AU557" s="119"/>
      <c r="AV557" s="119"/>
      <c r="AW557" s="119"/>
      <c r="AX557" s="119"/>
      <c r="AY557" s="119"/>
      <c r="AZ557" s="119"/>
      <c r="BA557" s="119"/>
      <c r="BB557" s="119"/>
      <c r="BC557" s="119"/>
      <c r="BD557" s="119"/>
      <c r="BE557" s="119"/>
      <c r="BF557" s="119"/>
      <c r="BG557" s="119"/>
      <c r="BH557" s="119"/>
    </row>
    <row r="558" spans="1:60" ht="15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  <c r="AL558" s="119"/>
      <c r="AM558" s="119"/>
      <c r="AN558" s="119"/>
      <c r="AO558" s="119"/>
      <c r="AP558" s="119"/>
      <c r="AQ558" s="119"/>
      <c r="AR558" s="119"/>
      <c r="AS558" s="119"/>
      <c r="AT558" s="119"/>
      <c r="AU558" s="119"/>
      <c r="AV558" s="119"/>
      <c r="AW558" s="119"/>
      <c r="AX558" s="119"/>
      <c r="AY558" s="119"/>
      <c r="AZ558" s="119"/>
      <c r="BA558" s="119"/>
      <c r="BB558" s="119"/>
      <c r="BC558" s="119"/>
      <c r="BD558" s="119"/>
      <c r="BE558" s="119"/>
      <c r="BF558" s="119"/>
      <c r="BG558" s="119"/>
      <c r="BH558" s="119"/>
    </row>
    <row r="559" spans="1:60" ht="15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  <c r="AN559" s="119"/>
      <c r="AO559" s="119"/>
      <c r="AP559" s="119"/>
      <c r="AQ559" s="119"/>
      <c r="AR559" s="119"/>
      <c r="AS559" s="119"/>
      <c r="AT559" s="119"/>
      <c r="AU559" s="119"/>
      <c r="AV559" s="119"/>
      <c r="AW559" s="119"/>
      <c r="AX559" s="119"/>
      <c r="AY559" s="119"/>
      <c r="AZ559" s="119"/>
      <c r="BA559" s="119"/>
      <c r="BB559" s="119"/>
      <c r="BC559" s="119"/>
      <c r="BD559" s="119"/>
      <c r="BE559" s="119"/>
      <c r="BF559" s="119"/>
      <c r="BG559" s="119"/>
      <c r="BH559" s="119"/>
    </row>
    <row r="560" spans="1:60" ht="15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  <c r="AN560" s="119"/>
      <c r="AO560" s="119"/>
      <c r="AP560" s="119"/>
      <c r="AQ560" s="119"/>
      <c r="AR560" s="119"/>
      <c r="AS560" s="119"/>
      <c r="AT560" s="119"/>
      <c r="AU560" s="119"/>
      <c r="AV560" s="119"/>
      <c r="AW560" s="119"/>
      <c r="AX560" s="119"/>
      <c r="AY560" s="119"/>
      <c r="AZ560" s="119"/>
      <c r="BA560" s="119"/>
      <c r="BB560" s="119"/>
      <c r="BC560" s="119"/>
      <c r="BD560" s="119"/>
      <c r="BE560" s="119"/>
      <c r="BF560" s="119"/>
      <c r="BG560" s="119"/>
      <c r="BH560" s="119"/>
    </row>
    <row r="561" spans="1:60" ht="15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  <c r="AN561" s="119"/>
      <c r="AO561" s="119"/>
      <c r="AP561" s="119"/>
      <c r="AQ561" s="119"/>
      <c r="AR561" s="119"/>
      <c r="AS561" s="119"/>
      <c r="AT561" s="119"/>
      <c r="AU561" s="119"/>
      <c r="AV561" s="119"/>
      <c r="AW561" s="119"/>
      <c r="AX561" s="119"/>
      <c r="AY561" s="119"/>
      <c r="AZ561" s="119"/>
      <c r="BA561" s="119"/>
      <c r="BB561" s="119"/>
      <c r="BC561" s="119"/>
      <c r="BD561" s="119"/>
      <c r="BE561" s="119"/>
      <c r="BF561" s="119"/>
      <c r="BG561" s="119"/>
      <c r="BH561" s="119"/>
    </row>
    <row r="562" spans="1:60" ht="15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  <c r="AN562" s="119"/>
      <c r="AO562" s="119"/>
      <c r="AP562" s="119"/>
      <c r="AQ562" s="119"/>
      <c r="AR562" s="119"/>
      <c r="AS562" s="119"/>
      <c r="AT562" s="119"/>
      <c r="AU562" s="119"/>
      <c r="AV562" s="119"/>
      <c r="AW562" s="119"/>
      <c r="AX562" s="119"/>
      <c r="AY562" s="119"/>
      <c r="AZ562" s="119"/>
      <c r="BA562" s="119"/>
      <c r="BB562" s="119"/>
      <c r="BC562" s="119"/>
      <c r="BD562" s="119"/>
      <c r="BE562" s="119"/>
      <c r="BF562" s="119"/>
      <c r="BG562" s="119"/>
      <c r="BH562" s="119"/>
    </row>
    <row r="563" spans="1:60" ht="15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19"/>
      <c r="AZ563" s="119"/>
      <c r="BA563" s="119"/>
      <c r="BB563" s="119"/>
      <c r="BC563" s="119"/>
      <c r="BD563" s="119"/>
      <c r="BE563" s="119"/>
      <c r="BF563" s="119"/>
      <c r="BG563" s="119"/>
      <c r="BH563" s="119"/>
    </row>
    <row r="564" spans="1:60" ht="15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  <c r="AN564" s="119"/>
      <c r="AO564" s="119"/>
      <c r="AP564" s="119"/>
      <c r="AQ564" s="119"/>
      <c r="AR564" s="119"/>
      <c r="AS564" s="119"/>
      <c r="AT564" s="119"/>
      <c r="AU564" s="119"/>
      <c r="AV564" s="119"/>
      <c r="AW564" s="119"/>
      <c r="AX564" s="119"/>
      <c r="AY564" s="119"/>
      <c r="AZ564" s="119"/>
      <c r="BA564" s="119"/>
      <c r="BB564" s="119"/>
      <c r="BC564" s="119"/>
      <c r="BD564" s="119"/>
      <c r="BE564" s="119"/>
      <c r="BF564" s="119"/>
      <c r="BG564" s="119"/>
      <c r="BH564" s="119"/>
    </row>
    <row r="565" spans="1:60" ht="15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  <c r="AN565" s="119"/>
      <c r="AO565" s="119"/>
      <c r="AP565" s="119"/>
      <c r="AQ565" s="119"/>
      <c r="AR565" s="119"/>
      <c r="AS565" s="119"/>
      <c r="AT565" s="119"/>
      <c r="AU565" s="119"/>
      <c r="AV565" s="119"/>
      <c r="AW565" s="119"/>
      <c r="AX565" s="119"/>
      <c r="AY565" s="119"/>
      <c r="AZ565" s="119"/>
      <c r="BA565" s="119"/>
      <c r="BB565" s="119"/>
      <c r="BC565" s="119"/>
      <c r="BD565" s="119"/>
      <c r="BE565" s="119"/>
      <c r="BF565" s="119"/>
      <c r="BG565" s="119"/>
      <c r="BH565" s="119"/>
    </row>
    <row r="566" spans="1:60" ht="15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  <c r="AN566" s="119"/>
      <c r="AO566" s="119"/>
      <c r="AP566" s="119"/>
      <c r="AQ566" s="119"/>
      <c r="AR566" s="119"/>
      <c r="AS566" s="119"/>
      <c r="AT566" s="119"/>
      <c r="AU566" s="119"/>
      <c r="AV566" s="119"/>
      <c r="AW566" s="119"/>
      <c r="AX566" s="119"/>
      <c r="AY566" s="119"/>
      <c r="AZ566" s="119"/>
      <c r="BA566" s="119"/>
      <c r="BB566" s="119"/>
      <c r="BC566" s="119"/>
      <c r="BD566" s="119"/>
      <c r="BE566" s="119"/>
      <c r="BF566" s="119"/>
      <c r="BG566" s="119"/>
      <c r="BH566" s="119"/>
    </row>
    <row r="567" spans="1:60" ht="15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  <c r="AN567" s="119"/>
      <c r="AO567" s="119"/>
      <c r="AP567" s="119"/>
      <c r="AQ567" s="119"/>
      <c r="AR567" s="119"/>
      <c r="AS567" s="119"/>
      <c r="AT567" s="119"/>
      <c r="AU567" s="119"/>
      <c r="AV567" s="119"/>
      <c r="AW567" s="119"/>
      <c r="AX567" s="119"/>
      <c r="AY567" s="119"/>
      <c r="AZ567" s="119"/>
      <c r="BA567" s="119"/>
      <c r="BB567" s="119"/>
      <c r="BC567" s="119"/>
      <c r="BD567" s="119"/>
      <c r="BE567" s="119"/>
      <c r="BF567" s="119"/>
      <c r="BG567" s="119"/>
      <c r="BH567" s="119"/>
    </row>
    <row r="568" spans="1:60" ht="15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  <c r="AN568" s="119"/>
      <c r="AO568" s="119"/>
      <c r="AP568" s="119"/>
      <c r="AQ568" s="119"/>
      <c r="AR568" s="119"/>
      <c r="AS568" s="119"/>
      <c r="AT568" s="119"/>
      <c r="AU568" s="119"/>
      <c r="AV568" s="119"/>
      <c r="AW568" s="119"/>
      <c r="AX568" s="119"/>
      <c r="AY568" s="119"/>
      <c r="AZ568" s="119"/>
      <c r="BA568" s="119"/>
      <c r="BB568" s="119"/>
      <c r="BC568" s="119"/>
      <c r="BD568" s="119"/>
      <c r="BE568" s="119"/>
      <c r="BF568" s="119"/>
      <c r="BG568" s="119"/>
      <c r="BH568" s="119"/>
    </row>
    <row r="569" spans="1:60" ht="15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  <c r="AN569" s="119"/>
      <c r="AO569" s="119"/>
      <c r="AP569" s="119"/>
      <c r="AQ569" s="119"/>
      <c r="AR569" s="119"/>
      <c r="AS569" s="119"/>
      <c r="AT569" s="119"/>
      <c r="AU569" s="119"/>
      <c r="AV569" s="119"/>
      <c r="AW569" s="119"/>
      <c r="AX569" s="119"/>
      <c r="AY569" s="119"/>
      <c r="AZ569" s="119"/>
      <c r="BA569" s="119"/>
      <c r="BB569" s="119"/>
      <c r="BC569" s="119"/>
      <c r="BD569" s="119"/>
      <c r="BE569" s="119"/>
      <c r="BF569" s="119"/>
      <c r="BG569" s="119"/>
      <c r="BH569" s="119"/>
    </row>
    <row r="570" spans="1:60" ht="15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  <c r="AN570" s="119"/>
      <c r="AO570" s="119"/>
      <c r="AP570" s="119"/>
      <c r="AQ570" s="119"/>
      <c r="AR570" s="119"/>
      <c r="AS570" s="119"/>
      <c r="AT570" s="119"/>
      <c r="AU570" s="119"/>
      <c r="AV570" s="119"/>
      <c r="AW570" s="119"/>
      <c r="AX570" s="119"/>
      <c r="AY570" s="119"/>
      <c r="AZ570" s="119"/>
      <c r="BA570" s="119"/>
      <c r="BB570" s="119"/>
      <c r="BC570" s="119"/>
      <c r="BD570" s="119"/>
      <c r="BE570" s="119"/>
      <c r="BF570" s="119"/>
      <c r="BG570" s="119"/>
      <c r="BH570" s="119"/>
    </row>
    <row r="571" spans="1:60" ht="15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  <c r="AN571" s="119"/>
      <c r="AO571" s="119"/>
      <c r="AP571" s="119"/>
      <c r="AQ571" s="119"/>
      <c r="AR571" s="119"/>
      <c r="AS571" s="119"/>
      <c r="AT571" s="119"/>
      <c r="AU571" s="119"/>
      <c r="AV571" s="119"/>
      <c r="AW571" s="119"/>
      <c r="AX571" s="119"/>
      <c r="AY571" s="119"/>
      <c r="AZ571" s="119"/>
      <c r="BA571" s="119"/>
      <c r="BB571" s="119"/>
      <c r="BC571" s="119"/>
      <c r="BD571" s="119"/>
      <c r="BE571" s="119"/>
      <c r="BF571" s="119"/>
      <c r="BG571" s="119"/>
      <c r="BH571" s="119"/>
    </row>
    <row r="572" spans="1:60" ht="15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  <c r="AN572" s="119"/>
      <c r="AO572" s="119"/>
      <c r="AP572" s="119"/>
      <c r="AQ572" s="119"/>
      <c r="AR572" s="119"/>
      <c r="AS572" s="119"/>
      <c r="AT572" s="119"/>
      <c r="AU572" s="119"/>
      <c r="AV572" s="119"/>
      <c r="AW572" s="119"/>
      <c r="AX572" s="119"/>
      <c r="AY572" s="119"/>
      <c r="AZ572" s="119"/>
      <c r="BA572" s="119"/>
      <c r="BB572" s="119"/>
      <c r="BC572" s="119"/>
      <c r="BD572" s="119"/>
      <c r="BE572" s="119"/>
      <c r="BF572" s="119"/>
      <c r="BG572" s="119"/>
      <c r="BH572" s="119"/>
    </row>
    <row r="573" spans="1:60" ht="15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  <c r="AN573" s="119"/>
      <c r="AO573" s="119"/>
      <c r="AP573" s="119"/>
      <c r="AQ573" s="119"/>
      <c r="AR573" s="119"/>
      <c r="AS573" s="119"/>
      <c r="AT573" s="119"/>
      <c r="AU573" s="119"/>
      <c r="AV573" s="119"/>
      <c r="AW573" s="119"/>
      <c r="AX573" s="119"/>
      <c r="AY573" s="119"/>
      <c r="AZ573" s="119"/>
      <c r="BA573" s="119"/>
      <c r="BB573" s="119"/>
      <c r="BC573" s="119"/>
      <c r="BD573" s="119"/>
      <c r="BE573" s="119"/>
      <c r="BF573" s="119"/>
      <c r="BG573" s="119"/>
      <c r="BH573" s="119"/>
    </row>
    <row r="574" spans="1:60" ht="15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  <c r="AN574" s="119"/>
      <c r="AO574" s="119"/>
      <c r="AP574" s="119"/>
      <c r="AQ574" s="119"/>
      <c r="AR574" s="119"/>
      <c r="AS574" s="119"/>
      <c r="AT574" s="119"/>
      <c r="AU574" s="119"/>
      <c r="AV574" s="119"/>
      <c r="AW574" s="119"/>
      <c r="AX574" s="119"/>
      <c r="AY574" s="119"/>
      <c r="AZ574" s="119"/>
      <c r="BA574" s="119"/>
      <c r="BB574" s="119"/>
      <c r="BC574" s="119"/>
      <c r="BD574" s="119"/>
      <c r="BE574" s="119"/>
      <c r="BF574" s="119"/>
      <c r="BG574" s="119"/>
      <c r="BH574" s="119"/>
    </row>
    <row r="575" spans="1:60" ht="15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  <c r="AN575" s="119"/>
      <c r="AO575" s="119"/>
      <c r="AP575" s="119"/>
      <c r="AQ575" s="119"/>
      <c r="AR575" s="119"/>
      <c r="AS575" s="119"/>
      <c r="AT575" s="119"/>
      <c r="AU575" s="119"/>
      <c r="AV575" s="119"/>
      <c r="AW575" s="119"/>
      <c r="AX575" s="119"/>
      <c r="AY575" s="119"/>
      <c r="AZ575" s="119"/>
      <c r="BA575" s="119"/>
      <c r="BB575" s="119"/>
      <c r="BC575" s="119"/>
      <c r="BD575" s="119"/>
      <c r="BE575" s="119"/>
      <c r="BF575" s="119"/>
      <c r="BG575" s="119"/>
      <c r="BH575" s="119"/>
    </row>
    <row r="576" spans="1:60" ht="15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  <c r="AN576" s="119"/>
      <c r="AO576" s="119"/>
      <c r="AP576" s="119"/>
      <c r="AQ576" s="119"/>
      <c r="AR576" s="119"/>
      <c r="AS576" s="119"/>
      <c r="AT576" s="119"/>
      <c r="AU576" s="119"/>
      <c r="AV576" s="119"/>
      <c r="AW576" s="119"/>
      <c r="AX576" s="119"/>
      <c r="AY576" s="119"/>
      <c r="AZ576" s="119"/>
      <c r="BA576" s="119"/>
      <c r="BB576" s="119"/>
      <c r="BC576" s="119"/>
      <c r="BD576" s="119"/>
      <c r="BE576" s="119"/>
      <c r="BF576" s="119"/>
      <c r="BG576" s="119"/>
      <c r="BH576" s="119"/>
    </row>
    <row r="577" spans="1:60" ht="15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  <c r="AN577" s="119"/>
      <c r="AO577" s="119"/>
      <c r="AP577" s="119"/>
      <c r="AQ577" s="119"/>
      <c r="AR577" s="119"/>
      <c r="AS577" s="119"/>
      <c r="AT577" s="119"/>
      <c r="AU577" s="119"/>
      <c r="AV577" s="119"/>
      <c r="AW577" s="119"/>
      <c r="AX577" s="119"/>
      <c r="AY577" s="119"/>
      <c r="AZ577" s="119"/>
      <c r="BA577" s="119"/>
      <c r="BB577" s="119"/>
      <c r="BC577" s="119"/>
      <c r="BD577" s="119"/>
      <c r="BE577" s="119"/>
      <c r="BF577" s="119"/>
      <c r="BG577" s="119"/>
      <c r="BH577" s="119"/>
    </row>
    <row r="578" spans="1:60" ht="15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  <c r="AN578" s="119"/>
      <c r="AO578" s="119"/>
      <c r="AP578" s="119"/>
      <c r="AQ578" s="119"/>
      <c r="AR578" s="119"/>
      <c r="AS578" s="119"/>
      <c r="AT578" s="119"/>
      <c r="AU578" s="119"/>
      <c r="AV578" s="119"/>
      <c r="AW578" s="119"/>
      <c r="AX578" s="119"/>
      <c r="AY578" s="119"/>
      <c r="AZ578" s="119"/>
      <c r="BA578" s="119"/>
      <c r="BB578" s="119"/>
      <c r="BC578" s="119"/>
      <c r="BD578" s="119"/>
      <c r="BE578" s="119"/>
      <c r="BF578" s="119"/>
      <c r="BG578" s="119"/>
      <c r="BH578" s="119"/>
    </row>
    <row r="579" spans="1:60" ht="15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  <c r="AN579" s="119"/>
      <c r="AO579" s="119"/>
      <c r="AP579" s="119"/>
      <c r="AQ579" s="119"/>
      <c r="AR579" s="119"/>
      <c r="AS579" s="119"/>
      <c r="AT579" s="119"/>
      <c r="AU579" s="119"/>
      <c r="AV579" s="119"/>
      <c r="AW579" s="119"/>
      <c r="AX579" s="119"/>
      <c r="AY579" s="119"/>
      <c r="AZ579" s="119"/>
      <c r="BA579" s="119"/>
      <c r="BB579" s="119"/>
      <c r="BC579" s="119"/>
      <c r="BD579" s="119"/>
      <c r="BE579" s="119"/>
      <c r="BF579" s="119"/>
      <c r="BG579" s="119"/>
      <c r="BH579" s="119"/>
    </row>
    <row r="580" spans="1:60" ht="15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  <c r="AN580" s="119"/>
      <c r="AO580" s="119"/>
      <c r="AP580" s="119"/>
      <c r="AQ580" s="119"/>
      <c r="AR580" s="119"/>
      <c r="AS580" s="119"/>
      <c r="AT580" s="119"/>
      <c r="AU580" s="119"/>
      <c r="AV580" s="119"/>
      <c r="AW580" s="119"/>
      <c r="AX580" s="119"/>
      <c r="AY580" s="119"/>
      <c r="AZ580" s="119"/>
      <c r="BA580" s="119"/>
      <c r="BB580" s="119"/>
      <c r="BC580" s="119"/>
      <c r="BD580" s="119"/>
      <c r="BE580" s="119"/>
      <c r="BF580" s="119"/>
      <c r="BG580" s="119"/>
      <c r="BH580" s="119"/>
    </row>
    <row r="581" spans="1:60" ht="15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  <c r="AN581" s="119"/>
      <c r="AO581" s="119"/>
      <c r="AP581" s="119"/>
      <c r="AQ581" s="119"/>
      <c r="AR581" s="119"/>
      <c r="AS581" s="119"/>
      <c r="AT581" s="119"/>
      <c r="AU581" s="119"/>
      <c r="AV581" s="119"/>
      <c r="AW581" s="119"/>
      <c r="AX581" s="119"/>
      <c r="AY581" s="119"/>
      <c r="AZ581" s="119"/>
      <c r="BA581" s="119"/>
      <c r="BB581" s="119"/>
      <c r="BC581" s="119"/>
      <c r="BD581" s="119"/>
      <c r="BE581" s="119"/>
      <c r="BF581" s="119"/>
      <c r="BG581" s="119"/>
      <c r="BH581" s="119"/>
    </row>
    <row r="582" spans="1:60" ht="15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  <c r="AN582" s="119"/>
      <c r="AO582" s="119"/>
      <c r="AP582" s="119"/>
      <c r="AQ582" s="119"/>
      <c r="AR582" s="119"/>
      <c r="AS582" s="119"/>
      <c r="AT582" s="119"/>
      <c r="AU582" s="119"/>
      <c r="AV582" s="119"/>
      <c r="AW582" s="119"/>
      <c r="AX582" s="119"/>
      <c r="AY582" s="119"/>
      <c r="AZ582" s="119"/>
      <c r="BA582" s="119"/>
      <c r="BB582" s="119"/>
      <c r="BC582" s="119"/>
      <c r="BD582" s="119"/>
      <c r="BE582" s="119"/>
      <c r="BF582" s="119"/>
      <c r="BG582" s="119"/>
      <c r="BH582" s="119"/>
    </row>
    <row r="583" spans="1:60" ht="15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19"/>
      <c r="AZ583" s="119"/>
      <c r="BA583" s="119"/>
      <c r="BB583" s="119"/>
      <c r="BC583" s="119"/>
      <c r="BD583" s="119"/>
      <c r="BE583" s="119"/>
      <c r="BF583" s="119"/>
      <c r="BG583" s="119"/>
      <c r="BH583" s="119"/>
    </row>
    <row r="584" spans="1:60" ht="15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  <c r="AN584" s="119"/>
      <c r="AO584" s="119"/>
      <c r="AP584" s="119"/>
      <c r="AQ584" s="119"/>
      <c r="AR584" s="119"/>
      <c r="AS584" s="119"/>
      <c r="AT584" s="119"/>
      <c r="AU584" s="119"/>
      <c r="AV584" s="119"/>
      <c r="AW584" s="119"/>
      <c r="AX584" s="119"/>
      <c r="AY584" s="119"/>
      <c r="AZ584" s="119"/>
      <c r="BA584" s="119"/>
      <c r="BB584" s="119"/>
      <c r="BC584" s="119"/>
      <c r="BD584" s="119"/>
      <c r="BE584" s="119"/>
      <c r="BF584" s="119"/>
      <c r="BG584" s="119"/>
      <c r="BH584" s="119"/>
    </row>
    <row r="585" spans="1:60" ht="15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  <c r="AN585" s="119"/>
      <c r="AO585" s="119"/>
      <c r="AP585" s="119"/>
      <c r="AQ585" s="119"/>
      <c r="AR585" s="119"/>
      <c r="AS585" s="119"/>
      <c r="AT585" s="119"/>
      <c r="AU585" s="119"/>
      <c r="AV585" s="119"/>
      <c r="AW585" s="119"/>
      <c r="AX585" s="119"/>
      <c r="AY585" s="119"/>
      <c r="AZ585" s="119"/>
      <c r="BA585" s="119"/>
      <c r="BB585" s="119"/>
      <c r="BC585" s="119"/>
      <c r="BD585" s="119"/>
      <c r="BE585" s="119"/>
      <c r="BF585" s="119"/>
      <c r="BG585" s="119"/>
      <c r="BH585" s="119"/>
    </row>
    <row r="586" spans="1:60" ht="15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  <c r="AN586" s="119"/>
      <c r="AO586" s="119"/>
      <c r="AP586" s="119"/>
      <c r="AQ586" s="119"/>
      <c r="AR586" s="119"/>
      <c r="AS586" s="119"/>
      <c r="AT586" s="119"/>
      <c r="AU586" s="119"/>
      <c r="AV586" s="119"/>
      <c r="AW586" s="119"/>
      <c r="AX586" s="119"/>
      <c r="AY586" s="119"/>
      <c r="AZ586" s="119"/>
      <c r="BA586" s="119"/>
      <c r="BB586" s="119"/>
      <c r="BC586" s="119"/>
      <c r="BD586" s="119"/>
      <c r="BE586" s="119"/>
      <c r="BF586" s="119"/>
      <c r="BG586" s="119"/>
      <c r="BH586" s="119"/>
    </row>
    <row r="587" spans="1:60" ht="15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  <c r="AN587" s="119"/>
      <c r="AO587" s="119"/>
      <c r="AP587" s="119"/>
      <c r="AQ587" s="119"/>
      <c r="AR587" s="119"/>
      <c r="AS587" s="119"/>
      <c r="AT587" s="119"/>
      <c r="AU587" s="119"/>
      <c r="AV587" s="119"/>
      <c r="AW587" s="119"/>
      <c r="AX587" s="119"/>
      <c r="AY587" s="119"/>
      <c r="AZ587" s="119"/>
      <c r="BA587" s="119"/>
      <c r="BB587" s="119"/>
      <c r="BC587" s="119"/>
      <c r="BD587" s="119"/>
      <c r="BE587" s="119"/>
      <c r="BF587" s="119"/>
      <c r="BG587" s="119"/>
      <c r="BH587" s="119"/>
    </row>
    <row r="588" spans="1:60" ht="15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  <c r="AN588" s="119"/>
      <c r="AO588" s="119"/>
      <c r="AP588" s="119"/>
      <c r="AQ588" s="119"/>
      <c r="AR588" s="119"/>
      <c r="AS588" s="119"/>
      <c r="AT588" s="119"/>
      <c r="AU588" s="119"/>
      <c r="AV588" s="119"/>
      <c r="AW588" s="119"/>
      <c r="AX588" s="119"/>
      <c r="AY588" s="119"/>
      <c r="AZ588" s="119"/>
      <c r="BA588" s="119"/>
      <c r="BB588" s="119"/>
      <c r="BC588" s="119"/>
      <c r="BD588" s="119"/>
      <c r="BE588" s="119"/>
      <c r="BF588" s="119"/>
      <c r="BG588" s="119"/>
      <c r="BH588" s="119"/>
    </row>
    <row r="589" spans="1:60" ht="15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  <c r="AN589" s="119"/>
      <c r="AO589" s="119"/>
      <c r="AP589" s="119"/>
      <c r="AQ589" s="119"/>
      <c r="AR589" s="119"/>
      <c r="AS589" s="119"/>
      <c r="AT589" s="119"/>
      <c r="AU589" s="119"/>
      <c r="AV589" s="119"/>
      <c r="AW589" s="119"/>
      <c r="AX589" s="119"/>
      <c r="AY589" s="119"/>
      <c r="AZ589" s="119"/>
      <c r="BA589" s="119"/>
      <c r="BB589" s="119"/>
      <c r="BC589" s="119"/>
      <c r="BD589" s="119"/>
      <c r="BE589" s="119"/>
      <c r="BF589" s="119"/>
      <c r="BG589" s="119"/>
      <c r="BH589" s="119"/>
    </row>
    <row r="590" spans="1:60" ht="15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  <c r="AN590" s="119"/>
      <c r="AO590" s="119"/>
      <c r="AP590" s="119"/>
      <c r="AQ590" s="119"/>
      <c r="AR590" s="119"/>
      <c r="AS590" s="119"/>
      <c r="AT590" s="119"/>
      <c r="AU590" s="119"/>
      <c r="AV590" s="119"/>
      <c r="AW590" s="119"/>
      <c r="AX590" s="119"/>
      <c r="AY590" s="119"/>
      <c r="AZ590" s="119"/>
      <c r="BA590" s="119"/>
      <c r="BB590" s="119"/>
      <c r="BC590" s="119"/>
      <c r="BD590" s="119"/>
      <c r="BE590" s="119"/>
      <c r="BF590" s="119"/>
      <c r="BG590" s="119"/>
      <c r="BH590" s="119"/>
    </row>
    <row r="591" spans="1:60" ht="15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  <c r="AN591" s="119"/>
      <c r="AO591" s="119"/>
      <c r="AP591" s="119"/>
      <c r="AQ591" s="119"/>
      <c r="AR591" s="119"/>
      <c r="AS591" s="119"/>
      <c r="AT591" s="119"/>
      <c r="AU591" s="119"/>
      <c r="AV591" s="119"/>
      <c r="AW591" s="119"/>
      <c r="AX591" s="119"/>
      <c r="AY591" s="119"/>
      <c r="AZ591" s="119"/>
      <c r="BA591" s="119"/>
      <c r="BB591" s="119"/>
      <c r="BC591" s="119"/>
      <c r="BD591" s="119"/>
      <c r="BE591" s="119"/>
      <c r="BF591" s="119"/>
      <c r="BG591" s="119"/>
      <c r="BH591" s="119"/>
    </row>
    <row r="592" spans="1:60" ht="15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  <c r="AN592" s="119"/>
      <c r="AO592" s="119"/>
      <c r="AP592" s="119"/>
      <c r="AQ592" s="119"/>
      <c r="AR592" s="119"/>
      <c r="AS592" s="119"/>
      <c r="AT592" s="119"/>
      <c r="AU592" s="119"/>
      <c r="AV592" s="119"/>
      <c r="AW592" s="119"/>
      <c r="AX592" s="119"/>
      <c r="AY592" s="119"/>
      <c r="AZ592" s="119"/>
      <c r="BA592" s="119"/>
      <c r="BB592" s="119"/>
      <c r="BC592" s="119"/>
      <c r="BD592" s="119"/>
      <c r="BE592" s="119"/>
      <c r="BF592" s="119"/>
      <c r="BG592" s="119"/>
      <c r="BH592" s="119"/>
    </row>
    <row r="593" spans="1:60" ht="15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  <c r="AN593" s="119"/>
      <c r="AO593" s="119"/>
      <c r="AP593" s="119"/>
      <c r="AQ593" s="119"/>
      <c r="AR593" s="119"/>
      <c r="AS593" s="119"/>
      <c r="AT593" s="119"/>
      <c r="AU593" s="119"/>
      <c r="AV593" s="119"/>
      <c r="AW593" s="119"/>
      <c r="AX593" s="119"/>
      <c r="AY593" s="119"/>
      <c r="AZ593" s="119"/>
      <c r="BA593" s="119"/>
      <c r="BB593" s="119"/>
      <c r="BC593" s="119"/>
      <c r="BD593" s="119"/>
      <c r="BE593" s="119"/>
      <c r="BF593" s="119"/>
      <c r="BG593" s="119"/>
      <c r="BH593" s="119"/>
    </row>
    <row r="594" spans="1:60" ht="15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  <c r="AN594" s="119"/>
      <c r="AO594" s="119"/>
      <c r="AP594" s="119"/>
      <c r="AQ594" s="119"/>
      <c r="AR594" s="119"/>
      <c r="AS594" s="119"/>
      <c r="AT594" s="119"/>
      <c r="AU594" s="119"/>
      <c r="AV594" s="119"/>
      <c r="AW594" s="119"/>
      <c r="AX594" s="119"/>
      <c r="AY594" s="119"/>
      <c r="AZ594" s="119"/>
      <c r="BA594" s="119"/>
      <c r="BB594" s="119"/>
      <c r="BC594" s="119"/>
      <c r="BD594" s="119"/>
      <c r="BE594" s="119"/>
      <c r="BF594" s="119"/>
      <c r="BG594" s="119"/>
      <c r="BH594" s="119"/>
    </row>
    <row r="595" spans="1:60" ht="15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  <c r="AN595" s="119"/>
      <c r="AO595" s="119"/>
      <c r="AP595" s="119"/>
      <c r="AQ595" s="119"/>
      <c r="AR595" s="119"/>
      <c r="AS595" s="119"/>
      <c r="AT595" s="119"/>
      <c r="AU595" s="119"/>
      <c r="AV595" s="119"/>
      <c r="AW595" s="119"/>
      <c r="AX595" s="119"/>
      <c r="AY595" s="119"/>
      <c r="AZ595" s="119"/>
      <c r="BA595" s="119"/>
      <c r="BB595" s="119"/>
      <c r="BC595" s="119"/>
      <c r="BD595" s="119"/>
      <c r="BE595" s="119"/>
      <c r="BF595" s="119"/>
      <c r="BG595" s="119"/>
      <c r="BH595" s="119"/>
    </row>
    <row r="596" spans="1:60" ht="15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  <c r="AN596" s="119"/>
      <c r="AO596" s="119"/>
      <c r="AP596" s="119"/>
      <c r="AQ596" s="119"/>
      <c r="AR596" s="119"/>
      <c r="AS596" s="119"/>
      <c r="AT596" s="119"/>
      <c r="AU596" s="119"/>
      <c r="AV596" s="119"/>
      <c r="AW596" s="119"/>
      <c r="AX596" s="119"/>
      <c r="AY596" s="119"/>
      <c r="AZ596" s="119"/>
      <c r="BA596" s="119"/>
      <c r="BB596" s="119"/>
      <c r="BC596" s="119"/>
      <c r="BD596" s="119"/>
      <c r="BE596" s="119"/>
      <c r="BF596" s="119"/>
      <c r="BG596" s="119"/>
      <c r="BH596" s="119"/>
    </row>
    <row r="597" spans="1:60" ht="15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  <c r="AN597" s="119"/>
      <c r="AO597" s="119"/>
      <c r="AP597" s="119"/>
      <c r="AQ597" s="119"/>
      <c r="AR597" s="119"/>
      <c r="AS597" s="119"/>
      <c r="AT597" s="119"/>
      <c r="AU597" s="119"/>
      <c r="AV597" s="119"/>
      <c r="AW597" s="119"/>
      <c r="AX597" s="119"/>
      <c r="AY597" s="119"/>
      <c r="AZ597" s="119"/>
      <c r="BA597" s="119"/>
      <c r="BB597" s="119"/>
      <c r="BC597" s="119"/>
      <c r="BD597" s="119"/>
      <c r="BE597" s="119"/>
      <c r="BF597" s="119"/>
      <c r="BG597" s="119"/>
      <c r="BH597" s="119"/>
    </row>
    <row r="598" spans="1:60" ht="15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  <c r="AN598" s="119"/>
      <c r="AO598" s="119"/>
      <c r="AP598" s="119"/>
      <c r="AQ598" s="119"/>
      <c r="AR598" s="119"/>
      <c r="AS598" s="119"/>
      <c r="AT598" s="119"/>
      <c r="AU598" s="119"/>
      <c r="AV598" s="119"/>
      <c r="AW598" s="119"/>
      <c r="AX598" s="119"/>
      <c r="AY598" s="119"/>
      <c r="AZ598" s="119"/>
      <c r="BA598" s="119"/>
      <c r="BB598" s="119"/>
      <c r="BC598" s="119"/>
      <c r="BD598" s="119"/>
      <c r="BE598" s="119"/>
      <c r="BF598" s="119"/>
      <c r="BG598" s="119"/>
      <c r="BH598" s="119"/>
    </row>
    <row r="599" spans="1:60" ht="15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  <c r="AN599" s="119"/>
      <c r="AO599" s="119"/>
      <c r="AP599" s="119"/>
      <c r="AQ599" s="119"/>
      <c r="AR599" s="119"/>
      <c r="AS599" s="119"/>
      <c r="AT599" s="119"/>
      <c r="AU599" s="119"/>
      <c r="AV599" s="119"/>
      <c r="AW599" s="119"/>
      <c r="AX599" s="119"/>
      <c r="AY599" s="119"/>
      <c r="AZ599" s="119"/>
      <c r="BA599" s="119"/>
      <c r="BB599" s="119"/>
      <c r="BC599" s="119"/>
      <c r="BD599" s="119"/>
      <c r="BE599" s="119"/>
      <c r="BF599" s="119"/>
      <c r="BG599" s="119"/>
      <c r="BH599" s="119"/>
    </row>
    <row r="600" spans="1:60" ht="15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  <c r="AN600" s="119"/>
      <c r="AO600" s="119"/>
      <c r="AP600" s="119"/>
      <c r="AQ600" s="119"/>
      <c r="AR600" s="119"/>
      <c r="AS600" s="119"/>
      <c r="AT600" s="119"/>
      <c r="AU600" s="119"/>
      <c r="AV600" s="119"/>
      <c r="AW600" s="119"/>
      <c r="AX600" s="119"/>
      <c r="AY600" s="119"/>
      <c r="AZ600" s="119"/>
      <c r="BA600" s="119"/>
      <c r="BB600" s="119"/>
      <c r="BC600" s="119"/>
      <c r="BD600" s="119"/>
      <c r="BE600" s="119"/>
      <c r="BF600" s="119"/>
      <c r="BG600" s="119"/>
      <c r="BH600" s="119"/>
    </row>
    <row r="601" spans="1:60" ht="15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  <c r="AN601" s="119"/>
      <c r="AO601" s="119"/>
      <c r="AP601" s="119"/>
      <c r="AQ601" s="119"/>
      <c r="AR601" s="119"/>
      <c r="AS601" s="119"/>
      <c r="AT601" s="119"/>
      <c r="AU601" s="119"/>
      <c r="AV601" s="119"/>
      <c r="AW601" s="119"/>
      <c r="AX601" s="119"/>
      <c r="AY601" s="119"/>
      <c r="AZ601" s="119"/>
      <c r="BA601" s="119"/>
      <c r="BB601" s="119"/>
      <c r="BC601" s="119"/>
      <c r="BD601" s="119"/>
      <c r="BE601" s="119"/>
      <c r="BF601" s="119"/>
      <c r="BG601" s="119"/>
      <c r="BH601" s="119"/>
    </row>
    <row r="602" spans="1:60" ht="15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19"/>
      <c r="BA602" s="119"/>
      <c r="BB602" s="119"/>
      <c r="BC602" s="119"/>
      <c r="BD602" s="119"/>
      <c r="BE602" s="119"/>
      <c r="BF602" s="119"/>
      <c r="BG602" s="119"/>
      <c r="BH602" s="119"/>
    </row>
    <row r="603" spans="1:60" ht="15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  <c r="AN603" s="119"/>
      <c r="AO603" s="119"/>
      <c r="AP603" s="119"/>
      <c r="AQ603" s="119"/>
      <c r="AR603" s="119"/>
      <c r="AS603" s="119"/>
      <c r="AT603" s="119"/>
      <c r="AU603" s="119"/>
      <c r="AV603" s="119"/>
      <c r="AW603" s="119"/>
      <c r="AX603" s="119"/>
      <c r="AY603" s="119"/>
      <c r="AZ603" s="119"/>
      <c r="BA603" s="119"/>
      <c r="BB603" s="119"/>
      <c r="BC603" s="119"/>
      <c r="BD603" s="119"/>
      <c r="BE603" s="119"/>
      <c r="BF603" s="119"/>
      <c r="BG603" s="119"/>
      <c r="BH603" s="119"/>
    </row>
    <row r="604" spans="1:60" ht="15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  <c r="AN604" s="119"/>
      <c r="AO604" s="119"/>
      <c r="AP604" s="119"/>
      <c r="AQ604" s="119"/>
      <c r="AR604" s="119"/>
      <c r="AS604" s="119"/>
      <c r="AT604" s="119"/>
      <c r="AU604" s="119"/>
      <c r="AV604" s="119"/>
      <c r="AW604" s="119"/>
      <c r="AX604" s="119"/>
      <c r="AY604" s="119"/>
      <c r="AZ604" s="119"/>
      <c r="BA604" s="119"/>
      <c r="BB604" s="119"/>
      <c r="BC604" s="119"/>
      <c r="BD604" s="119"/>
      <c r="BE604" s="119"/>
      <c r="BF604" s="119"/>
      <c r="BG604" s="119"/>
      <c r="BH604" s="119"/>
    </row>
    <row r="605" spans="1:60" ht="15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  <c r="AN605" s="119"/>
      <c r="AO605" s="119"/>
      <c r="AP605" s="119"/>
      <c r="AQ605" s="119"/>
      <c r="AR605" s="119"/>
      <c r="AS605" s="119"/>
      <c r="AT605" s="119"/>
      <c r="AU605" s="119"/>
      <c r="AV605" s="119"/>
      <c r="AW605" s="119"/>
      <c r="AX605" s="119"/>
      <c r="AY605" s="119"/>
      <c r="AZ605" s="119"/>
      <c r="BA605" s="119"/>
      <c r="BB605" s="119"/>
      <c r="BC605" s="119"/>
      <c r="BD605" s="119"/>
      <c r="BE605" s="119"/>
      <c r="BF605" s="119"/>
      <c r="BG605" s="119"/>
      <c r="BH605" s="119"/>
    </row>
    <row r="606" spans="1:60" ht="15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  <c r="AN606" s="119"/>
      <c r="AO606" s="119"/>
      <c r="AP606" s="119"/>
      <c r="AQ606" s="119"/>
      <c r="AR606" s="119"/>
      <c r="AS606" s="119"/>
      <c r="AT606" s="119"/>
      <c r="AU606" s="119"/>
      <c r="AV606" s="119"/>
      <c r="AW606" s="119"/>
      <c r="AX606" s="119"/>
      <c r="AY606" s="119"/>
      <c r="AZ606" s="119"/>
      <c r="BA606" s="119"/>
      <c r="BB606" s="119"/>
      <c r="BC606" s="119"/>
      <c r="BD606" s="119"/>
      <c r="BE606" s="119"/>
      <c r="BF606" s="119"/>
      <c r="BG606" s="119"/>
      <c r="BH606" s="119"/>
    </row>
    <row r="607" spans="1:60" ht="15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  <c r="AN607" s="119"/>
      <c r="AO607" s="119"/>
      <c r="AP607" s="119"/>
      <c r="AQ607" s="119"/>
      <c r="AR607" s="119"/>
      <c r="AS607" s="119"/>
      <c r="AT607" s="119"/>
      <c r="AU607" s="119"/>
      <c r="AV607" s="119"/>
      <c r="AW607" s="119"/>
      <c r="AX607" s="119"/>
      <c r="AY607" s="119"/>
      <c r="AZ607" s="119"/>
      <c r="BA607" s="119"/>
      <c r="BB607" s="119"/>
      <c r="BC607" s="119"/>
      <c r="BD607" s="119"/>
      <c r="BE607" s="119"/>
      <c r="BF607" s="119"/>
      <c r="BG607" s="119"/>
      <c r="BH607" s="119"/>
    </row>
    <row r="608" spans="1:60" ht="15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  <c r="AN608" s="119"/>
      <c r="AO608" s="119"/>
      <c r="AP608" s="119"/>
      <c r="AQ608" s="119"/>
      <c r="AR608" s="119"/>
      <c r="AS608" s="119"/>
      <c r="AT608" s="119"/>
      <c r="AU608" s="119"/>
      <c r="AV608" s="119"/>
      <c r="AW608" s="119"/>
      <c r="AX608" s="119"/>
      <c r="AY608" s="119"/>
      <c r="AZ608" s="119"/>
      <c r="BA608" s="119"/>
      <c r="BB608" s="119"/>
      <c r="BC608" s="119"/>
      <c r="BD608" s="119"/>
      <c r="BE608" s="119"/>
      <c r="BF608" s="119"/>
      <c r="BG608" s="119"/>
      <c r="BH608" s="119"/>
    </row>
    <row r="609" spans="1:60" ht="15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  <c r="AN609" s="119"/>
      <c r="AO609" s="119"/>
      <c r="AP609" s="119"/>
      <c r="AQ609" s="119"/>
      <c r="AR609" s="119"/>
      <c r="AS609" s="119"/>
      <c r="AT609" s="119"/>
      <c r="AU609" s="119"/>
      <c r="AV609" s="119"/>
      <c r="AW609" s="119"/>
      <c r="AX609" s="119"/>
      <c r="AY609" s="119"/>
      <c r="AZ609" s="119"/>
      <c r="BA609" s="119"/>
      <c r="BB609" s="119"/>
      <c r="BC609" s="119"/>
      <c r="BD609" s="119"/>
      <c r="BE609" s="119"/>
      <c r="BF609" s="119"/>
      <c r="BG609" s="119"/>
      <c r="BH609" s="119"/>
    </row>
    <row r="610" spans="1:60" ht="15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  <c r="AN610" s="119"/>
      <c r="AO610" s="119"/>
      <c r="AP610" s="119"/>
      <c r="AQ610" s="119"/>
      <c r="AR610" s="119"/>
      <c r="AS610" s="119"/>
      <c r="AT610" s="119"/>
      <c r="AU610" s="119"/>
      <c r="AV610" s="119"/>
      <c r="AW610" s="119"/>
      <c r="AX610" s="119"/>
      <c r="AY610" s="119"/>
      <c r="AZ610" s="119"/>
      <c r="BA610" s="119"/>
      <c r="BB610" s="119"/>
      <c r="BC610" s="119"/>
      <c r="BD610" s="119"/>
      <c r="BE610" s="119"/>
      <c r="BF610" s="119"/>
      <c r="BG610" s="119"/>
      <c r="BH610" s="119"/>
    </row>
    <row r="611" spans="1:60" ht="15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  <c r="AN611" s="119"/>
      <c r="AO611" s="119"/>
      <c r="AP611" s="119"/>
      <c r="AQ611" s="119"/>
      <c r="AR611" s="119"/>
      <c r="AS611" s="119"/>
      <c r="AT611" s="119"/>
      <c r="AU611" s="119"/>
      <c r="AV611" s="119"/>
      <c r="AW611" s="119"/>
      <c r="AX611" s="119"/>
      <c r="AY611" s="119"/>
      <c r="AZ611" s="119"/>
      <c r="BA611" s="119"/>
      <c r="BB611" s="119"/>
      <c r="BC611" s="119"/>
      <c r="BD611" s="119"/>
      <c r="BE611" s="119"/>
      <c r="BF611" s="119"/>
      <c r="BG611" s="119"/>
      <c r="BH611" s="119"/>
    </row>
    <row r="612" spans="1:60" ht="15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  <c r="AN612" s="119"/>
      <c r="AO612" s="119"/>
      <c r="AP612" s="119"/>
      <c r="AQ612" s="119"/>
      <c r="AR612" s="119"/>
      <c r="AS612" s="119"/>
      <c r="AT612" s="119"/>
      <c r="AU612" s="119"/>
      <c r="AV612" s="119"/>
      <c r="AW612" s="119"/>
      <c r="AX612" s="119"/>
      <c r="AY612" s="119"/>
      <c r="AZ612" s="119"/>
      <c r="BA612" s="119"/>
      <c r="BB612" s="119"/>
      <c r="BC612" s="119"/>
      <c r="BD612" s="119"/>
      <c r="BE612" s="119"/>
      <c r="BF612" s="119"/>
      <c r="BG612" s="119"/>
      <c r="BH612" s="119"/>
    </row>
    <row r="613" spans="1:60" ht="15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  <c r="AN613" s="119"/>
      <c r="AO613" s="119"/>
      <c r="AP613" s="119"/>
      <c r="AQ613" s="119"/>
      <c r="AR613" s="119"/>
      <c r="AS613" s="119"/>
      <c r="AT613" s="119"/>
      <c r="AU613" s="119"/>
      <c r="AV613" s="119"/>
      <c r="AW613" s="119"/>
      <c r="AX613" s="119"/>
      <c r="AY613" s="119"/>
      <c r="AZ613" s="119"/>
      <c r="BA613" s="119"/>
      <c r="BB613" s="119"/>
      <c r="BC613" s="119"/>
      <c r="BD613" s="119"/>
      <c r="BE613" s="119"/>
      <c r="BF613" s="119"/>
      <c r="BG613" s="119"/>
      <c r="BH613" s="119"/>
    </row>
    <row r="614" spans="1:60" ht="15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  <c r="AN614" s="119"/>
      <c r="AO614" s="119"/>
      <c r="AP614" s="119"/>
      <c r="AQ614" s="119"/>
      <c r="AR614" s="119"/>
      <c r="AS614" s="119"/>
      <c r="AT614" s="119"/>
      <c r="AU614" s="119"/>
      <c r="AV614" s="119"/>
      <c r="AW614" s="119"/>
      <c r="AX614" s="119"/>
      <c r="AY614" s="119"/>
      <c r="AZ614" s="119"/>
      <c r="BA614" s="119"/>
      <c r="BB614" s="119"/>
      <c r="BC614" s="119"/>
      <c r="BD614" s="119"/>
      <c r="BE614" s="119"/>
      <c r="BF614" s="119"/>
      <c r="BG614" s="119"/>
      <c r="BH614" s="119"/>
    </row>
    <row r="615" spans="1:60" ht="15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  <c r="AN615" s="119"/>
      <c r="AO615" s="119"/>
      <c r="AP615" s="119"/>
      <c r="AQ615" s="119"/>
      <c r="AR615" s="119"/>
      <c r="AS615" s="119"/>
      <c r="AT615" s="119"/>
      <c r="AU615" s="119"/>
      <c r="AV615" s="119"/>
      <c r="AW615" s="119"/>
      <c r="AX615" s="119"/>
      <c r="AY615" s="119"/>
      <c r="AZ615" s="119"/>
      <c r="BA615" s="119"/>
      <c r="BB615" s="119"/>
      <c r="BC615" s="119"/>
      <c r="BD615" s="119"/>
      <c r="BE615" s="119"/>
      <c r="BF615" s="119"/>
      <c r="BG615" s="119"/>
      <c r="BH615" s="119"/>
    </row>
    <row r="616" spans="1:60" ht="15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  <c r="AN616" s="119"/>
      <c r="AO616" s="119"/>
      <c r="AP616" s="119"/>
      <c r="AQ616" s="119"/>
      <c r="AR616" s="119"/>
      <c r="AS616" s="119"/>
      <c r="AT616" s="119"/>
      <c r="AU616" s="119"/>
      <c r="AV616" s="119"/>
      <c r="AW616" s="119"/>
      <c r="AX616" s="119"/>
      <c r="AY616" s="119"/>
      <c r="AZ616" s="119"/>
      <c r="BA616" s="119"/>
      <c r="BB616" s="119"/>
      <c r="BC616" s="119"/>
      <c r="BD616" s="119"/>
      <c r="BE616" s="119"/>
      <c r="BF616" s="119"/>
      <c r="BG616" s="119"/>
      <c r="BH616" s="119"/>
    </row>
    <row r="617" spans="1:60" ht="15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  <c r="AN617" s="119"/>
      <c r="AO617" s="119"/>
      <c r="AP617" s="119"/>
      <c r="AQ617" s="119"/>
      <c r="AR617" s="119"/>
      <c r="AS617" s="119"/>
      <c r="AT617" s="119"/>
      <c r="AU617" s="119"/>
      <c r="AV617" s="119"/>
      <c r="AW617" s="119"/>
      <c r="AX617" s="119"/>
      <c r="AY617" s="119"/>
      <c r="AZ617" s="119"/>
      <c r="BA617" s="119"/>
      <c r="BB617" s="119"/>
      <c r="BC617" s="119"/>
      <c r="BD617" s="119"/>
      <c r="BE617" s="119"/>
      <c r="BF617" s="119"/>
      <c r="BG617" s="119"/>
      <c r="BH617" s="119"/>
    </row>
    <row r="618" spans="1:60" ht="15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  <c r="AN618" s="119"/>
      <c r="AO618" s="119"/>
      <c r="AP618" s="119"/>
      <c r="AQ618" s="119"/>
      <c r="AR618" s="119"/>
      <c r="AS618" s="119"/>
      <c r="AT618" s="119"/>
      <c r="AU618" s="119"/>
      <c r="AV618" s="119"/>
      <c r="AW618" s="119"/>
      <c r="AX618" s="119"/>
      <c r="AY618" s="119"/>
      <c r="AZ618" s="119"/>
      <c r="BA618" s="119"/>
      <c r="BB618" s="119"/>
      <c r="BC618" s="119"/>
      <c r="BD618" s="119"/>
      <c r="BE618" s="119"/>
      <c r="BF618" s="119"/>
      <c r="BG618" s="119"/>
      <c r="BH618" s="119"/>
    </row>
    <row r="619" spans="1:60" ht="15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  <c r="AN619" s="119"/>
      <c r="AO619" s="119"/>
      <c r="AP619" s="119"/>
      <c r="AQ619" s="119"/>
      <c r="AR619" s="119"/>
      <c r="AS619" s="119"/>
      <c r="AT619" s="119"/>
      <c r="AU619" s="119"/>
      <c r="AV619" s="119"/>
      <c r="AW619" s="119"/>
      <c r="AX619" s="119"/>
      <c r="AY619" s="119"/>
      <c r="AZ619" s="119"/>
      <c r="BA619" s="119"/>
      <c r="BB619" s="119"/>
      <c r="BC619" s="119"/>
      <c r="BD619" s="119"/>
      <c r="BE619" s="119"/>
      <c r="BF619" s="119"/>
      <c r="BG619" s="119"/>
      <c r="BH619" s="119"/>
    </row>
    <row r="620" spans="1:60" ht="15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  <c r="AN620" s="119"/>
      <c r="AO620" s="119"/>
      <c r="AP620" s="119"/>
      <c r="AQ620" s="119"/>
      <c r="AR620" s="119"/>
      <c r="AS620" s="119"/>
      <c r="AT620" s="119"/>
      <c r="AU620" s="119"/>
      <c r="AV620" s="119"/>
      <c r="AW620" s="119"/>
      <c r="AX620" s="119"/>
      <c r="AY620" s="119"/>
      <c r="AZ620" s="119"/>
      <c r="BA620" s="119"/>
      <c r="BB620" s="119"/>
      <c r="BC620" s="119"/>
      <c r="BD620" s="119"/>
      <c r="BE620" s="119"/>
      <c r="BF620" s="119"/>
      <c r="BG620" s="119"/>
      <c r="BH620" s="119"/>
    </row>
    <row r="621" spans="1:60" ht="15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  <c r="AN621" s="119"/>
      <c r="AO621" s="119"/>
      <c r="AP621" s="119"/>
      <c r="AQ621" s="119"/>
      <c r="AR621" s="119"/>
      <c r="AS621" s="119"/>
      <c r="AT621" s="119"/>
      <c r="AU621" s="119"/>
      <c r="AV621" s="119"/>
      <c r="AW621" s="119"/>
      <c r="AX621" s="119"/>
      <c r="AY621" s="119"/>
      <c r="AZ621" s="119"/>
      <c r="BA621" s="119"/>
      <c r="BB621" s="119"/>
      <c r="BC621" s="119"/>
      <c r="BD621" s="119"/>
      <c r="BE621" s="119"/>
      <c r="BF621" s="119"/>
      <c r="BG621" s="119"/>
      <c r="BH621" s="119"/>
    </row>
    <row r="622" spans="1:60" ht="15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  <c r="AN622" s="119"/>
      <c r="AO622" s="119"/>
      <c r="AP622" s="119"/>
      <c r="AQ622" s="119"/>
      <c r="AR622" s="119"/>
      <c r="AS622" s="119"/>
      <c r="AT622" s="119"/>
      <c r="AU622" s="119"/>
      <c r="AV622" s="119"/>
      <c r="AW622" s="119"/>
      <c r="AX622" s="119"/>
      <c r="AY622" s="119"/>
      <c r="AZ622" s="119"/>
      <c r="BA622" s="119"/>
      <c r="BB622" s="119"/>
      <c r="BC622" s="119"/>
      <c r="BD622" s="119"/>
      <c r="BE622" s="119"/>
      <c r="BF622" s="119"/>
      <c r="BG622" s="119"/>
      <c r="BH622" s="119"/>
    </row>
    <row r="623" spans="1:60" ht="15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  <c r="AN623" s="119"/>
      <c r="AO623" s="119"/>
      <c r="AP623" s="119"/>
      <c r="AQ623" s="119"/>
      <c r="AR623" s="119"/>
      <c r="AS623" s="119"/>
      <c r="AT623" s="119"/>
      <c r="AU623" s="119"/>
      <c r="AV623" s="119"/>
      <c r="AW623" s="119"/>
      <c r="AX623" s="119"/>
      <c r="AY623" s="119"/>
      <c r="AZ623" s="119"/>
      <c r="BA623" s="119"/>
      <c r="BB623" s="119"/>
      <c r="BC623" s="119"/>
      <c r="BD623" s="119"/>
      <c r="BE623" s="119"/>
      <c r="BF623" s="119"/>
      <c r="BG623" s="119"/>
      <c r="BH623" s="119"/>
    </row>
    <row r="624" spans="1:60" ht="15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  <c r="AN624" s="119"/>
      <c r="AO624" s="119"/>
      <c r="AP624" s="119"/>
      <c r="AQ624" s="119"/>
      <c r="AR624" s="119"/>
      <c r="AS624" s="119"/>
      <c r="AT624" s="119"/>
      <c r="AU624" s="119"/>
      <c r="AV624" s="119"/>
      <c r="AW624" s="119"/>
      <c r="AX624" s="119"/>
      <c r="AY624" s="119"/>
      <c r="AZ624" s="119"/>
      <c r="BA624" s="119"/>
      <c r="BB624" s="119"/>
      <c r="BC624" s="119"/>
      <c r="BD624" s="119"/>
      <c r="BE624" s="119"/>
      <c r="BF624" s="119"/>
      <c r="BG624" s="119"/>
      <c r="BH624" s="119"/>
    </row>
    <row r="625" spans="1:60" ht="15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  <c r="AN625" s="119"/>
      <c r="AO625" s="119"/>
      <c r="AP625" s="119"/>
      <c r="AQ625" s="119"/>
      <c r="AR625" s="119"/>
      <c r="AS625" s="119"/>
      <c r="AT625" s="119"/>
      <c r="AU625" s="119"/>
      <c r="AV625" s="119"/>
      <c r="AW625" s="119"/>
      <c r="AX625" s="119"/>
      <c r="AY625" s="119"/>
      <c r="AZ625" s="119"/>
      <c r="BA625" s="119"/>
      <c r="BB625" s="119"/>
      <c r="BC625" s="119"/>
      <c r="BD625" s="119"/>
      <c r="BE625" s="119"/>
      <c r="BF625" s="119"/>
      <c r="BG625" s="119"/>
      <c r="BH625" s="119"/>
    </row>
    <row r="626" spans="1:60" ht="15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  <c r="AN626" s="119"/>
      <c r="AO626" s="119"/>
      <c r="AP626" s="119"/>
      <c r="AQ626" s="119"/>
      <c r="AR626" s="119"/>
      <c r="AS626" s="119"/>
      <c r="AT626" s="119"/>
      <c r="AU626" s="119"/>
      <c r="AV626" s="119"/>
      <c r="AW626" s="119"/>
      <c r="AX626" s="119"/>
      <c r="AY626" s="119"/>
      <c r="AZ626" s="119"/>
      <c r="BA626" s="119"/>
      <c r="BB626" s="119"/>
      <c r="BC626" s="119"/>
      <c r="BD626" s="119"/>
      <c r="BE626" s="119"/>
      <c r="BF626" s="119"/>
      <c r="BG626" s="119"/>
      <c r="BH626" s="119"/>
    </row>
    <row r="627" spans="1:60" ht="15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  <c r="AN627" s="119"/>
      <c r="AO627" s="119"/>
      <c r="AP627" s="119"/>
      <c r="AQ627" s="119"/>
      <c r="AR627" s="119"/>
      <c r="AS627" s="119"/>
      <c r="AT627" s="119"/>
      <c r="AU627" s="119"/>
      <c r="AV627" s="119"/>
      <c r="AW627" s="119"/>
      <c r="AX627" s="119"/>
      <c r="AY627" s="119"/>
      <c r="AZ627" s="119"/>
      <c r="BA627" s="119"/>
      <c r="BB627" s="119"/>
      <c r="BC627" s="119"/>
      <c r="BD627" s="119"/>
      <c r="BE627" s="119"/>
      <c r="BF627" s="119"/>
      <c r="BG627" s="119"/>
      <c r="BH627" s="119"/>
    </row>
    <row r="628" spans="1:60" ht="15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  <c r="AN628" s="119"/>
      <c r="AO628" s="119"/>
      <c r="AP628" s="119"/>
      <c r="AQ628" s="119"/>
      <c r="AR628" s="119"/>
      <c r="AS628" s="119"/>
      <c r="AT628" s="119"/>
      <c r="AU628" s="119"/>
      <c r="AV628" s="119"/>
      <c r="AW628" s="119"/>
      <c r="AX628" s="119"/>
      <c r="AY628" s="119"/>
      <c r="AZ628" s="119"/>
      <c r="BA628" s="119"/>
      <c r="BB628" s="119"/>
      <c r="BC628" s="119"/>
      <c r="BD628" s="119"/>
      <c r="BE628" s="119"/>
      <c r="BF628" s="119"/>
      <c r="BG628" s="119"/>
      <c r="BH628" s="119"/>
    </row>
    <row r="629" spans="1:60" ht="15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  <c r="AN629" s="119"/>
      <c r="AO629" s="119"/>
      <c r="AP629" s="119"/>
      <c r="AQ629" s="119"/>
      <c r="AR629" s="119"/>
      <c r="AS629" s="119"/>
      <c r="AT629" s="119"/>
      <c r="AU629" s="119"/>
      <c r="AV629" s="119"/>
      <c r="AW629" s="119"/>
      <c r="AX629" s="119"/>
      <c r="AY629" s="119"/>
      <c r="AZ629" s="119"/>
      <c r="BA629" s="119"/>
      <c r="BB629" s="119"/>
      <c r="BC629" s="119"/>
      <c r="BD629" s="119"/>
      <c r="BE629" s="119"/>
      <c r="BF629" s="119"/>
      <c r="BG629" s="119"/>
      <c r="BH629" s="119"/>
    </row>
    <row r="630" spans="1:60" ht="15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19"/>
      <c r="BA630" s="119"/>
      <c r="BB630" s="119"/>
      <c r="BC630" s="119"/>
      <c r="BD630" s="119"/>
      <c r="BE630" s="119"/>
      <c r="BF630" s="119"/>
      <c r="BG630" s="119"/>
      <c r="BH630" s="119"/>
    </row>
    <row r="631" spans="1:60" ht="15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  <c r="AN631" s="119"/>
      <c r="AO631" s="119"/>
      <c r="AP631" s="119"/>
      <c r="AQ631" s="119"/>
      <c r="AR631" s="119"/>
      <c r="AS631" s="119"/>
      <c r="AT631" s="119"/>
      <c r="AU631" s="119"/>
      <c r="AV631" s="119"/>
      <c r="AW631" s="119"/>
      <c r="AX631" s="119"/>
      <c r="AY631" s="119"/>
      <c r="AZ631" s="119"/>
      <c r="BA631" s="119"/>
      <c r="BB631" s="119"/>
      <c r="BC631" s="119"/>
      <c r="BD631" s="119"/>
      <c r="BE631" s="119"/>
      <c r="BF631" s="119"/>
      <c r="BG631" s="119"/>
      <c r="BH631" s="119"/>
    </row>
    <row r="632" spans="1:60" ht="15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  <c r="AN632" s="119"/>
      <c r="AO632" s="119"/>
      <c r="AP632" s="119"/>
      <c r="AQ632" s="119"/>
      <c r="AR632" s="119"/>
      <c r="AS632" s="119"/>
      <c r="AT632" s="119"/>
      <c r="AU632" s="119"/>
      <c r="AV632" s="119"/>
      <c r="AW632" s="119"/>
      <c r="AX632" s="119"/>
      <c r="AY632" s="119"/>
      <c r="AZ632" s="119"/>
      <c r="BA632" s="119"/>
      <c r="BB632" s="119"/>
      <c r="BC632" s="119"/>
      <c r="BD632" s="119"/>
      <c r="BE632" s="119"/>
      <c r="BF632" s="119"/>
      <c r="BG632" s="119"/>
      <c r="BH632" s="119"/>
    </row>
    <row r="633" spans="1:60" ht="15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19"/>
      <c r="BA633" s="119"/>
      <c r="BB633" s="119"/>
      <c r="BC633" s="119"/>
      <c r="BD633" s="119"/>
      <c r="BE633" s="119"/>
      <c r="BF633" s="119"/>
      <c r="BG633" s="119"/>
      <c r="BH633" s="119"/>
    </row>
    <row r="634" spans="1:60" ht="15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  <c r="AN634" s="119"/>
      <c r="AO634" s="119"/>
      <c r="AP634" s="119"/>
      <c r="AQ634" s="119"/>
      <c r="AR634" s="119"/>
      <c r="AS634" s="119"/>
      <c r="AT634" s="119"/>
      <c r="AU634" s="119"/>
      <c r="AV634" s="119"/>
      <c r="AW634" s="119"/>
      <c r="AX634" s="119"/>
      <c r="AY634" s="119"/>
      <c r="AZ634" s="119"/>
      <c r="BA634" s="119"/>
      <c r="BB634" s="119"/>
      <c r="BC634" s="119"/>
      <c r="BD634" s="119"/>
      <c r="BE634" s="119"/>
      <c r="BF634" s="119"/>
      <c r="BG634" s="119"/>
      <c r="BH634" s="119"/>
    </row>
    <row r="635" spans="1:60" ht="15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  <c r="AN635" s="119"/>
      <c r="AO635" s="119"/>
      <c r="AP635" s="119"/>
      <c r="AQ635" s="119"/>
      <c r="AR635" s="119"/>
      <c r="AS635" s="119"/>
      <c r="AT635" s="119"/>
      <c r="AU635" s="119"/>
      <c r="AV635" s="119"/>
      <c r="AW635" s="119"/>
      <c r="AX635" s="119"/>
      <c r="AY635" s="119"/>
      <c r="AZ635" s="119"/>
      <c r="BA635" s="119"/>
      <c r="BB635" s="119"/>
      <c r="BC635" s="119"/>
      <c r="BD635" s="119"/>
      <c r="BE635" s="119"/>
      <c r="BF635" s="119"/>
      <c r="BG635" s="119"/>
      <c r="BH635" s="119"/>
    </row>
    <row r="636" spans="1:60" ht="15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  <c r="AN636" s="119"/>
      <c r="AO636" s="119"/>
      <c r="AP636" s="119"/>
      <c r="AQ636" s="119"/>
      <c r="AR636" s="119"/>
      <c r="AS636" s="119"/>
      <c r="AT636" s="119"/>
      <c r="AU636" s="119"/>
      <c r="AV636" s="119"/>
      <c r="AW636" s="119"/>
      <c r="AX636" s="119"/>
      <c r="AY636" s="119"/>
      <c r="AZ636" s="119"/>
      <c r="BA636" s="119"/>
      <c r="BB636" s="119"/>
      <c r="BC636" s="119"/>
      <c r="BD636" s="119"/>
      <c r="BE636" s="119"/>
      <c r="BF636" s="119"/>
      <c r="BG636" s="119"/>
      <c r="BH636" s="119"/>
    </row>
    <row r="637" spans="1:60" ht="15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  <c r="AN637" s="119"/>
      <c r="AO637" s="119"/>
      <c r="AP637" s="119"/>
      <c r="AQ637" s="119"/>
      <c r="AR637" s="119"/>
      <c r="AS637" s="119"/>
      <c r="AT637" s="119"/>
      <c r="AU637" s="119"/>
      <c r="AV637" s="119"/>
      <c r="AW637" s="119"/>
      <c r="AX637" s="119"/>
      <c r="AY637" s="119"/>
      <c r="AZ637" s="119"/>
      <c r="BA637" s="119"/>
      <c r="BB637" s="119"/>
      <c r="BC637" s="119"/>
      <c r="BD637" s="119"/>
      <c r="BE637" s="119"/>
      <c r="BF637" s="119"/>
      <c r="BG637" s="119"/>
      <c r="BH637" s="119"/>
    </row>
    <row r="638" spans="1:60" ht="15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19"/>
      <c r="AZ638" s="119"/>
      <c r="BA638" s="119"/>
      <c r="BB638" s="119"/>
      <c r="BC638" s="119"/>
      <c r="BD638" s="119"/>
      <c r="BE638" s="119"/>
      <c r="BF638" s="119"/>
      <c r="BG638" s="119"/>
      <c r="BH638" s="119"/>
    </row>
    <row r="639" spans="1:60" ht="15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  <c r="AN639" s="119"/>
      <c r="AO639" s="119"/>
      <c r="AP639" s="119"/>
      <c r="AQ639" s="119"/>
      <c r="AR639" s="119"/>
      <c r="AS639" s="119"/>
      <c r="AT639" s="119"/>
      <c r="AU639" s="119"/>
      <c r="AV639" s="119"/>
      <c r="AW639" s="119"/>
      <c r="AX639" s="119"/>
      <c r="AY639" s="119"/>
      <c r="AZ639" s="119"/>
      <c r="BA639" s="119"/>
      <c r="BB639" s="119"/>
      <c r="BC639" s="119"/>
      <c r="BD639" s="119"/>
      <c r="BE639" s="119"/>
      <c r="BF639" s="119"/>
      <c r="BG639" s="119"/>
      <c r="BH639" s="119"/>
    </row>
    <row r="640" spans="1:60" ht="15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19"/>
      <c r="BA640" s="119"/>
      <c r="BB640" s="119"/>
      <c r="BC640" s="119"/>
      <c r="BD640" s="119"/>
      <c r="BE640" s="119"/>
      <c r="BF640" s="119"/>
      <c r="BG640" s="119"/>
      <c r="BH640" s="119"/>
    </row>
    <row r="641" spans="1:60" ht="15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  <c r="AN641" s="119"/>
      <c r="AO641" s="119"/>
      <c r="AP641" s="119"/>
      <c r="AQ641" s="119"/>
      <c r="AR641" s="119"/>
      <c r="AS641" s="119"/>
      <c r="AT641" s="119"/>
      <c r="AU641" s="119"/>
      <c r="AV641" s="119"/>
      <c r="AW641" s="119"/>
      <c r="AX641" s="119"/>
      <c r="AY641" s="119"/>
      <c r="AZ641" s="119"/>
      <c r="BA641" s="119"/>
      <c r="BB641" s="119"/>
      <c r="BC641" s="119"/>
      <c r="BD641" s="119"/>
      <c r="BE641" s="119"/>
      <c r="BF641" s="119"/>
      <c r="BG641" s="119"/>
      <c r="BH641" s="119"/>
    </row>
    <row r="642" spans="1:60" ht="15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  <c r="AN642" s="119"/>
      <c r="AO642" s="119"/>
      <c r="AP642" s="119"/>
      <c r="AQ642" s="119"/>
      <c r="AR642" s="119"/>
      <c r="AS642" s="119"/>
      <c r="AT642" s="119"/>
      <c r="AU642" s="119"/>
      <c r="AV642" s="119"/>
      <c r="AW642" s="119"/>
      <c r="AX642" s="119"/>
      <c r="AY642" s="119"/>
      <c r="AZ642" s="119"/>
      <c r="BA642" s="119"/>
      <c r="BB642" s="119"/>
      <c r="BC642" s="119"/>
      <c r="BD642" s="119"/>
      <c r="BE642" s="119"/>
      <c r="BF642" s="119"/>
      <c r="BG642" s="119"/>
      <c r="BH642" s="119"/>
    </row>
    <row r="643" spans="1:60" ht="15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  <c r="AN643" s="119"/>
      <c r="AO643" s="119"/>
      <c r="AP643" s="119"/>
      <c r="AQ643" s="119"/>
      <c r="AR643" s="119"/>
      <c r="AS643" s="119"/>
      <c r="AT643" s="119"/>
      <c r="AU643" s="119"/>
      <c r="AV643" s="119"/>
      <c r="AW643" s="119"/>
      <c r="AX643" s="119"/>
      <c r="AY643" s="119"/>
      <c r="AZ643" s="119"/>
      <c r="BA643" s="119"/>
      <c r="BB643" s="119"/>
      <c r="BC643" s="119"/>
      <c r="BD643" s="119"/>
      <c r="BE643" s="119"/>
      <c r="BF643" s="119"/>
      <c r="BG643" s="119"/>
      <c r="BH643" s="119"/>
    </row>
    <row r="644" spans="1:60" ht="15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19"/>
      <c r="BA644" s="119"/>
      <c r="BB644" s="119"/>
      <c r="BC644" s="119"/>
      <c r="BD644" s="119"/>
      <c r="BE644" s="119"/>
      <c r="BF644" s="119"/>
      <c r="BG644" s="119"/>
      <c r="BH644" s="119"/>
    </row>
    <row r="645" spans="1:60" ht="15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  <c r="AN645" s="119"/>
      <c r="AO645" s="119"/>
      <c r="AP645" s="119"/>
      <c r="AQ645" s="119"/>
      <c r="AR645" s="119"/>
      <c r="AS645" s="119"/>
      <c r="AT645" s="119"/>
      <c r="AU645" s="119"/>
      <c r="AV645" s="119"/>
      <c r="AW645" s="119"/>
      <c r="AX645" s="119"/>
      <c r="AY645" s="119"/>
      <c r="AZ645" s="119"/>
      <c r="BA645" s="119"/>
      <c r="BB645" s="119"/>
      <c r="BC645" s="119"/>
      <c r="BD645" s="119"/>
      <c r="BE645" s="119"/>
      <c r="BF645" s="119"/>
      <c r="BG645" s="119"/>
      <c r="BH645" s="119"/>
    </row>
    <row r="646" spans="1:60" ht="15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  <c r="AN646" s="119"/>
      <c r="AO646" s="119"/>
      <c r="AP646" s="119"/>
      <c r="AQ646" s="119"/>
      <c r="AR646" s="119"/>
      <c r="AS646" s="119"/>
      <c r="AT646" s="119"/>
      <c r="AU646" s="119"/>
      <c r="AV646" s="119"/>
      <c r="AW646" s="119"/>
      <c r="AX646" s="119"/>
      <c r="AY646" s="119"/>
      <c r="AZ646" s="119"/>
      <c r="BA646" s="119"/>
      <c r="BB646" s="119"/>
      <c r="BC646" s="119"/>
      <c r="BD646" s="119"/>
      <c r="BE646" s="119"/>
      <c r="BF646" s="119"/>
      <c r="BG646" s="119"/>
      <c r="BH646" s="119"/>
    </row>
    <row r="647" spans="1:60" ht="15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  <c r="AN647" s="119"/>
      <c r="AO647" s="119"/>
      <c r="AP647" s="119"/>
      <c r="AQ647" s="119"/>
      <c r="AR647" s="119"/>
      <c r="AS647" s="119"/>
      <c r="AT647" s="119"/>
      <c r="AU647" s="119"/>
      <c r="AV647" s="119"/>
      <c r="AW647" s="119"/>
      <c r="AX647" s="119"/>
      <c r="AY647" s="119"/>
      <c r="AZ647" s="119"/>
      <c r="BA647" s="119"/>
      <c r="BB647" s="119"/>
      <c r="BC647" s="119"/>
      <c r="BD647" s="119"/>
      <c r="BE647" s="119"/>
      <c r="BF647" s="119"/>
      <c r="BG647" s="119"/>
      <c r="BH647" s="119"/>
    </row>
    <row r="648" spans="1:60" ht="15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  <c r="AN648" s="119"/>
      <c r="AO648" s="119"/>
      <c r="AP648" s="119"/>
      <c r="AQ648" s="119"/>
      <c r="AR648" s="119"/>
      <c r="AS648" s="119"/>
      <c r="AT648" s="119"/>
      <c r="AU648" s="119"/>
      <c r="AV648" s="119"/>
      <c r="AW648" s="119"/>
      <c r="AX648" s="119"/>
      <c r="AY648" s="119"/>
      <c r="AZ648" s="119"/>
      <c r="BA648" s="119"/>
      <c r="BB648" s="119"/>
      <c r="BC648" s="119"/>
      <c r="BD648" s="119"/>
      <c r="BE648" s="119"/>
      <c r="BF648" s="119"/>
      <c r="BG648" s="119"/>
      <c r="BH648" s="119"/>
    </row>
    <row r="649" spans="1:60" ht="15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  <c r="AN649" s="119"/>
      <c r="AO649" s="119"/>
      <c r="AP649" s="119"/>
      <c r="AQ649" s="119"/>
      <c r="AR649" s="119"/>
      <c r="AS649" s="119"/>
      <c r="AT649" s="119"/>
      <c r="AU649" s="119"/>
      <c r="AV649" s="119"/>
      <c r="AW649" s="119"/>
      <c r="AX649" s="119"/>
      <c r="AY649" s="119"/>
      <c r="AZ649" s="119"/>
      <c r="BA649" s="119"/>
      <c r="BB649" s="119"/>
      <c r="BC649" s="119"/>
      <c r="BD649" s="119"/>
      <c r="BE649" s="119"/>
      <c r="BF649" s="119"/>
      <c r="BG649" s="119"/>
      <c r="BH649" s="119"/>
    </row>
    <row r="650" spans="1:60" ht="15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  <c r="AN650" s="119"/>
      <c r="AO650" s="119"/>
      <c r="AP650" s="119"/>
      <c r="AQ650" s="119"/>
      <c r="AR650" s="119"/>
      <c r="AS650" s="119"/>
      <c r="AT650" s="119"/>
      <c r="AU650" s="119"/>
      <c r="AV650" s="119"/>
      <c r="AW650" s="119"/>
      <c r="AX650" s="119"/>
      <c r="AY650" s="119"/>
      <c r="AZ650" s="119"/>
      <c r="BA650" s="119"/>
      <c r="BB650" s="119"/>
      <c r="BC650" s="119"/>
      <c r="BD650" s="119"/>
      <c r="BE650" s="119"/>
      <c r="BF650" s="119"/>
      <c r="BG650" s="119"/>
      <c r="BH650" s="119"/>
    </row>
    <row r="651" spans="1:60" ht="15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  <c r="AN651" s="119"/>
      <c r="AO651" s="119"/>
      <c r="AP651" s="119"/>
      <c r="AQ651" s="119"/>
      <c r="AR651" s="119"/>
      <c r="AS651" s="119"/>
      <c r="AT651" s="119"/>
      <c r="AU651" s="119"/>
      <c r="AV651" s="119"/>
      <c r="AW651" s="119"/>
      <c r="AX651" s="119"/>
      <c r="AY651" s="119"/>
      <c r="AZ651" s="119"/>
      <c r="BA651" s="119"/>
      <c r="BB651" s="119"/>
      <c r="BC651" s="119"/>
      <c r="BD651" s="119"/>
      <c r="BE651" s="119"/>
      <c r="BF651" s="119"/>
      <c r="BG651" s="119"/>
      <c r="BH651" s="119"/>
    </row>
    <row r="652" spans="1:60" ht="15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  <c r="AN652" s="119"/>
      <c r="AO652" s="119"/>
      <c r="AP652" s="119"/>
      <c r="AQ652" s="119"/>
      <c r="AR652" s="119"/>
      <c r="AS652" s="119"/>
      <c r="AT652" s="119"/>
      <c r="AU652" s="119"/>
      <c r="AV652" s="119"/>
      <c r="AW652" s="119"/>
      <c r="AX652" s="119"/>
      <c r="AY652" s="119"/>
      <c r="AZ652" s="119"/>
      <c r="BA652" s="119"/>
      <c r="BB652" s="119"/>
      <c r="BC652" s="119"/>
      <c r="BD652" s="119"/>
      <c r="BE652" s="119"/>
      <c r="BF652" s="119"/>
      <c r="BG652" s="119"/>
      <c r="BH652" s="119"/>
    </row>
    <row r="653" spans="1:60" ht="15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  <c r="AN653" s="119"/>
      <c r="AO653" s="119"/>
      <c r="AP653" s="119"/>
      <c r="AQ653" s="119"/>
      <c r="AR653" s="119"/>
      <c r="AS653" s="119"/>
      <c r="AT653" s="119"/>
      <c r="AU653" s="119"/>
      <c r="AV653" s="119"/>
      <c r="AW653" s="119"/>
      <c r="AX653" s="119"/>
      <c r="AY653" s="119"/>
      <c r="AZ653" s="119"/>
      <c r="BA653" s="119"/>
      <c r="BB653" s="119"/>
      <c r="BC653" s="119"/>
      <c r="BD653" s="119"/>
      <c r="BE653" s="119"/>
      <c r="BF653" s="119"/>
      <c r="BG653" s="119"/>
      <c r="BH653" s="119"/>
    </row>
    <row r="654" spans="1:60" ht="15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  <c r="AN654" s="119"/>
      <c r="AO654" s="119"/>
      <c r="AP654" s="119"/>
      <c r="AQ654" s="119"/>
      <c r="AR654" s="119"/>
      <c r="AS654" s="119"/>
      <c r="AT654" s="119"/>
      <c r="AU654" s="119"/>
      <c r="AV654" s="119"/>
      <c r="AW654" s="119"/>
      <c r="AX654" s="119"/>
      <c r="AY654" s="119"/>
      <c r="AZ654" s="119"/>
      <c r="BA654" s="119"/>
      <c r="BB654" s="119"/>
      <c r="BC654" s="119"/>
      <c r="BD654" s="119"/>
      <c r="BE654" s="119"/>
      <c r="BF654" s="119"/>
      <c r="BG654" s="119"/>
      <c r="BH654" s="119"/>
    </row>
    <row r="655" spans="1:60" ht="15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  <c r="AN655" s="119"/>
      <c r="AO655" s="119"/>
      <c r="AP655" s="119"/>
      <c r="AQ655" s="119"/>
      <c r="AR655" s="119"/>
      <c r="AS655" s="119"/>
      <c r="AT655" s="119"/>
      <c r="AU655" s="119"/>
      <c r="AV655" s="119"/>
      <c r="AW655" s="119"/>
      <c r="AX655" s="119"/>
      <c r="AY655" s="119"/>
      <c r="AZ655" s="119"/>
      <c r="BA655" s="119"/>
      <c r="BB655" s="119"/>
      <c r="BC655" s="119"/>
      <c r="BD655" s="119"/>
      <c r="BE655" s="119"/>
      <c r="BF655" s="119"/>
      <c r="BG655" s="119"/>
      <c r="BH655" s="119"/>
    </row>
    <row r="656" spans="1:60" ht="15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  <c r="AN656" s="119"/>
      <c r="AO656" s="119"/>
      <c r="AP656" s="119"/>
      <c r="AQ656" s="119"/>
      <c r="AR656" s="119"/>
      <c r="AS656" s="119"/>
      <c r="AT656" s="119"/>
      <c r="AU656" s="119"/>
      <c r="AV656" s="119"/>
      <c r="AW656" s="119"/>
      <c r="AX656" s="119"/>
      <c r="AY656" s="119"/>
      <c r="AZ656" s="119"/>
      <c r="BA656" s="119"/>
      <c r="BB656" s="119"/>
      <c r="BC656" s="119"/>
      <c r="BD656" s="119"/>
      <c r="BE656" s="119"/>
      <c r="BF656" s="119"/>
      <c r="BG656" s="119"/>
      <c r="BH656" s="119"/>
    </row>
    <row r="657" spans="1:60" ht="15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  <c r="AN657" s="119"/>
      <c r="AO657" s="119"/>
      <c r="AP657" s="119"/>
      <c r="AQ657" s="119"/>
      <c r="AR657" s="119"/>
      <c r="AS657" s="119"/>
      <c r="AT657" s="119"/>
      <c r="AU657" s="119"/>
      <c r="AV657" s="119"/>
      <c r="AW657" s="119"/>
      <c r="AX657" s="119"/>
      <c r="AY657" s="119"/>
      <c r="AZ657" s="119"/>
      <c r="BA657" s="119"/>
      <c r="BB657" s="119"/>
      <c r="BC657" s="119"/>
      <c r="BD657" s="119"/>
      <c r="BE657" s="119"/>
      <c r="BF657" s="119"/>
      <c r="BG657" s="119"/>
      <c r="BH657" s="119"/>
    </row>
    <row r="658" spans="1:60" ht="15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  <c r="AN658" s="119"/>
      <c r="AO658" s="119"/>
      <c r="AP658" s="119"/>
      <c r="AQ658" s="119"/>
      <c r="AR658" s="119"/>
      <c r="AS658" s="119"/>
      <c r="AT658" s="119"/>
      <c r="AU658" s="119"/>
      <c r="AV658" s="119"/>
      <c r="AW658" s="119"/>
      <c r="AX658" s="119"/>
      <c r="AY658" s="119"/>
      <c r="AZ658" s="119"/>
      <c r="BA658" s="119"/>
      <c r="BB658" s="119"/>
      <c r="BC658" s="119"/>
      <c r="BD658" s="119"/>
      <c r="BE658" s="119"/>
      <c r="BF658" s="119"/>
      <c r="BG658" s="119"/>
      <c r="BH658" s="119"/>
    </row>
    <row r="659" spans="1:60" ht="15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  <c r="AN659" s="119"/>
      <c r="AO659" s="119"/>
      <c r="AP659" s="119"/>
      <c r="AQ659" s="119"/>
      <c r="AR659" s="119"/>
      <c r="AS659" s="119"/>
      <c r="AT659" s="119"/>
      <c r="AU659" s="119"/>
      <c r="AV659" s="119"/>
      <c r="AW659" s="119"/>
      <c r="AX659" s="119"/>
      <c r="AY659" s="119"/>
      <c r="AZ659" s="119"/>
      <c r="BA659" s="119"/>
      <c r="BB659" s="119"/>
      <c r="BC659" s="119"/>
      <c r="BD659" s="119"/>
      <c r="BE659" s="119"/>
      <c r="BF659" s="119"/>
      <c r="BG659" s="119"/>
      <c r="BH659" s="119"/>
    </row>
    <row r="660" spans="1:60" ht="15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  <c r="AN660" s="119"/>
      <c r="AO660" s="119"/>
      <c r="AP660" s="119"/>
      <c r="AQ660" s="119"/>
      <c r="AR660" s="119"/>
      <c r="AS660" s="119"/>
      <c r="AT660" s="119"/>
      <c r="AU660" s="119"/>
      <c r="AV660" s="119"/>
      <c r="AW660" s="119"/>
      <c r="AX660" s="119"/>
      <c r="AY660" s="119"/>
      <c r="AZ660" s="119"/>
      <c r="BA660" s="119"/>
      <c r="BB660" s="119"/>
      <c r="BC660" s="119"/>
      <c r="BD660" s="119"/>
      <c r="BE660" s="119"/>
      <c r="BF660" s="119"/>
      <c r="BG660" s="119"/>
      <c r="BH660" s="119"/>
    </row>
    <row r="661" spans="1:60" ht="15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  <c r="AN661" s="119"/>
      <c r="AO661" s="119"/>
      <c r="AP661" s="119"/>
      <c r="AQ661" s="119"/>
      <c r="AR661" s="119"/>
      <c r="AS661" s="119"/>
      <c r="AT661" s="119"/>
      <c r="AU661" s="119"/>
      <c r="AV661" s="119"/>
      <c r="AW661" s="119"/>
      <c r="AX661" s="119"/>
      <c r="AY661" s="119"/>
      <c r="AZ661" s="119"/>
      <c r="BA661" s="119"/>
      <c r="BB661" s="119"/>
      <c r="BC661" s="119"/>
      <c r="BD661" s="119"/>
      <c r="BE661" s="119"/>
      <c r="BF661" s="119"/>
      <c r="BG661" s="119"/>
      <c r="BH661" s="119"/>
    </row>
    <row r="662" spans="1:60" ht="15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  <c r="AN662" s="119"/>
      <c r="AO662" s="119"/>
      <c r="AP662" s="119"/>
      <c r="AQ662" s="119"/>
      <c r="AR662" s="119"/>
      <c r="AS662" s="119"/>
      <c r="AT662" s="119"/>
      <c r="AU662" s="119"/>
      <c r="AV662" s="119"/>
      <c r="AW662" s="119"/>
      <c r="AX662" s="119"/>
      <c r="AY662" s="119"/>
      <c r="AZ662" s="119"/>
      <c r="BA662" s="119"/>
      <c r="BB662" s="119"/>
      <c r="BC662" s="119"/>
      <c r="BD662" s="119"/>
      <c r="BE662" s="119"/>
      <c r="BF662" s="119"/>
      <c r="BG662" s="119"/>
      <c r="BH662" s="119"/>
    </row>
    <row r="663" spans="1:60" ht="15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  <c r="AN663" s="119"/>
      <c r="AO663" s="119"/>
      <c r="AP663" s="119"/>
      <c r="AQ663" s="119"/>
      <c r="AR663" s="119"/>
      <c r="AS663" s="119"/>
      <c r="AT663" s="119"/>
      <c r="AU663" s="119"/>
      <c r="AV663" s="119"/>
      <c r="AW663" s="119"/>
      <c r="AX663" s="119"/>
      <c r="AY663" s="119"/>
      <c r="AZ663" s="119"/>
      <c r="BA663" s="119"/>
      <c r="BB663" s="119"/>
      <c r="BC663" s="119"/>
      <c r="BD663" s="119"/>
      <c r="BE663" s="119"/>
      <c r="BF663" s="119"/>
      <c r="BG663" s="119"/>
      <c r="BH663" s="119"/>
    </row>
    <row r="664" spans="1:60" ht="15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19"/>
      <c r="BA664" s="119"/>
      <c r="BB664" s="119"/>
      <c r="BC664" s="119"/>
      <c r="BD664" s="119"/>
      <c r="BE664" s="119"/>
      <c r="BF664" s="119"/>
      <c r="BG664" s="119"/>
      <c r="BH664" s="119"/>
    </row>
    <row r="665" spans="1:60" ht="15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  <c r="AN665" s="119"/>
      <c r="AO665" s="119"/>
      <c r="AP665" s="119"/>
      <c r="AQ665" s="119"/>
      <c r="AR665" s="119"/>
      <c r="AS665" s="119"/>
      <c r="AT665" s="119"/>
      <c r="AU665" s="119"/>
      <c r="AV665" s="119"/>
      <c r="AW665" s="119"/>
      <c r="AX665" s="119"/>
      <c r="AY665" s="119"/>
      <c r="AZ665" s="119"/>
      <c r="BA665" s="119"/>
      <c r="BB665" s="119"/>
      <c r="BC665" s="119"/>
      <c r="BD665" s="119"/>
      <c r="BE665" s="119"/>
      <c r="BF665" s="119"/>
      <c r="BG665" s="119"/>
      <c r="BH665" s="119"/>
    </row>
    <row r="666" spans="1:60" ht="15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19"/>
      <c r="AZ666" s="119"/>
      <c r="BA666" s="119"/>
      <c r="BB666" s="119"/>
      <c r="BC666" s="119"/>
      <c r="BD666" s="119"/>
      <c r="BE666" s="119"/>
      <c r="BF666" s="119"/>
      <c r="BG666" s="119"/>
      <c r="BH666" s="119"/>
    </row>
    <row r="667" spans="1:60" ht="15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  <c r="AN667" s="119"/>
      <c r="AO667" s="119"/>
      <c r="AP667" s="119"/>
      <c r="AQ667" s="119"/>
      <c r="AR667" s="119"/>
      <c r="AS667" s="119"/>
      <c r="AT667" s="119"/>
      <c r="AU667" s="119"/>
      <c r="AV667" s="119"/>
      <c r="AW667" s="119"/>
      <c r="AX667" s="119"/>
      <c r="AY667" s="119"/>
      <c r="AZ667" s="119"/>
      <c r="BA667" s="119"/>
      <c r="BB667" s="119"/>
      <c r="BC667" s="119"/>
      <c r="BD667" s="119"/>
      <c r="BE667" s="119"/>
      <c r="BF667" s="119"/>
      <c r="BG667" s="119"/>
      <c r="BH667" s="119"/>
    </row>
    <row r="668" spans="1:60" ht="15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  <c r="AN668" s="119"/>
      <c r="AO668" s="119"/>
      <c r="AP668" s="119"/>
      <c r="AQ668" s="119"/>
      <c r="AR668" s="119"/>
      <c r="AS668" s="119"/>
      <c r="AT668" s="119"/>
      <c r="AU668" s="119"/>
      <c r="AV668" s="119"/>
      <c r="AW668" s="119"/>
      <c r="AX668" s="119"/>
      <c r="AY668" s="119"/>
      <c r="AZ668" s="119"/>
      <c r="BA668" s="119"/>
      <c r="BB668" s="119"/>
      <c r="BC668" s="119"/>
      <c r="BD668" s="119"/>
      <c r="BE668" s="119"/>
      <c r="BF668" s="119"/>
      <c r="BG668" s="119"/>
      <c r="BH668" s="119"/>
    </row>
    <row r="669" spans="1:60" ht="15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  <c r="AN669" s="119"/>
      <c r="AO669" s="119"/>
      <c r="AP669" s="119"/>
      <c r="AQ669" s="119"/>
      <c r="AR669" s="119"/>
      <c r="AS669" s="119"/>
      <c r="AT669" s="119"/>
      <c r="AU669" s="119"/>
      <c r="AV669" s="119"/>
      <c r="AW669" s="119"/>
      <c r="AX669" s="119"/>
      <c r="AY669" s="119"/>
      <c r="AZ669" s="119"/>
      <c r="BA669" s="119"/>
      <c r="BB669" s="119"/>
      <c r="BC669" s="119"/>
      <c r="BD669" s="119"/>
      <c r="BE669" s="119"/>
      <c r="BF669" s="119"/>
      <c r="BG669" s="119"/>
      <c r="BH669" s="119"/>
    </row>
    <row r="670" spans="1:60" ht="15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19"/>
      <c r="BA670" s="119"/>
      <c r="BB670" s="119"/>
      <c r="BC670" s="119"/>
      <c r="BD670" s="119"/>
      <c r="BE670" s="119"/>
      <c r="BF670" s="119"/>
      <c r="BG670" s="119"/>
      <c r="BH670" s="119"/>
    </row>
    <row r="671" spans="1:60" ht="15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  <c r="AN671" s="119"/>
      <c r="AO671" s="119"/>
      <c r="AP671" s="119"/>
      <c r="AQ671" s="119"/>
      <c r="AR671" s="119"/>
      <c r="AS671" s="119"/>
      <c r="AT671" s="119"/>
      <c r="AU671" s="119"/>
      <c r="AV671" s="119"/>
      <c r="AW671" s="119"/>
      <c r="AX671" s="119"/>
      <c r="AY671" s="119"/>
      <c r="AZ671" s="119"/>
      <c r="BA671" s="119"/>
      <c r="BB671" s="119"/>
      <c r="BC671" s="119"/>
      <c r="BD671" s="119"/>
      <c r="BE671" s="119"/>
      <c r="BF671" s="119"/>
      <c r="BG671" s="119"/>
      <c r="BH671" s="119"/>
    </row>
    <row r="672" spans="1:60" ht="15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  <c r="AN672" s="119"/>
      <c r="AO672" s="119"/>
      <c r="AP672" s="119"/>
      <c r="AQ672" s="119"/>
      <c r="AR672" s="119"/>
      <c r="AS672" s="119"/>
      <c r="AT672" s="119"/>
      <c r="AU672" s="119"/>
      <c r="AV672" s="119"/>
      <c r="AW672" s="119"/>
      <c r="AX672" s="119"/>
      <c r="AY672" s="119"/>
      <c r="AZ672" s="119"/>
      <c r="BA672" s="119"/>
      <c r="BB672" s="119"/>
      <c r="BC672" s="119"/>
      <c r="BD672" s="119"/>
      <c r="BE672" s="119"/>
      <c r="BF672" s="119"/>
      <c r="BG672" s="119"/>
      <c r="BH672" s="119"/>
    </row>
    <row r="673" spans="1:60" ht="15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  <c r="AN673" s="119"/>
      <c r="AO673" s="119"/>
      <c r="AP673" s="119"/>
      <c r="AQ673" s="119"/>
      <c r="AR673" s="119"/>
      <c r="AS673" s="119"/>
      <c r="AT673" s="119"/>
      <c r="AU673" s="119"/>
      <c r="AV673" s="119"/>
      <c r="AW673" s="119"/>
      <c r="AX673" s="119"/>
      <c r="AY673" s="119"/>
      <c r="AZ673" s="119"/>
      <c r="BA673" s="119"/>
      <c r="BB673" s="119"/>
      <c r="BC673" s="119"/>
      <c r="BD673" s="119"/>
      <c r="BE673" s="119"/>
      <c r="BF673" s="119"/>
      <c r="BG673" s="119"/>
      <c r="BH673" s="119"/>
    </row>
    <row r="674" spans="1:60" ht="15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  <c r="AN674" s="119"/>
      <c r="AO674" s="119"/>
      <c r="AP674" s="119"/>
      <c r="AQ674" s="119"/>
      <c r="AR674" s="119"/>
      <c r="AS674" s="119"/>
      <c r="AT674" s="119"/>
      <c r="AU674" s="119"/>
      <c r="AV674" s="119"/>
      <c r="AW674" s="119"/>
      <c r="AX674" s="119"/>
      <c r="AY674" s="119"/>
      <c r="AZ674" s="119"/>
      <c r="BA674" s="119"/>
      <c r="BB674" s="119"/>
      <c r="BC674" s="119"/>
      <c r="BD674" s="119"/>
      <c r="BE674" s="119"/>
      <c r="BF674" s="119"/>
      <c r="BG674" s="119"/>
      <c r="BH674" s="119"/>
    </row>
    <row r="675" spans="1:60" ht="15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  <c r="AN675" s="119"/>
      <c r="AO675" s="119"/>
      <c r="AP675" s="119"/>
      <c r="AQ675" s="119"/>
      <c r="AR675" s="119"/>
      <c r="AS675" s="119"/>
      <c r="AT675" s="119"/>
      <c r="AU675" s="119"/>
      <c r="AV675" s="119"/>
      <c r="AW675" s="119"/>
      <c r="AX675" s="119"/>
      <c r="AY675" s="119"/>
      <c r="AZ675" s="119"/>
      <c r="BA675" s="119"/>
      <c r="BB675" s="119"/>
      <c r="BC675" s="119"/>
      <c r="BD675" s="119"/>
      <c r="BE675" s="119"/>
      <c r="BF675" s="119"/>
      <c r="BG675" s="119"/>
      <c r="BH675" s="119"/>
    </row>
    <row r="676" spans="1:60" ht="15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  <c r="AN676" s="119"/>
      <c r="AO676" s="119"/>
      <c r="AP676" s="119"/>
      <c r="AQ676" s="119"/>
      <c r="AR676" s="119"/>
      <c r="AS676" s="119"/>
      <c r="AT676" s="119"/>
      <c r="AU676" s="119"/>
      <c r="AV676" s="119"/>
      <c r="AW676" s="119"/>
      <c r="AX676" s="119"/>
      <c r="AY676" s="119"/>
      <c r="AZ676" s="119"/>
      <c r="BA676" s="119"/>
      <c r="BB676" s="119"/>
      <c r="BC676" s="119"/>
      <c r="BD676" s="119"/>
      <c r="BE676" s="119"/>
      <c r="BF676" s="119"/>
      <c r="BG676" s="119"/>
      <c r="BH676" s="119"/>
    </row>
    <row r="677" spans="1:60" ht="15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  <c r="AN677" s="119"/>
      <c r="AO677" s="119"/>
      <c r="AP677" s="119"/>
      <c r="AQ677" s="119"/>
      <c r="AR677" s="119"/>
      <c r="AS677" s="119"/>
      <c r="AT677" s="119"/>
      <c r="AU677" s="119"/>
      <c r="AV677" s="119"/>
      <c r="AW677" s="119"/>
      <c r="AX677" s="119"/>
      <c r="AY677" s="119"/>
      <c r="AZ677" s="119"/>
      <c r="BA677" s="119"/>
      <c r="BB677" s="119"/>
      <c r="BC677" s="119"/>
      <c r="BD677" s="119"/>
      <c r="BE677" s="119"/>
      <c r="BF677" s="119"/>
      <c r="BG677" s="119"/>
      <c r="BH677" s="119"/>
    </row>
    <row r="678" spans="1:60" ht="15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s="119"/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19"/>
      <c r="BA678" s="119"/>
      <c r="BB678" s="119"/>
      <c r="BC678" s="119"/>
      <c r="BD678" s="119"/>
      <c r="BE678" s="119"/>
      <c r="BF678" s="119"/>
      <c r="BG678" s="119"/>
      <c r="BH678" s="119"/>
    </row>
    <row r="679" spans="1:60" ht="15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  <c r="AN679" s="119"/>
      <c r="AO679" s="119"/>
      <c r="AP679" s="119"/>
      <c r="AQ679" s="119"/>
      <c r="AR679" s="119"/>
      <c r="AS679" s="119"/>
      <c r="AT679" s="119"/>
      <c r="AU679" s="119"/>
      <c r="AV679" s="119"/>
      <c r="AW679" s="119"/>
      <c r="AX679" s="119"/>
      <c r="AY679" s="119"/>
      <c r="AZ679" s="119"/>
      <c r="BA679" s="119"/>
      <c r="BB679" s="119"/>
      <c r="BC679" s="119"/>
      <c r="BD679" s="119"/>
      <c r="BE679" s="119"/>
      <c r="BF679" s="119"/>
      <c r="BG679" s="119"/>
      <c r="BH679" s="119"/>
    </row>
    <row r="680" spans="1:60" ht="15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  <c r="AN680" s="119"/>
      <c r="AO680" s="119"/>
      <c r="AP680" s="119"/>
      <c r="AQ680" s="119"/>
      <c r="AR680" s="119"/>
      <c r="AS680" s="119"/>
      <c r="AT680" s="119"/>
      <c r="AU680" s="119"/>
      <c r="AV680" s="119"/>
      <c r="AW680" s="119"/>
      <c r="AX680" s="119"/>
      <c r="AY680" s="119"/>
      <c r="AZ680" s="119"/>
      <c r="BA680" s="119"/>
      <c r="BB680" s="119"/>
      <c r="BC680" s="119"/>
      <c r="BD680" s="119"/>
      <c r="BE680" s="119"/>
      <c r="BF680" s="119"/>
      <c r="BG680" s="119"/>
      <c r="BH680" s="119"/>
    </row>
    <row r="681" spans="1:60" ht="15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  <c r="AN681" s="119"/>
      <c r="AO681" s="119"/>
      <c r="AP681" s="119"/>
      <c r="AQ681" s="119"/>
      <c r="AR681" s="119"/>
      <c r="AS681" s="119"/>
      <c r="AT681" s="119"/>
      <c r="AU681" s="119"/>
      <c r="AV681" s="119"/>
      <c r="AW681" s="119"/>
      <c r="AX681" s="119"/>
      <c r="AY681" s="119"/>
      <c r="AZ681" s="119"/>
      <c r="BA681" s="119"/>
      <c r="BB681" s="119"/>
      <c r="BC681" s="119"/>
      <c r="BD681" s="119"/>
      <c r="BE681" s="119"/>
      <c r="BF681" s="119"/>
      <c r="BG681" s="119"/>
      <c r="BH681" s="119"/>
    </row>
    <row r="682" spans="1:60" ht="15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  <c r="AN682" s="119"/>
      <c r="AO682" s="119"/>
      <c r="AP682" s="119"/>
      <c r="AQ682" s="119"/>
      <c r="AR682" s="119"/>
      <c r="AS682" s="119"/>
      <c r="AT682" s="119"/>
      <c r="AU682" s="119"/>
      <c r="AV682" s="119"/>
      <c r="AW682" s="119"/>
      <c r="AX682" s="119"/>
      <c r="AY682" s="119"/>
      <c r="AZ682" s="119"/>
      <c r="BA682" s="119"/>
      <c r="BB682" s="119"/>
      <c r="BC682" s="119"/>
      <c r="BD682" s="119"/>
      <c r="BE682" s="119"/>
      <c r="BF682" s="119"/>
      <c r="BG682" s="119"/>
      <c r="BH682" s="119"/>
    </row>
    <row r="683" spans="1:60" ht="15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  <c r="AN683" s="119"/>
      <c r="AO683" s="119"/>
      <c r="AP683" s="119"/>
      <c r="AQ683" s="119"/>
      <c r="AR683" s="119"/>
      <c r="AS683" s="119"/>
      <c r="AT683" s="119"/>
      <c r="AU683" s="119"/>
      <c r="AV683" s="119"/>
      <c r="AW683" s="119"/>
      <c r="AX683" s="119"/>
      <c r="AY683" s="119"/>
      <c r="AZ683" s="119"/>
      <c r="BA683" s="119"/>
      <c r="BB683" s="119"/>
      <c r="BC683" s="119"/>
      <c r="BD683" s="119"/>
      <c r="BE683" s="119"/>
      <c r="BF683" s="119"/>
      <c r="BG683" s="119"/>
      <c r="BH683" s="119"/>
    </row>
    <row r="684" spans="1:60" ht="15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  <c r="AN684" s="119"/>
      <c r="AO684" s="119"/>
      <c r="AP684" s="119"/>
      <c r="AQ684" s="119"/>
      <c r="AR684" s="119"/>
      <c r="AS684" s="119"/>
      <c r="AT684" s="119"/>
      <c r="AU684" s="119"/>
      <c r="AV684" s="119"/>
      <c r="AW684" s="119"/>
      <c r="AX684" s="119"/>
      <c r="AY684" s="119"/>
      <c r="AZ684" s="119"/>
      <c r="BA684" s="119"/>
      <c r="BB684" s="119"/>
      <c r="BC684" s="119"/>
      <c r="BD684" s="119"/>
      <c r="BE684" s="119"/>
      <c r="BF684" s="119"/>
      <c r="BG684" s="119"/>
      <c r="BH684" s="119"/>
    </row>
    <row r="685" spans="1:60" ht="15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  <c r="AN685" s="119"/>
      <c r="AO685" s="119"/>
      <c r="AP685" s="119"/>
      <c r="AQ685" s="119"/>
      <c r="AR685" s="119"/>
      <c r="AS685" s="119"/>
      <c r="AT685" s="119"/>
      <c r="AU685" s="119"/>
      <c r="AV685" s="119"/>
      <c r="AW685" s="119"/>
      <c r="AX685" s="119"/>
      <c r="AY685" s="119"/>
      <c r="AZ685" s="119"/>
      <c r="BA685" s="119"/>
      <c r="BB685" s="119"/>
      <c r="BC685" s="119"/>
      <c r="BD685" s="119"/>
      <c r="BE685" s="119"/>
      <c r="BF685" s="119"/>
      <c r="BG685" s="119"/>
      <c r="BH685" s="119"/>
    </row>
    <row r="686" spans="1:60" ht="15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19"/>
      <c r="AZ686" s="119"/>
      <c r="BA686" s="119"/>
      <c r="BB686" s="119"/>
      <c r="BC686" s="119"/>
      <c r="BD686" s="119"/>
      <c r="BE686" s="119"/>
      <c r="BF686" s="119"/>
      <c r="BG686" s="119"/>
      <c r="BH686" s="119"/>
    </row>
    <row r="687" spans="1:60" ht="15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  <c r="AN687" s="119"/>
      <c r="AO687" s="119"/>
      <c r="AP687" s="119"/>
      <c r="AQ687" s="119"/>
      <c r="AR687" s="119"/>
      <c r="AS687" s="119"/>
      <c r="AT687" s="119"/>
      <c r="AU687" s="119"/>
      <c r="AV687" s="119"/>
      <c r="AW687" s="119"/>
      <c r="AX687" s="119"/>
      <c r="AY687" s="119"/>
      <c r="AZ687" s="119"/>
      <c r="BA687" s="119"/>
      <c r="BB687" s="119"/>
      <c r="BC687" s="119"/>
      <c r="BD687" s="119"/>
      <c r="BE687" s="119"/>
      <c r="BF687" s="119"/>
      <c r="BG687" s="119"/>
      <c r="BH687" s="119"/>
    </row>
    <row r="688" spans="1:60" ht="15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  <c r="AL688" s="119"/>
      <c r="AM688" s="119"/>
      <c r="AN688" s="119"/>
      <c r="AO688" s="119"/>
      <c r="AP688" s="119"/>
      <c r="AQ688" s="119"/>
      <c r="AR688" s="119"/>
      <c r="AS688" s="119"/>
      <c r="AT688" s="119"/>
      <c r="AU688" s="119"/>
      <c r="AV688" s="119"/>
      <c r="AW688" s="119"/>
      <c r="AX688" s="119"/>
      <c r="AY688" s="119"/>
      <c r="AZ688" s="119"/>
      <c r="BA688" s="119"/>
      <c r="BB688" s="119"/>
      <c r="BC688" s="119"/>
      <c r="BD688" s="119"/>
      <c r="BE688" s="119"/>
      <c r="BF688" s="119"/>
      <c r="BG688" s="119"/>
      <c r="BH688" s="119"/>
    </row>
    <row r="689" spans="1:60" ht="15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  <c r="AL689" s="119"/>
      <c r="AM689" s="119"/>
      <c r="AN689" s="119"/>
      <c r="AO689" s="119"/>
      <c r="AP689" s="119"/>
      <c r="AQ689" s="119"/>
      <c r="AR689" s="119"/>
      <c r="AS689" s="119"/>
      <c r="AT689" s="119"/>
      <c r="AU689" s="119"/>
      <c r="AV689" s="119"/>
      <c r="AW689" s="119"/>
      <c r="AX689" s="119"/>
      <c r="AY689" s="119"/>
      <c r="AZ689" s="119"/>
      <c r="BA689" s="119"/>
      <c r="BB689" s="119"/>
      <c r="BC689" s="119"/>
      <c r="BD689" s="119"/>
      <c r="BE689" s="119"/>
      <c r="BF689" s="119"/>
      <c r="BG689" s="119"/>
      <c r="BH689" s="119"/>
    </row>
    <row r="690" spans="1:60" ht="15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  <c r="AL690" s="119"/>
      <c r="AM690" s="119"/>
      <c r="AN690" s="119"/>
      <c r="AO690" s="119"/>
      <c r="AP690" s="119"/>
      <c r="AQ690" s="119"/>
      <c r="AR690" s="119"/>
      <c r="AS690" s="119"/>
      <c r="AT690" s="119"/>
      <c r="AU690" s="119"/>
      <c r="AV690" s="119"/>
      <c r="AW690" s="119"/>
      <c r="AX690" s="119"/>
      <c r="AY690" s="119"/>
      <c r="AZ690" s="119"/>
      <c r="BA690" s="119"/>
      <c r="BB690" s="119"/>
      <c r="BC690" s="119"/>
      <c r="BD690" s="119"/>
      <c r="BE690" s="119"/>
      <c r="BF690" s="119"/>
      <c r="BG690" s="119"/>
      <c r="BH690" s="119"/>
    </row>
    <row r="691" spans="1:60" ht="15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  <c r="AL691" s="119"/>
      <c r="AM691" s="119"/>
      <c r="AN691" s="119"/>
      <c r="AO691" s="119"/>
      <c r="AP691" s="119"/>
      <c r="AQ691" s="119"/>
      <c r="AR691" s="119"/>
      <c r="AS691" s="119"/>
      <c r="AT691" s="119"/>
      <c r="AU691" s="119"/>
      <c r="AV691" s="119"/>
      <c r="AW691" s="119"/>
      <c r="AX691" s="119"/>
      <c r="AY691" s="119"/>
      <c r="AZ691" s="119"/>
      <c r="BA691" s="119"/>
      <c r="BB691" s="119"/>
      <c r="BC691" s="119"/>
      <c r="BD691" s="119"/>
      <c r="BE691" s="119"/>
      <c r="BF691" s="119"/>
      <c r="BG691" s="119"/>
      <c r="BH691" s="119"/>
    </row>
    <row r="692" spans="1:60" ht="15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  <c r="AL692" s="119"/>
      <c r="AM692" s="119"/>
      <c r="AN692" s="119"/>
      <c r="AO692" s="119"/>
      <c r="AP692" s="119"/>
      <c r="AQ692" s="119"/>
      <c r="AR692" s="119"/>
      <c r="AS692" s="119"/>
      <c r="AT692" s="119"/>
      <c r="AU692" s="119"/>
      <c r="AV692" s="119"/>
      <c r="AW692" s="119"/>
      <c r="AX692" s="119"/>
      <c r="AY692" s="119"/>
      <c r="AZ692" s="119"/>
      <c r="BA692" s="119"/>
      <c r="BB692" s="119"/>
      <c r="BC692" s="119"/>
      <c r="BD692" s="119"/>
      <c r="BE692" s="119"/>
      <c r="BF692" s="119"/>
      <c r="BG692" s="119"/>
      <c r="BH692" s="119"/>
    </row>
    <row r="693" spans="1:60" ht="15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  <c r="AL693" s="119"/>
      <c r="AM693" s="119"/>
      <c r="AN693" s="119"/>
      <c r="AO693" s="119"/>
      <c r="AP693" s="119"/>
      <c r="AQ693" s="119"/>
      <c r="AR693" s="119"/>
      <c r="AS693" s="119"/>
      <c r="AT693" s="119"/>
      <c r="AU693" s="119"/>
      <c r="AV693" s="119"/>
      <c r="AW693" s="119"/>
      <c r="AX693" s="119"/>
      <c r="AY693" s="119"/>
      <c r="AZ693" s="119"/>
      <c r="BA693" s="119"/>
      <c r="BB693" s="119"/>
      <c r="BC693" s="119"/>
      <c r="BD693" s="119"/>
      <c r="BE693" s="119"/>
      <c r="BF693" s="119"/>
      <c r="BG693" s="119"/>
      <c r="BH693" s="119"/>
    </row>
    <row r="694" spans="1:60" ht="15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  <c r="AL694" s="119"/>
      <c r="AM694" s="119"/>
      <c r="AN694" s="119"/>
      <c r="AO694" s="119"/>
      <c r="AP694" s="119"/>
      <c r="AQ694" s="119"/>
      <c r="AR694" s="119"/>
      <c r="AS694" s="119"/>
      <c r="AT694" s="119"/>
      <c r="AU694" s="119"/>
      <c r="AV694" s="119"/>
      <c r="AW694" s="119"/>
      <c r="AX694" s="119"/>
      <c r="AY694" s="119"/>
      <c r="AZ694" s="119"/>
      <c r="BA694" s="119"/>
      <c r="BB694" s="119"/>
      <c r="BC694" s="119"/>
      <c r="BD694" s="119"/>
      <c r="BE694" s="119"/>
      <c r="BF694" s="119"/>
      <c r="BG694" s="119"/>
      <c r="BH694" s="119"/>
    </row>
    <row r="695" spans="1:60" ht="15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  <c r="AL695" s="119"/>
      <c r="AM695" s="119"/>
      <c r="AN695" s="119"/>
      <c r="AO695" s="119"/>
      <c r="AP695" s="119"/>
      <c r="AQ695" s="119"/>
      <c r="AR695" s="119"/>
      <c r="AS695" s="119"/>
      <c r="AT695" s="119"/>
      <c r="AU695" s="119"/>
      <c r="AV695" s="119"/>
      <c r="AW695" s="119"/>
      <c r="AX695" s="119"/>
      <c r="AY695" s="119"/>
      <c r="AZ695" s="119"/>
      <c r="BA695" s="119"/>
      <c r="BB695" s="119"/>
      <c r="BC695" s="119"/>
      <c r="BD695" s="119"/>
      <c r="BE695" s="119"/>
      <c r="BF695" s="119"/>
      <c r="BG695" s="119"/>
      <c r="BH695" s="119"/>
    </row>
    <row r="696" spans="1:60" ht="15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  <c r="AL696" s="119"/>
      <c r="AM696" s="119"/>
      <c r="AN696" s="119"/>
      <c r="AO696" s="119"/>
      <c r="AP696" s="119"/>
      <c r="AQ696" s="119"/>
      <c r="AR696" s="119"/>
      <c r="AS696" s="119"/>
      <c r="AT696" s="119"/>
      <c r="AU696" s="119"/>
      <c r="AV696" s="119"/>
      <c r="AW696" s="119"/>
      <c r="AX696" s="119"/>
      <c r="AY696" s="119"/>
      <c r="AZ696" s="119"/>
      <c r="BA696" s="119"/>
      <c r="BB696" s="119"/>
      <c r="BC696" s="119"/>
      <c r="BD696" s="119"/>
      <c r="BE696" s="119"/>
      <c r="BF696" s="119"/>
      <c r="BG696" s="119"/>
      <c r="BH696" s="119"/>
    </row>
    <row r="697" spans="1:60" ht="15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  <c r="AL697" s="119"/>
      <c r="AM697" s="119"/>
      <c r="AN697" s="119"/>
      <c r="AO697" s="119"/>
      <c r="AP697" s="119"/>
      <c r="AQ697" s="119"/>
      <c r="AR697" s="119"/>
      <c r="AS697" s="119"/>
      <c r="AT697" s="119"/>
      <c r="AU697" s="119"/>
      <c r="AV697" s="119"/>
      <c r="AW697" s="119"/>
      <c r="AX697" s="119"/>
      <c r="AY697" s="119"/>
      <c r="AZ697" s="119"/>
      <c r="BA697" s="119"/>
      <c r="BB697" s="119"/>
      <c r="BC697" s="119"/>
      <c r="BD697" s="119"/>
      <c r="BE697" s="119"/>
      <c r="BF697" s="119"/>
      <c r="BG697" s="119"/>
      <c r="BH697" s="119"/>
    </row>
    <row r="698" spans="1:60" ht="15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  <c r="AL698" s="119"/>
      <c r="AM698" s="119"/>
      <c r="AN698" s="119"/>
      <c r="AO698" s="119"/>
      <c r="AP698" s="119"/>
      <c r="AQ698" s="119"/>
      <c r="AR698" s="119"/>
      <c r="AS698" s="119"/>
      <c r="AT698" s="119"/>
      <c r="AU698" s="119"/>
      <c r="AV698" s="119"/>
      <c r="AW698" s="119"/>
      <c r="AX698" s="119"/>
      <c r="AY698" s="119"/>
      <c r="AZ698" s="119"/>
      <c r="BA698" s="119"/>
      <c r="BB698" s="119"/>
      <c r="BC698" s="119"/>
      <c r="BD698" s="119"/>
      <c r="BE698" s="119"/>
      <c r="BF698" s="119"/>
      <c r="BG698" s="119"/>
      <c r="BH698" s="119"/>
    </row>
    <row r="699" spans="1:60" ht="15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  <c r="AL699" s="119"/>
      <c r="AM699" s="119"/>
      <c r="AN699" s="119"/>
      <c r="AO699" s="119"/>
      <c r="AP699" s="119"/>
      <c r="AQ699" s="119"/>
      <c r="AR699" s="119"/>
      <c r="AS699" s="119"/>
      <c r="AT699" s="119"/>
      <c r="AU699" s="119"/>
      <c r="AV699" s="119"/>
      <c r="AW699" s="119"/>
      <c r="AX699" s="119"/>
      <c r="AY699" s="119"/>
      <c r="AZ699" s="119"/>
      <c r="BA699" s="119"/>
      <c r="BB699" s="119"/>
      <c r="BC699" s="119"/>
      <c r="BD699" s="119"/>
      <c r="BE699" s="119"/>
      <c r="BF699" s="119"/>
      <c r="BG699" s="119"/>
      <c r="BH699" s="119"/>
    </row>
    <row r="700" spans="1:60" ht="15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  <c r="AL700" s="119"/>
      <c r="AM700" s="119"/>
      <c r="AN700" s="119"/>
      <c r="AO700" s="119"/>
      <c r="AP700" s="119"/>
      <c r="AQ700" s="119"/>
      <c r="AR700" s="119"/>
      <c r="AS700" s="119"/>
      <c r="AT700" s="119"/>
      <c r="AU700" s="119"/>
      <c r="AV700" s="119"/>
      <c r="AW700" s="119"/>
      <c r="AX700" s="119"/>
      <c r="AY700" s="119"/>
      <c r="AZ700" s="119"/>
      <c r="BA700" s="119"/>
      <c r="BB700" s="119"/>
      <c r="BC700" s="119"/>
      <c r="BD700" s="119"/>
      <c r="BE700" s="119"/>
      <c r="BF700" s="119"/>
      <c r="BG700" s="119"/>
      <c r="BH700" s="119"/>
    </row>
    <row r="701" spans="1:60" ht="15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  <c r="AN701" s="119"/>
      <c r="AO701" s="119"/>
      <c r="AP701" s="119"/>
      <c r="AQ701" s="119"/>
      <c r="AR701" s="119"/>
      <c r="AS701" s="119"/>
      <c r="AT701" s="119"/>
      <c r="AU701" s="119"/>
      <c r="AV701" s="119"/>
      <c r="AW701" s="119"/>
      <c r="AX701" s="119"/>
      <c r="AY701" s="119"/>
      <c r="AZ701" s="119"/>
      <c r="BA701" s="119"/>
      <c r="BB701" s="119"/>
      <c r="BC701" s="119"/>
      <c r="BD701" s="119"/>
      <c r="BE701" s="119"/>
      <c r="BF701" s="119"/>
      <c r="BG701" s="119"/>
      <c r="BH701" s="119"/>
    </row>
    <row r="702" spans="1:60" ht="15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/>
      <c r="AM702" s="119"/>
      <c r="AN702" s="119"/>
      <c r="AO702" s="119"/>
      <c r="AP702" s="119"/>
      <c r="AQ702" s="119"/>
      <c r="AR702" s="119"/>
      <c r="AS702" s="119"/>
      <c r="AT702" s="119"/>
      <c r="AU702" s="119"/>
      <c r="AV702" s="119"/>
      <c r="AW702" s="119"/>
      <c r="AX702" s="119"/>
      <c r="AY702" s="119"/>
      <c r="AZ702" s="119"/>
      <c r="BA702" s="119"/>
      <c r="BB702" s="119"/>
      <c r="BC702" s="119"/>
      <c r="BD702" s="119"/>
      <c r="BE702" s="119"/>
      <c r="BF702" s="119"/>
      <c r="BG702" s="119"/>
      <c r="BH702" s="119"/>
    </row>
    <row r="703" spans="1:60" ht="15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  <c r="AL703" s="119"/>
      <c r="AM703" s="119"/>
      <c r="AN703" s="119"/>
      <c r="AO703" s="119"/>
      <c r="AP703" s="119"/>
      <c r="AQ703" s="119"/>
      <c r="AR703" s="119"/>
      <c r="AS703" s="119"/>
      <c r="AT703" s="119"/>
      <c r="AU703" s="119"/>
      <c r="AV703" s="119"/>
      <c r="AW703" s="119"/>
      <c r="AX703" s="119"/>
      <c r="AY703" s="119"/>
      <c r="AZ703" s="119"/>
      <c r="BA703" s="119"/>
      <c r="BB703" s="119"/>
      <c r="BC703" s="119"/>
      <c r="BD703" s="119"/>
      <c r="BE703" s="119"/>
      <c r="BF703" s="119"/>
      <c r="BG703" s="119"/>
      <c r="BH703" s="119"/>
    </row>
    <row r="704" spans="1:60" ht="15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  <c r="AN704" s="119"/>
      <c r="AO704" s="119"/>
      <c r="AP704" s="119"/>
      <c r="AQ704" s="119"/>
      <c r="AR704" s="119"/>
      <c r="AS704" s="119"/>
      <c r="AT704" s="119"/>
      <c r="AU704" s="119"/>
      <c r="AV704" s="119"/>
      <c r="AW704" s="119"/>
      <c r="AX704" s="119"/>
      <c r="AY704" s="119"/>
      <c r="AZ704" s="119"/>
      <c r="BA704" s="119"/>
      <c r="BB704" s="119"/>
      <c r="BC704" s="119"/>
      <c r="BD704" s="119"/>
      <c r="BE704" s="119"/>
      <c r="BF704" s="119"/>
      <c r="BG704" s="119"/>
      <c r="BH704" s="119"/>
    </row>
    <row r="705" spans="1:60" ht="15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  <c r="AL705" s="119"/>
      <c r="AM705" s="119"/>
      <c r="AN705" s="119"/>
      <c r="AO705" s="119"/>
      <c r="AP705" s="119"/>
      <c r="AQ705" s="119"/>
      <c r="AR705" s="119"/>
      <c r="AS705" s="119"/>
      <c r="AT705" s="119"/>
      <c r="AU705" s="119"/>
      <c r="AV705" s="119"/>
      <c r="AW705" s="119"/>
      <c r="AX705" s="119"/>
      <c r="AY705" s="119"/>
      <c r="AZ705" s="119"/>
      <c r="BA705" s="119"/>
      <c r="BB705" s="119"/>
      <c r="BC705" s="119"/>
      <c r="BD705" s="119"/>
      <c r="BE705" s="119"/>
      <c r="BF705" s="119"/>
      <c r="BG705" s="119"/>
      <c r="BH705" s="119"/>
    </row>
    <row r="706" spans="1:60" ht="15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  <c r="AL706" s="119"/>
      <c r="AM706" s="119"/>
      <c r="AN706" s="119"/>
      <c r="AO706" s="119"/>
      <c r="AP706" s="119"/>
      <c r="AQ706" s="119"/>
      <c r="AR706" s="119"/>
      <c r="AS706" s="119"/>
      <c r="AT706" s="119"/>
      <c r="AU706" s="119"/>
      <c r="AV706" s="119"/>
      <c r="AW706" s="119"/>
      <c r="AX706" s="119"/>
      <c r="AY706" s="119"/>
      <c r="AZ706" s="119"/>
      <c r="BA706" s="119"/>
      <c r="BB706" s="119"/>
      <c r="BC706" s="119"/>
      <c r="BD706" s="119"/>
      <c r="BE706" s="119"/>
      <c r="BF706" s="119"/>
      <c r="BG706" s="119"/>
      <c r="BH706" s="119"/>
    </row>
    <row r="707" spans="1:60" ht="15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  <c r="AL707" s="119"/>
      <c r="AM707" s="119"/>
      <c r="AN707" s="119"/>
      <c r="AO707" s="119"/>
      <c r="AP707" s="119"/>
      <c r="AQ707" s="119"/>
      <c r="AR707" s="119"/>
      <c r="AS707" s="119"/>
      <c r="AT707" s="119"/>
      <c r="AU707" s="119"/>
      <c r="AV707" s="119"/>
      <c r="AW707" s="119"/>
      <c r="AX707" s="119"/>
      <c r="AY707" s="119"/>
      <c r="AZ707" s="119"/>
      <c r="BA707" s="119"/>
      <c r="BB707" s="119"/>
      <c r="BC707" s="119"/>
      <c r="BD707" s="119"/>
      <c r="BE707" s="119"/>
      <c r="BF707" s="119"/>
      <c r="BG707" s="119"/>
      <c r="BH707" s="119"/>
    </row>
    <row r="708" spans="1:60" ht="15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  <c r="AL708" s="119"/>
      <c r="AM708" s="119"/>
      <c r="AN708" s="119"/>
      <c r="AO708" s="119"/>
      <c r="AP708" s="119"/>
      <c r="AQ708" s="119"/>
      <c r="AR708" s="119"/>
      <c r="AS708" s="119"/>
      <c r="AT708" s="119"/>
      <c r="AU708" s="119"/>
      <c r="AV708" s="119"/>
      <c r="AW708" s="119"/>
      <c r="AX708" s="119"/>
      <c r="AY708" s="119"/>
      <c r="AZ708" s="119"/>
      <c r="BA708" s="119"/>
      <c r="BB708" s="119"/>
      <c r="BC708" s="119"/>
      <c r="BD708" s="119"/>
      <c r="BE708" s="119"/>
      <c r="BF708" s="119"/>
      <c r="BG708" s="119"/>
      <c r="BH708" s="119"/>
    </row>
    <row r="709" spans="1:60" ht="15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  <c r="AL709" s="119"/>
      <c r="AM709" s="119"/>
      <c r="AN709" s="119"/>
      <c r="AO709" s="119"/>
      <c r="AP709" s="119"/>
      <c r="AQ709" s="119"/>
      <c r="AR709" s="119"/>
      <c r="AS709" s="119"/>
      <c r="AT709" s="119"/>
      <c r="AU709" s="119"/>
      <c r="AV709" s="119"/>
      <c r="AW709" s="119"/>
      <c r="AX709" s="119"/>
      <c r="AY709" s="119"/>
      <c r="AZ709" s="119"/>
      <c r="BA709" s="119"/>
      <c r="BB709" s="119"/>
      <c r="BC709" s="119"/>
      <c r="BD709" s="119"/>
      <c r="BE709" s="119"/>
      <c r="BF709" s="119"/>
      <c r="BG709" s="119"/>
      <c r="BH709" s="119"/>
    </row>
    <row r="710" spans="1:60" ht="15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  <c r="AL710" s="119"/>
      <c r="AM710" s="119"/>
      <c r="AN710" s="119"/>
      <c r="AO710" s="119"/>
      <c r="AP710" s="119"/>
      <c r="AQ710" s="119"/>
      <c r="AR710" s="119"/>
      <c r="AS710" s="119"/>
      <c r="AT710" s="119"/>
      <c r="AU710" s="119"/>
      <c r="AV710" s="119"/>
      <c r="AW710" s="119"/>
      <c r="AX710" s="119"/>
      <c r="AY710" s="119"/>
      <c r="AZ710" s="119"/>
      <c r="BA710" s="119"/>
      <c r="BB710" s="119"/>
      <c r="BC710" s="119"/>
      <c r="BD710" s="119"/>
      <c r="BE710" s="119"/>
      <c r="BF710" s="119"/>
      <c r="BG710" s="119"/>
      <c r="BH710" s="119"/>
    </row>
    <row r="711" spans="1:60" ht="15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  <c r="AL711" s="119"/>
      <c r="AM711" s="119"/>
      <c r="AN711" s="119"/>
      <c r="AO711" s="119"/>
      <c r="AP711" s="119"/>
      <c r="AQ711" s="119"/>
      <c r="AR711" s="119"/>
      <c r="AS711" s="119"/>
      <c r="AT711" s="119"/>
      <c r="AU711" s="119"/>
      <c r="AV711" s="119"/>
      <c r="AW711" s="119"/>
      <c r="AX711" s="119"/>
      <c r="AY711" s="119"/>
      <c r="AZ711" s="119"/>
      <c r="BA711" s="119"/>
      <c r="BB711" s="119"/>
      <c r="BC711" s="119"/>
      <c r="BD711" s="119"/>
      <c r="BE711" s="119"/>
      <c r="BF711" s="119"/>
      <c r="BG711" s="119"/>
      <c r="BH711" s="119"/>
    </row>
    <row r="712" spans="1:60" ht="15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  <c r="AL712" s="119"/>
      <c r="AM712" s="119"/>
      <c r="AN712" s="119"/>
      <c r="AO712" s="119"/>
      <c r="AP712" s="119"/>
      <c r="AQ712" s="119"/>
      <c r="AR712" s="119"/>
      <c r="AS712" s="119"/>
      <c r="AT712" s="119"/>
      <c r="AU712" s="119"/>
      <c r="AV712" s="119"/>
      <c r="AW712" s="119"/>
      <c r="AX712" s="119"/>
      <c r="AY712" s="119"/>
      <c r="AZ712" s="119"/>
      <c r="BA712" s="119"/>
      <c r="BB712" s="119"/>
      <c r="BC712" s="119"/>
      <c r="BD712" s="119"/>
      <c r="BE712" s="119"/>
      <c r="BF712" s="119"/>
      <c r="BG712" s="119"/>
      <c r="BH712" s="119"/>
    </row>
    <row r="713" spans="1:60" ht="15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  <c r="AL713" s="119"/>
      <c r="AM713" s="119"/>
      <c r="AN713" s="119"/>
      <c r="AO713" s="119"/>
      <c r="AP713" s="119"/>
      <c r="AQ713" s="119"/>
      <c r="AR713" s="119"/>
      <c r="AS713" s="119"/>
      <c r="AT713" s="119"/>
      <c r="AU713" s="119"/>
      <c r="AV713" s="119"/>
      <c r="AW713" s="119"/>
      <c r="AX713" s="119"/>
      <c r="AY713" s="119"/>
      <c r="AZ713" s="119"/>
      <c r="BA713" s="119"/>
      <c r="BB713" s="119"/>
      <c r="BC713" s="119"/>
      <c r="BD713" s="119"/>
      <c r="BE713" s="119"/>
      <c r="BF713" s="119"/>
      <c r="BG713" s="119"/>
      <c r="BH713" s="119"/>
    </row>
    <row r="714" spans="1:60" ht="15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  <c r="AN714" s="119"/>
      <c r="AO714" s="119"/>
      <c r="AP714" s="119"/>
      <c r="AQ714" s="119"/>
      <c r="AR714" s="119"/>
      <c r="AS714" s="119"/>
      <c r="AT714" s="119"/>
      <c r="AU714" s="119"/>
      <c r="AV714" s="119"/>
      <c r="AW714" s="119"/>
      <c r="AX714" s="119"/>
      <c r="AY714" s="119"/>
      <c r="AZ714" s="119"/>
      <c r="BA714" s="119"/>
      <c r="BB714" s="119"/>
      <c r="BC714" s="119"/>
      <c r="BD714" s="119"/>
      <c r="BE714" s="119"/>
      <c r="BF714" s="119"/>
      <c r="BG714" s="119"/>
      <c r="BH714" s="119"/>
    </row>
    <row r="715" spans="1:60" ht="15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s="119"/>
      <c r="AN715" s="119"/>
      <c r="AO715" s="119"/>
      <c r="AP715" s="119"/>
      <c r="AQ715" s="119"/>
      <c r="AR715" s="119"/>
      <c r="AS715" s="119"/>
      <c r="AT715" s="119"/>
      <c r="AU715" s="119"/>
      <c r="AV715" s="119"/>
      <c r="AW715" s="119"/>
      <c r="AX715" s="119"/>
      <c r="AY715" s="119"/>
      <c r="AZ715" s="119"/>
      <c r="BA715" s="119"/>
      <c r="BB715" s="119"/>
      <c r="BC715" s="119"/>
      <c r="BD715" s="119"/>
      <c r="BE715" s="119"/>
      <c r="BF715" s="119"/>
      <c r="BG715" s="119"/>
      <c r="BH715" s="119"/>
    </row>
    <row r="716" spans="1:60" ht="15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  <c r="AL716" s="119"/>
      <c r="AM716" s="119"/>
      <c r="AN716" s="119"/>
      <c r="AO716" s="119"/>
      <c r="AP716" s="119"/>
      <c r="AQ716" s="119"/>
      <c r="AR716" s="119"/>
      <c r="AS716" s="119"/>
      <c r="AT716" s="119"/>
      <c r="AU716" s="119"/>
      <c r="AV716" s="119"/>
      <c r="AW716" s="119"/>
      <c r="AX716" s="119"/>
      <c r="AY716" s="119"/>
      <c r="AZ716" s="119"/>
      <c r="BA716" s="119"/>
      <c r="BB716" s="119"/>
      <c r="BC716" s="119"/>
      <c r="BD716" s="119"/>
      <c r="BE716" s="119"/>
      <c r="BF716" s="119"/>
      <c r="BG716" s="119"/>
      <c r="BH716" s="119"/>
    </row>
    <row r="717" spans="1:60" ht="15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  <c r="AL717" s="119"/>
      <c r="AM717" s="119"/>
      <c r="AN717" s="119"/>
      <c r="AO717" s="119"/>
      <c r="AP717" s="119"/>
      <c r="AQ717" s="119"/>
      <c r="AR717" s="119"/>
      <c r="AS717" s="119"/>
      <c r="AT717" s="119"/>
      <c r="AU717" s="119"/>
      <c r="AV717" s="119"/>
      <c r="AW717" s="119"/>
      <c r="AX717" s="119"/>
      <c r="AY717" s="119"/>
      <c r="AZ717" s="119"/>
      <c r="BA717" s="119"/>
      <c r="BB717" s="119"/>
      <c r="BC717" s="119"/>
      <c r="BD717" s="119"/>
      <c r="BE717" s="119"/>
      <c r="BF717" s="119"/>
      <c r="BG717" s="119"/>
      <c r="BH717" s="119"/>
    </row>
    <row r="718" spans="1:60" ht="15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/>
      <c r="AM718" s="119"/>
      <c r="AN718" s="119"/>
      <c r="AO718" s="119"/>
      <c r="AP718" s="119"/>
      <c r="AQ718" s="119"/>
      <c r="AR718" s="119"/>
      <c r="AS718" s="119"/>
      <c r="AT718" s="119"/>
      <c r="AU718" s="119"/>
      <c r="AV718" s="119"/>
      <c r="AW718" s="119"/>
      <c r="AX718" s="119"/>
      <c r="AY718" s="119"/>
      <c r="AZ718" s="119"/>
      <c r="BA718" s="119"/>
      <c r="BB718" s="119"/>
      <c r="BC718" s="119"/>
      <c r="BD718" s="119"/>
      <c r="BE718" s="119"/>
      <c r="BF718" s="119"/>
      <c r="BG718" s="119"/>
      <c r="BH718" s="119"/>
    </row>
    <row r="719" spans="1:60" ht="15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  <c r="AL719" s="119"/>
      <c r="AM719" s="119"/>
      <c r="AN719" s="119"/>
      <c r="AO719" s="119"/>
      <c r="AP719" s="119"/>
      <c r="AQ719" s="119"/>
      <c r="AR719" s="119"/>
      <c r="AS719" s="119"/>
      <c r="AT719" s="119"/>
      <c r="AU719" s="119"/>
      <c r="AV719" s="119"/>
      <c r="AW719" s="119"/>
      <c r="AX719" s="119"/>
      <c r="AY719" s="119"/>
      <c r="AZ719" s="119"/>
      <c r="BA719" s="119"/>
      <c r="BB719" s="119"/>
      <c r="BC719" s="119"/>
      <c r="BD719" s="119"/>
      <c r="BE719" s="119"/>
      <c r="BF719" s="119"/>
      <c r="BG719" s="119"/>
      <c r="BH719" s="119"/>
    </row>
    <row r="720" spans="1:60" ht="15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  <c r="AL720" s="119"/>
      <c r="AM720" s="119"/>
      <c r="AN720" s="119"/>
      <c r="AO720" s="119"/>
      <c r="AP720" s="119"/>
      <c r="AQ720" s="119"/>
      <c r="AR720" s="119"/>
      <c r="AS720" s="119"/>
      <c r="AT720" s="119"/>
      <c r="AU720" s="119"/>
      <c r="AV720" s="119"/>
      <c r="AW720" s="119"/>
      <c r="AX720" s="119"/>
      <c r="AY720" s="119"/>
      <c r="AZ720" s="119"/>
      <c r="BA720" s="119"/>
      <c r="BB720" s="119"/>
      <c r="BC720" s="119"/>
      <c r="BD720" s="119"/>
      <c r="BE720" s="119"/>
      <c r="BF720" s="119"/>
      <c r="BG720" s="119"/>
      <c r="BH720" s="119"/>
    </row>
    <row r="721" spans="1:60" ht="15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  <c r="AL721" s="119"/>
      <c r="AM721" s="119"/>
      <c r="AN721" s="119"/>
      <c r="AO721" s="119"/>
      <c r="AP721" s="119"/>
      <c r="AQ721" s="119"/>
      <c r="AR721" s="119"/>
      <c r="AS721" s="119"/>
      <c r="AT721" s="119"/>
      <c r="AU721" s="119"/>
      <c r="AV721" s="119"/>
      <c r="AW721" s="119"/>
      <c r="AX721" s="119"/>
      <c r="AY721" s="119"/>
      <c r="AZ721" s="119"/>
      <c r="BA721" s="119"/>
      <c r="BB721" s="119"/>
      <c r="BC721" s="119"/>
      <c r="BD721" s="119"/>
      <c r="BE721" s="119"/>
      <c r="BF721" s="119"/>
      <c r="BG721" s="119"/>
      <c r="BH721" s="119"/>
    </row>
    <row r="722" spans="1:60" ht="15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  <c r="AL722" s="119"/>
      <c r="AM722" s="119"/>
      <c r="AN722" s="119"/>
      <c r="AO722" s="119"/>
      <c r="AP722" s="119"/>
      <c r="AQ722" s="119"/>
      <c r="AR722" s="119"/>
      <c r="AS722" s="119"/>
      <c r="AT722" s="119"/>
      <c r="AU722" s="119"/>
      <c r="AV722" s="119"/>
      <c r="AW722" s="119"/>
      <c r="AX722" s="119"/>
      <c r="AY722" s="119"/>
      <c r="AZ722" s="119"/>
      <c r="BA722" s="119"/>
      <c r="BB722" s="119"/>
      <c r="BC722" s="119"/>
      <c r="BD722" s="119"/>
      <c r="BE722" s="119"/>
      <c r="BF722" s="119"/>
      <c r="BG722" s="119"/>
      <c r="BH722" s="119"/>
    </row>
    <row r="723" spans="1:60" ht="15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  <c r="AL723" s="119"/>
      <c r="AM723" s="119"/>
      <c r="AN723" s="119"/>
      <c r="AO723" s="119"/>
      <c r="AP723" s="119"/>
      <c r="AQ723" s="119"/>
      <c r="AR723" s="119"/>
      <c r="AS723" s="119"/>
      <c r="AT723" s="119"/>
      <c r="AU723" s="119"/>
      <c r="AV723" s="119"/>
      <c r="AW723" s="119"/>
      <c r="AX723" s="119"/>
      <c r="AY723" s="119"/>
      <c r="AZ723" s="119"/>
      <c r="BA723" s="119"/>
      <c r="BB723" s="119"/>
      <c r="BC723" s="119"/>
      <c r="BD723" s="119"/>
      <c r="BE723" s="119"/>
      <c r="BF723" s="119"/>
      <c r="BG723" s="119"/>
      <c r="BH723" s="119"/>
    </row>
    <row r="724" spans="1:60" ht="15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/>
      <c r="AM724" s="119"/>
      <c r="AN724" s="119"/>
      <c r="AO724" s="119"/>
      <c r="AP724" s="119"/>
      <c r="AQ724" s="119"/>
      <c r="AR724" s="119"/>
      <c r="AS724" s="119"/>
      <c r="AT724" s="119"/>
      <c r="AU724" s="119"/>
      <c r="AV724" s="119"/>
      <c r="AW724" s="119"/>
      <c r="AX724" s="119"/>
      <c r="AY724" s="119"/>
      <c r="AZ724" s="119"/>
      <c r="BA724" s="119"/>
      <c r="BB724" s="119"/>
      <c r="BC724" s="119"/>
      <c r="BD724" s="119"/>
      <c r="BE724" s="119"/>
      <c r="BF724" s="119"/>
      <c r="BG724" s="119"/>
      <c r="BH724" s="119"/>
    </row>
    <row r="725" spans="1:60" ht="15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  <c r="AL725" s="119"/>
      <c r="AM725" s="119"/>
      <c r="AN725" s="119"/>
      <c r="AO725" s="119"/>
      <c r="AP725" s="119"/>
      <c r="AQ725" s="119"/>
      <c r="AR725" s="119"/>
      <c r="AS725" s="119"/>
      <c r="AT725" s="119"/>
      <c r="AU725" s="119"/>
      <c r="AV725" s="119"/>
      <c r="AW725" s="119"/>
      <c r="AX725" s="119"/>
      <c r="AY725" s="119"/>
      <c r="AZ725" s="119"/>
      <c r="BA725" s="119"/>
      <c r="BB725" s="119"/>
      <c r="BC725" s="119"/>
      <c r="BD725" s="119"/>
      <c r="BE725" s="119"/>
      <c r="BF725" s="119"/>
      <c r="BG725" s="119"/>
      <c r="BH725" s="119"/>
    </row>
    <row r="726" spans="1:60" ht="15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  <c r="AL726" s="119"/>
      <c r="AM726" s="119"/>
      <c r="AN726" s="119"/>
      <c r="AO726" s="119"/>
      <c r="AP726" s="119"/>
      <c r="AQ726" s="119"/>
      <c r="AR726" s="119"/>
      <c r="AS726" s="119"/>
      <c r="AT726" s="119"/>
      <c r="AU726" s="119"/>
      <c r="AV726" s="119"/>
      <c r="AW726" s="119"/>
      <c r="AX726" s="119"/>
      <c r="AY726" s="119"/>
      <c r="AZ726" s="119"/>
      <c r="BA726" s="119"/>
      <c r="BB726" s="119"/>
      <c r="BC726" s="119"/>
      <c r="BD726" s="119"/>
      <c r="BE726" s="119"/>
      <c r="BF726" s="119"/>
      <c r="BG726" s="119"/>
      <c r="BH726" s="119"/>
    </row>
    <row r="727" spans="1:60" ht="15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  <c r="AL727" s="119"/>
      <c r="AM727" s="119"/>
      <c r="AN727" s="119"/>
      <c r="AO727" s="119"/>
      <c r="AP727" s="119"/>
      <c r="AQ727" s="119"/>
      <c r="AR727" s="119"/>
      <c r="AS727" s="119"/>
      <c r="AT727" s="119"/>
      <c r="AU727" s="119"/>
      <c r="AV727" s="119"/>
      <c r="AW727" s="119"/>
      <c r="AX727" s="119"/>
      <c r="AY727" s="119"/>
      <c r="AZ727" s="119"/>
      <c r="BA727" s="119"/>
      <c r="BB727" s="119"/>
      <c r="BC727" s="119"/>
      <c r="BD727" s="119"/>
      <c r="BE727" s="119"/>
      <c r="BF727" s="119"/>
      <c r="BG727" s="119"/>
      <c r="BH727" s="119"/>
    </row>
    <row r="728" spans="1:60" ht="15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  <c r="AL728" s="119"/>
      <c r="AM728" s="119"/>
      <c r="AN728" s="119"/>
      <c r="AO728" s="119"/>
      <c r="AP728" s="119"/>
      <c r="AQ728" s="119"/>
      <c r="AR728" s="119"/>
      <c r="AS728" s="119"/>
      <c r="AT728" s="119"/>
      <c r="AU728" s="119"/>
      <c r="AV728" s="119"/>
      <c r="AW728" s="119"/>
      <c r="AX728" s="119"/>
      <c r="AY728" s="119"/>
      <c r="AZ728" s="119"/>
      <c r="BA728" s="119"/>
      <c r="BB728" s="119"/>
      <c r="BC728" s="119"/>
      <c r="BD728" s="119"/>
      <c r="BE728" s="119"/>
      <c r="BF728" s="119"/>
      <c r="BG728" s="119"/>
      <c r="BH728" s="119"/>
    </row>
    <row r="729" spans="1:60" ht="15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  <c r="AL729" s="119"/>
      <c r="AM729" s="119"/>
      <c r="AN729" s="119"/>
      <c r="AO729" s="119"/>
      <c r="AP729" s="119"/>
      <c r="AQ729" s="119"/>
      <c r="AR729" s="119"/>
      <c r="AS729" s="119"/>
      <c r="AT729" s="119"/>
      <c r="AU729" s="119"/>
      <c r="AV729" s="119"/>
      <c r="AW729" s="119"/>
      <c r="AX729" s="119"/>
      <c r="AY729" s="119"/>
      <c r="AZ729" s="119"/>
      <c r="BA729" s="119"/>
      <c r="BB729" s="119"/>
      <c r="BC729" s="119"/>
      <c r="BD729" s="119"/>
      <c r="BE729" s="119"/>
      <c r="BF729" s="119"/>
      <c r="BG729" s="119"/>
      <c r="BH729" s="119"/>
    </row>
    <row r="730" spans="1:60" ht="15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  <c r="AL730" s="119"/>
      <c r="AM730" s="119"/>
      <c r="AN730" s="119"/>
      <c r="AO730" s="119"/>
      <c r="AP730" s="119"/>
      <c r="AQ730" s="119"/>
      <c r="AR730" s="119"/>
      <c r="AS730" s="119"/>
      <c r="AT730" s="119"/>
      <c r="AU730" s="119"/>
      <c r="AV730" s="119"/>
      <c r="AW730" s="119"/>
      <c r="AX730" s="119"/>
      <c r="AY730" s="119"/>
      <c r="AZ730" s="119"/>
      <c r="BA730" s="119"/>
      <c r="BB730" s="119"/>
      <c r="BC730" s="119"/>
      <c r="BD730" s="119"/>
      <c r="BE730" s="119"/>
      <c r="BF730" s="119"/>
      <c r="BG730" s="119"/>
      <c r="BH730" s="119"/>
    </row>
    <row r="731" spans="1:60" ht="15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  <c r="AL731" s="119"/>
      <c r="AM731" s="119"/>
      <c r="AN731" s="119"/>
      <c r="AO731" s="119"/>
      <c r="AP731" s="119"/>
      <c r="AQ731" s="119"/>
      <c r="AR731" s="119"/>
      <c r="AS731" s="119"/>
      <c r="AT731" s="119"/>
      <c r="AU731" s="119"/>
      <c r="AV731" s="119"/>
      <c r="AW731" s="119"/>
      <c r="AX731" s="119"/>
      <c r="AY731" s="119"/>
      <c r="AZ731" s="119"/>
      <c r="BA731" s="119"/>
      <c r="BB731" s="119"/>
      <c r="BC731" s="119"/>
      <c r="BD731" s="119"/>
      <c r="BE731" s="119"/>
      <c r="BF731" s="119"/>
      <c r="BG731" s="119"/>
      <c r="BH731" s="119"/>
    </row>
    <row r="732" spans="1:60" ht="15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  <c r="AL732" s="119"/>
      <c r="AM732" s="119"/>
      <c r="AN732" s="119"/>
      <c r="AO732" s="119"/>
      <c r="AP732" s="119"/>
      <c r="AQ732" s="119"/>
      <c r="AR732" s="119"/>
      <c r="AS732" s="119"/>
      <c r="AT732" s="119"/>
      <c r="AU732" s="119"/>
      <c r="AV732" s="119"/>
      <c r="AW732" s="119"/>
      <c r="AX732" s="119"/>
      <c r="AY732" s="119"/>
      <c r="AZ732" s="119"/>
      <c r="BA732" s="119"/>
      <c r="BB732" s="119"/>
      <c r="BC732" s="119"/>
      <c r="BD732" s="119"/>
      <c r="BE732" s="119"/>
      <c r="BF732" s="119"/>
      <c r="BG732" s="119"/>
      <c r="BH732" s="119"/>
    </row>
    <row r="733" spans="1:60" ht="15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/>
      <c r="AM733" s="119"/>
      <c r="AN733" s="119"/>
      <c r="AO733" s="119"/>
      <c r="AP733" s="119"/>
      <c r="AQ733" s="119"/>
      <c r="AR733" s="119"/>
      <c r="AS733" s="119"/>
      <c r="AT733" s="119"/>
      <c r="AU733" s="119"/>
      <c r="AV733" s="119"/>
      <c r="AW733" s="119"/>
      <c r="AX733" s="119"/>
      <c r="AY733" s="119"/>
      <c r="AZ733" s="119"/>
      <c r="BA733" s="119"/>
      <c r="BB733" s="119"/>
      <c r="BC733" s="119"/>
      <c r="BD733" s="119"/>
      <c r="BE733" s="119"/>
      <c r="BF733" s="119"/>
      <c r="BG733" s="119"/>
      <c r="BH733" s="119"/>
    </row>
    <row r="734" spans="1:60" ht="15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  <c r="AL734" s="119"/>
      <c r="AM734" s="119"/>
      <c r="AN734" s="119"/>
      <c r="AO734" s="119"/>
      <c r="AP734" s="119"/>
      <c r="AQ734" s="119"/>
      <c r="AR734" s="119"/>
      <c r="AS734" s="119"/>
      <c r="AT734" s="119"/>
      <c r="AU734" s="119"/>
      <c r="AV734" s="119"/>
      <c r="AW734" s="119"/>
      <c r="AX734" s="119"/>
      <c r="AY734" s="119"/>
      <c r="AZ734" s="119"/>
      <c r="BA734" s="119"/>
      <c r="BB734" s="119"/>
      <c r="BC734" s="119"/>
      <c r="BD734" s="119"/>
      <c r="BE734" s="119"/>
      <c r="BF734" s="119"/>
      <c r="BG734" s="119"/>
      <c r="BH734" s="119"/>
    </row>
    <row r="735" spans="1:60" ht="15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  <c r="AL735" s="119"/>
      <c r="AM735" s="119"/>
      <c r="AN735" s="119"/>
      <c r="AO735" s="119"/>
      <c r="AP735" s="119"/>
      <c r="AQ735" s="119"/>
      <c r="AR735" s="119"/>
      <c r="AS735" s="119"/>
      <c r="AT735" s="119"/>
      <c r="AU735" s="119"/>
      <c r="AV735" s="119"/>
      <c r="AW735" s="119"/>
      <c r="AX735" s="119"/>
      <c r="AY735" s="119"/>
      <c r="AZ735" s="119"/>
      <c r="BA735" s="119"/>
      <c r="BB735" s="119"/>
      <c r="BC735" s="119"/>
      <c r="BD735" s="119"/>
      <c r="BE735" s="119"/>
      <c r="BF735" s="119"/>
      <c r="BG735" s="119"/>
      <c r="BH735" s="119"/>
    </row>
    <row r="736" spans="1:60" ht="15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  <c r="AL736" s="119"/>
      <c r="AM736" s="119"/>
      <c r="AN736" s="119"/>
      <c r="AO736" s="119"/>
      <c r="AP736" s="119"/>
      <c r="AQ736" s="119"/>
      <c r="AR736" s="119"/>
      <c r="AS736" s="119"/>
      <c r="AT736" s="119"/>
      <c r="AU736" s="119"/>
      <c r="AV736" s="119"/>
      <c r="AW736" s="119"/>
      <c r="AX736" s="119"/>
      <c r="AY736" s="119"/>
      <c r="AZ736" s="119"/>
      <c r="BA736" s="119"/>
      <c r="BB736" s="119"/>
      <c r="BC736" s="119"/>
      <c r="BD736" s="119"/>
      <c r="BE736" s="119"/>
      <c r="BF736" s="119"/>
      <c r="BG736" s="119"/>
      <c r="BH736" s="119"/>
    </row>
    <row r="737" spans="1:60" ht="15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  <c r="AL737" s="119"/>
      <c r="AM737" s="119"/>
      <c r="AN737" s="119"/>
      <c r="AO737" s="119"/>
      <c r="AP737" s="119"/>
      <c r="AQ737" s="119"/>
      <c r="AR737" s="119"/>
      <c r="AS737" s="119"/>
      <c r="AT737" s="119"/>
      <c r="AU737" s="119"/>
      <c r="AV737" s="119"/>
      <c r="AW737" s="119"/>
      <c r="AX737" s="119"/>
      <c r="AY737" s="119"/>
      <c r="AZ737" s="119"/>
      <c r="BA737" s="119"/>
      <c r="BB737" s="119"/>
      <c r="BC737" s="119"/>
      <c r="BD737" s="119"/>
      <c r="BE737" s="119"/>
      <c r="BF737" s="119"/>
      <c r="BG737" s="119"/>
      <c r="BH737" s="119"/>
    </row>
    <row r="738" spans="1:60" ht="15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  <c r="AL738" s="119"/>
      <c r="AM738" s="119"/>
      <c r="AN738" s="119"/>
      <c r="AO738" s="119"/>
      <c r="AP738" s="119"/>
      <c r="AQ738" s="119"/>
      <c r="AR738" s="119"/>
      <c r="AS738" s="119"/>
      <c r="AT738" s="119"/>
      <c r="AU738" s="119"/>
      <c r="AV738" s="119"/>
      <c r="AW738" s="119"/>
      <c r="AX738" s="119"/>
      <c r="AY738" s="119"/>
      <c r="AZ738" s="119"/>
      <c r="BA738" s="119"/>
      <c r="BB738" s="119"/>
      <c r="BC738" s="119"/>
      <c r="BD738" s="119"/>
      <c r="BE738" s="119"/>
      <c r="BF738" s="119"/>
      <c r="BG738" s="119"/>
      <c r="BH738" s="119"/>
    </row>
    <row r="739" spans="1:60" ht="15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  <c r="AL739" s="119"/>
      <c r="AM739" s="119"/>
      <c r="AN739" s="119"/>
      <c r="AO739" s="119"/>
      <c r="AP739" s="119"/>
      <c r="AQ739" s="119"/>
      <c r="AR739" s="119"/>
      <c r="AS739" s="119"/>
      <c r="AT739" s="119"/>
      <c r="AU739" s="119"/>
      <c r="AV739" s="119"/>
      <c r="AW739" s="119"/>
      <c r="AX739" s="119"/>
      <c r="AY739" s="119"/>
      <c r="AZ739" s="119"/>
      <c r="BA739" s="119"/>
      <c r="BB739" s="119"/>
      <c r="BC739" s="119"/>
      <c r="BD739" s="119"/>
      <c r="BE739" s="119"/>
      <c r="BF739" s="119"/>
      <c r="BG739" s="119"/>
      <c r="BH739" s="119"/>
    </row>
    <row r="740" spans="1:60" ht="15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  <c r="AL740" s="119"/>
      <c r="AM740" s="119"/>
      <c r="AN740" s="119"/>
      <c r="AO740" s="119"/>
      <c r="AP740" s="119"/>
      <c r="AQ740" s="119"/>
      <c r="AR740" s="119"/>
      <c r="AS740" s="119"/>
      <c r="AT740" s="119"/>
      <c r="AU740" s="119"/>
      <c r="AV740" s="119"/>
      <c r="AW740" s="119"/>
      <c r="AX740" s="119"/>
      <c r="AY740" s="119"/>
      <c r="AZ740" s="119"/>
      <c r="BA740" s="119"/>
      <c r="BB740" s="119"/>
      <c r="BC740" s="119"/>
      <c r="BD740" s="119"/>
      <c r="BE740" s="119"/>
      <c r="BF740" s="119"/>
      <c r="BG740" s="119"/>
      <c r="BH740" s="119"/>
    </row>
    <row r="741" spans="1:60" ht="15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  <c r="AL741" s="119"/>
      <c r="AM741" s="119"/>
      <c r="AN741" s="119"/>
      <c r="AO741" s="119"/>
      <c r="AP741" s="119"/>
      <c r="AQ741" s="119"/>
      <c r="AR741" s="119"/>
      <c r="AS741" s="119"/>
      <c r="AT741" s="119"/>
      <c r="AU741" s="119"/>
      <c r="AV741" s="119"/>
      <c r="AW741" s="119"/>
      <c r="AX741" s="119"/>
      <c r="AY741" s="119"/>
      <c r="AZ741" s="119"/>
      <c r="BA741" s="119"/>
      <c r="BB741" s="119"/>
      <c r="BC741" s="119"/>
      <c r="BD741" s="119"/>
      <c r="BE741" s="119"/>
      <c r="BF741" s="119"/>
      <c r="BG741" s="119"/>
      <c r="BH741" s="119"/>
    </row>
    <row r="742" spans="1:60" ht="15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  <c r="AL742" s="119"/>
      <c r="AM742" s="119"/>
      <c r="AN742" s="119"/>
      <c r="AO742" s="119"/>
      <c r="AP742" s="119"/>
      <c r="AQ742" s="119"/>
      <c r="AR742" s="119"/>
      <c r="AS742" s="119"/>
      <c r="AT742" s="119"/>
      <c r="AU742" s="119"/>
      <c r="AV742" s="119"/>
      <c r="AW742" s="119"/>
      <c r="AX742" s="119"/>
      <c r="AY742" s="119"/>
      <c r="AZ742" s="119"/>
      <c r="BA742" s="119"/>
      <c r="BB742" s="119"/>
      <c r="BC742" s="119"/>
      <c r="BD742" s="119"/>
      <c r="BE742" s="119"/>
      <c r="BF742" s="119"/>
      <c r="BG742" s="119"/>
      <c r="BH742" s="119"/>
    </row>
    <row r="743" spans="1:60" ht="15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  <c r="AL743" s="119"/>
      <c r="AM743" s="119"/>
      <c r="AN743" s="119"/>
      <c r="AO743" s="119"/>
      <c r="AP743" s="119"/>
      <c r="AQ743" s="119"/>
      <c r="AR743" s="119"/>
      <c r="AS743" s="119"/>
      <c r="AT743" s="119"/>
      <c r="AU743" s="119"/>
      <c r="AV743" s="119"/>
      <c r="AW743" s="119"/>
      <c r="AX743" s="119"/>
      <c r="AY743" s="119"/>
      <c r="AZ743" s="119"/>
      <c r="BA743" s="119"/>
      <c r="BB743" s="119"/>
      <c r="BC743" s="119"/>
      <c r="BD743" s="119"/>
      <c r="BE743" s="119"/>
      <c r="BF743" s="119"/>
      <c r="BG743" s="119"/>
      <c r="BH743" s="119"/>
    </row>
    <row r="744" spans="1:60" ht="15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  <c r="AL744" s="119"/>
      <c r="AM744" s="119"/>
      <c r="AN744" s="119"/>
      <c r="AO744" s="119"/>
      <c r="AP744" s="119"/>
      <c r="AQ744" s="119"/>
      <c r="AR744" s="119"/>
      <c r="AS744" s="119"/>
      <c r="AT744" s="119"/>
      <c r="AU744" s="119"/>
      <c r="AV744" s="119"/>
      <c r="AW744" s="119"/>
      <c r="AX744" s="119"/>
      <c r="AY744" s="119"/>
      <c r="AZ744" s="119"/>
      <c r="BA744" s="119"/>
      <c r="BB744" s="119"/>
      <c r="BC744" s="119"/>
      <c r="BD744" s="119"/>
      <c r="BE744" s="119"/>
      <c r="BF744" s="119"/>
      <c r="BG744" s="119"/>
      <c r="BH744" s="119"/>
    </row>
    <row r="745" spans="1:60" ht="15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  <c r="AL745" s="119"/>
      <c r="AM745" s="119"/>
      <c r="AN745" s="119"/>
      <c r="AO745" s="119"/>
      <c r="AP745" s="119"/>
      <c r="AQ745" s="119"/>
      <c r="AR745" s="119"/>
      <c r="AS745" s="119"/>
      <c r="AT745" s="119"/>
      <c r="AU745" s="119"/>
      <c r="AV745" s="119"/>
      <c r="AW745" s="119"/>
      <c r="AX745" s="119"/>
      <c r="AY745" s="119"/>
      <c r="AZ745" s="119"/>
      <c r="BA745" s="119"/>
      <c r="BB745" s="119"/>
      <c r="BC745" s="119"/>
      <c r="BD745" s="119"/>
      <c r="BE745" s="119"/>
      <c r="BF745" s="119"/>
      <c r="BG745" s="119"/>
      <c r="BH745" s="119"/>
    </row>
    <row r="746" spans="1:60" ht="15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  <c r="AL746" s="119"/>
      <c r="AM746" s="119"/>
      <c r="AN746" s="119"/>
      <c r="AO746" s="119"/>
      <c r="AP746" s="119"/>
      <c r="AQ746" s="119"/>
      <c r="AR746" s="119"/>
      <c r="AS746" s="119"/>
      <c r="AT746" s="119"/>
      <c r="AU746" s="119"/>
      <c r="AV746" s="119"/>
      <c r="AW746" s="119"/>
      <c r="AX746" s="119"/>
      <c r="AY746" s="119"/>
      <c r="AZ746" s="119"/>
      <c r="BA746" s="119"/>
      <c r="BB746" s="119"/>
      <c r="BC746" s="119"/>
      <c r="BD746" s="119"/>
      <c r="BE746" s="119"/>
      <c r="BF746" s="119"/>
      <c r="BG746" s="119"/>
      <c r="BH746" s="119"/>
    </row>
    <row r="747" spans="1:60" ht="15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  <c r="AL747" s="119"/>
      <c r="AM747" s="119"/>
      <c r="AN747" s="119"/>
      <c r="AO747" s="119"/>
      <c r="AP747" s="119"/>
      <c r="AQ747" s="119"/>
      <c r="AR747" s="119"/>
      <c r="AS747" s="119"/>
      <c r="AT747" s="119"/>
      <c r="AU747" s="119"/>
      <c r="AV747" s="119"/>
      <c r="AW747" s="119"/>
      <c r="AX747" s="119"/>
      <c r="AY747" s="119"/>
      <c r="AZ747" s="119"/>
      <c r="BA747" s="119"/>
      <c r="BB747" s="119"/>
      <c r="BC747" s="119"/>
      <c r="BD747" s="119"/>
      <c r="BE747" s="119"/>
      <c r="BF747" s="119"/>
      <c r="BG747" s="119"/>
      <c r="BH747" s="119"/>
    </row>
    <row r="748" spans="1:60" ht="15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  <c r="AL748" s="119"/>
      <c r="AM748" s="119"/>
      <c r="AN748" s="119"/>
      <c r="AO748" s="119"/>
      <c r="AP748" s="119"/>
      <c r="AQ748" s="119"/>
      <c r="AR748" s="119"/>
      <c r="AS748" s="119"/>
      <c r="AT748" s="119"/>
      <c r="AU748" s="119"/>
      <c r="AV748" s="119"/>
      <c r="AW748" s="119"/>
      <c r="AX748" s="119"/>
      <c r="AY748" s="119"/>
      <c r="AZ748" s="119"/>
      <c r="BA748" s="119"/>
      <c r="BB748" s="119"/>
      <c r="BC748" s="119"/>
      <c r="BD748" s="119"/>
      <c r="BE748" s="119"/>
      <c r="BF748" s="119"/>
      <c r="BG748" s="119"/>
      <c r="BH748" s="119"/>
    </row>
    <row r="749" spans="1:60" ht="15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  <c r="AL749" s="119"/>
      <c r="AM749" s="119"/>
      <c r="AN749" s="119"/>
      <c r="AO749" s="119"/>
      <c r="AP749" s="119"/>
      <c r="AQ749" s="119"/>
      <c r="AR749" s="119"/>
      <c r="AS749" s="119"/>
      <c r="AT749" s="119"/>
      <c r="AU749" s="119"/>
      <c r="AV749" s="119"/>
      <c r="AW749" s="119"/>
      <c r="AX749" s="119"/>
      <c r="AY749" s="119"/>
      <c r="AZ749" s="119"/>
      <c r="BA749" s="119"/>
      <c r="BB749" s="119"/>
      <c r="BC749" s="119"/>
      <c r="BD749" s="119"/>
      <c r="BE749" s="119"/>
      <c r="BF749" s="119"/>
      <c r="BG749" s="119"/>
      <c r="BH749" s="119"/>
    </row>
    <row r="750" spans="1:60" ht="15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  <c r="AL750" s="119"/>
      <c r="AM750" s="119"/>
      <c r="AN750" s="119"/>
      <c r="AO750" s="119"/>
      <c r="AP750" s="119"/>
      <c r="AQ750" s="119"/>
      <c r="AR750" s="119"/>
      <c r="AS750" s="119"/>
      <c r="AT750" s="119"/>
      <c r="AU750" s="119"/>
      <c r="AV750" s="119"/>
      <c r="AW750" s="119"/>
      <c r="AX750" s="119"/>
      <c r="AY750" s="119"/>
      <c r="AZ750" s="119"/>
      <c r="BA750" s="119"/>
      <c r="BB750" s="119"/>
      <c r="BC750" s="119"/>
      <c r="BD750" s="119"/>
      <c r="BE750" s="119"/>
      <c r="BF750" s="119"/>
      <c r="BG750" s="119"/>
      <c r="BH750" s="119"/>
    </row>
    <row r="751" spans="1:60" ht="15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  <c r="AN751" s="119"/>
      <c r="AO751" s="119"/>
      <c r="AP751" s="119"/>
      <c r="AQ751" s="119"/>
      <c r="AR751" s="119"/>
      <c r="AS751" s="119"/>
      <c r="AT751" s="119"/>
      <c r="AU751" s="119"/>
      <c r="AV751" s="119"/>
      <c r="AW751" s="119"/>
      <c r="AX751" s="119"/>
      <c r="AY751" s="119"/>
      <c r="AZ751" s="119"/>
      <c r="BA751" s="119"/>
      <c r="BB751" s="119"/>
      <c r="BC751" s="119"/>
      <c r="BD751" s="119"/>
      <c r="BE751" s="119"/>
      <c r="BF751" s="119"/>
      <c r="BG751" s="119"/>
      <c r="BH751" s="119"/>
    </row>
    <row r="752" spans="1:60" ht="15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  <c r="AN752" s="119"/>
      <c r="AO752" s="119"/>
      <c r="AP752" s="119"/>
      <c r="AQ752" s="119"/>
      <c r="AR752" s="119"/>
      <c r="AS752" s="119"/>
      <c r="AT752" s="119"/>
      <c r="AU752" s="119"/>
      <c r="AV752" s="119"/>
      <c r="AW752" s="119"/>
      <c r="AX752" s="119"/>
      <c r="AY752" s="119"/>
      <c r="AZ752" s="119"/>
      <c r="BA752" s="119"/>
      <c r="BB752" s="119"/>
      <c r="BC752" s="119"/>
      <c r="BD752" s="119"/>
      <c r="BE752" s="119"/>
      <c r="BF752" s="119"/>
      <c r="BG752" s="119"/>
      <c r="BH752" s="119"/>
    </row>
    <row r="753" spans="1:60" ht="15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  <c r="AN753" s="119"/>
      <c r="AO753" s="119"/>
      <c r="AP753" s="119"/>
      <c r="AQ753" s="119"/>
      <c r="AR753" s="119"/>
      <c r="AS753" s="119"/>
      <c r="AT753" s="119"/>
      <c r="AU753" s="119"/>
      <c r="AV753" s="119"/>
      <c r="AW753" s="119"/>
      <c r="AX753" s="119"/>
      <c r="AY753" s="119"/>
      <c r="AZ753" s="119"/>
      <c r="BA753" s="119"/>
      <c r="BB753" s="119"/>
      <c r="BC753" s="119"/>
      <c r="BD753" s="119"/>
      <c r="BE753" s="119"/>
      <c r="BF753" s="119"/>
      <c r="BG753" s="119"/>
      <c r="BH753" s="119"/>
    </row>
    <row r="754" spans="1:60" ht="15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  <c r="AN754" s="119"/>
      <c r="AO754" s="119"/>
      <c r="AP754" s="119"/>
      <c r="AQ754" s="119"/>
      <c r="AR754" s="119"/>
      <c r="AS754" s="119"/>
      <c r="AT754" s="119"/>
      <c r="AU754" s="119"/>
      <c r="AV754" s="119"/>
      <c r="AW754" s="119"/>
      <c r="AX754" s="119"/>
      <c r="AY754" s="119"/>
      <c r="AZ754" s="119"/>
      <c r="BA754" s="119"/>
      <c r="BB754" s="119"/>
      <c r="BC754" s="119"/>
      <c r="BD754" s="119"/>
      <c r="BE754" s="119"/>
      <c r="BF754" s="119"/>
      <c r="BG754" s="119"/>
      <c r="BH754" s="119"/>
    </row>
    <row r="755" spans="1:60" ht="15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  <c r="AL755" s="119"/>
      <c r="AM755" s="119"/>
      <c r="AN755" s="119"/>
      <c r="AO755" s="119"/>
      <c r="AP755" s="119"/>
      <c r="AQ755" s="119"/>
      <c r="AR755" s="119"/>
      <c r="AS755" s="119"/>
      <c r="AT755" s="119"/>
      <c r="AU755" s="119"/>
      <c r="AV755" s="119"/>
      <c r="AW755" s="119"/>
      <c r="AX755" s="119"/>
      <c r="AY755" s="119"/>
      <c r="AZ755" s="119"/>
      <c r="BA755" s="119"/>
      <c r="BB755" s="119"/>
      <c r="BC755" s="119"/>
      <c r="BD755" s="119"/>
      <c r="BE755" s="119"/>
      <c r="BF755" s="119"/>
      <c r="BG755" s="119"/>
      <c r="BH755" s="119"/>
    </row>
    <row r="756" spans="1:60" ht="15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  <c r="AN756" s="119"/>
      <c r="AO756" s="119"/>
      <c r="AP756" s="119"/>
      <c r="AQ756" s="119"/>
      <c r="AR756" s="119"/>
      <c r="AS756" s="119"/>
      <c r="AT756" s="119"/>
      <c r="AU756" s="119"/>
      <c r="AV756" s="119"/>
      <c r="AW756" s="119"/>
      <c r="AX756" s="119"/>
      <c r="AY756" s="119"/>
      <c r="AZ756" s="119"/>
      <c r="BA756" s="119"/>
      <c r="BB756" s="119"/>
      <c r="BC756" s="119"/>
      <c r="BD756" s="119"/>
      <c r="BE756" s="119"/>
      <c r="BF756" s="119"/>
      <c r="BG756" s="119"/>
      <c r="BH756" s="119"/>
    </row>
    <row r="757" spans="1:60" ht="15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  <c r="AN757" s="119"/>
      <c r="AO757" s="119"/>
      <c r="AP757" s="119"/>
      <c r="AQ757" s="119"/>
      <c r="AR757" s="119"/>
      <c r="AS757" s="119"/>
      <c r="AT757" s="119"/>
      <c r="AU757" s="119"/>
      <c r="AV757" s="119"/>
      <c r="AW757" s="119"/>
      <c r="AX757" s="119"/>
      <c r="AY757" s="119"/>
      <c r="AZ757" s="119"/>
      <c r="BA757" s="119"/>
      <c r="BB757" s="119"/>
      <c r="BC757" s="119"/>
      <c r="BD757" s="119"/>
      <c r="BE757" s="119"/>
      <c r="BF757" s="119"/>
      <c r="BG757" s="119"/>
      <c r="BH757" s="119"/>
    </row>
    <row r="758" spans="1:60" ht="15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  <c r="AL758" s="119"/>
      <c r="AM758" s="119"/>
      <c r="AN758" s="119"/>
      <c r="AO758" s="119"/>
      <c r="AP758" s="119"/>
      <c r="AQ758" s="119"/>
      <c r="AR758" s="119"/>
      <c r="AS758" s="119"/>
      <c r="AT758" s="119"/>
      <c r="AU758" s="119"/>
      <c r="AV758" s="119"/>
      <c r="AW758" s="119"/>
      <c r="AX758" s="119"/>
      <c r="AY758" s="119"/>
      <c r="AZ758" s="119"/>
      <c r="BA758" s="119"/>
      <c r="BB758" s="119"/>
      <c r="BC758" s="119"/>
      <c r="BD758" s="119"/>
      <c r="BE758" s="119"/>
      <c r="BF758" s="119"/>
      <c r="BG758" s="119"/>
      <c r="BH758" s="119"/>
    </row>
    <row r="759" spans="1:60" ht="15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  <c r="AL759" s="119"/>
      <c r="AM759" s="119"/>
      <c r="AN759" s="119"/>
      <c r="AO759" s="119"/>
      <c r="AP759" s="119"/>
      <c r="AQ759" s="119"/>
      <c r="AR759" s="119"/>
      <c r="AS759" s="119"/>
      <c r="AT759" s="119"/>
      <c r="AU759" s="119"/>
      <c r="AV759" s="119"/>
      <c r="AW759" s="119"/>
      <c r="AX759" s="119"/>
      <c r="AY759" s="119"/>
      <c r="AZ759" s="119"/>
      <c r="BA759" s="119"/>
      <c r="BB759" s="119"/>
      <c r="BC759" s="119"/>
      <c r="BD759" s="119"/>
      <c r="BE759" s="119"/>
      <c r="BF759" s="119"/>
      <c r="BG759" s="119"/>
      <c r="BH759" s="119"/>
    </row>
    <row r="760" spans="1:60" ht="15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  <c r="AL760" s="119"/>
      <c r="AM760" s="119"/>
      <c r="AN760" s="119"/>
      <c r="AO760" s="119"/>
      <c r="AP760" s="119"/>
      <c r="AQ760" s="119"/>
      <c r="AR760" s="119"/>
      <c r="AS760" s="119"/>
      <c r="AT760" s="119"/>
      <c r="AU760" s="119"/>
      <c r="AV760" s="119"/>
      <c r="AW760" s="119"/>
      <c r="AX760" s="119"/>
      <c r="AY760" s="119"/>
      <c r="AZ760" s="119"/>
      <c r="BA760" s="119"/>
      <c r="BB760" s="119"/>
      <c r="BC760" s="119"/>
      <c r="BD760" s="119"/>
      <c r="BE760" s="119"/>
      <c r="BF760" s="119"/>
      <c r="BG760" s="119"/>
      <c r="BH760" s="119"/>
    </row>
    <row r="761" spans="1:60" ht="15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  <c r="AL761" s="119"/>
      <c r="AM761" s="119"/>
      <c r="AN761" s="119"/>
      <c r="AO761" s="119"/>
      <c r="AP761" s="119"/>
      <c r="AQ761" s="119"/>
      <c r="AR761" s="119"/>
      <c r="AS761" s="119"/>
      <c r="AT761" s="119"/>
      <c r="AU761" s="119"/>
      <c r="AV761" s="119"/>
      <c r="AW761" s="119"/>
      <c r="AX761" s="119"/>
      <c r="AY761" s="119"/>
      <c r="AZ761" s="119"/>
      <c r="BA761" s="119"/>
      <c r="BB761" s="119"/>
      <c r="BC761" s="119"/>
      <c r="BD761" s="119"/>
      <c r="BE761" s="119"/>
      <c r="BF761" s="119"/>
      <c r="BG761" s="119"/>
      <c r="BH761" s="119"/>
    </row>
    <row r="762" spans="1:60" ht="15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  <c r="AL762" s="119"/>
      <c r="AM762" s="119"/>
      <c r="AN762" s="119"/>
      <c r="AO762" s="119"/>
      <c r="AP762" s="119"/>
      <c r="AQ762" s="119"/>
      <c r="AR762" s="119"/>
      <c r="AS762" s="119"/>
      <c r="AT762" s="119"/>
      <c r="AU762" s="119"/>
      <c r="AV762" s="119"/>
      <c r="AW762" s="119"/>
      <c r="AX762" s="119"/>
      <c r="AY762" s="119"/>
      <c r="AZ762" s="119"/>
      <c r="BA762" s="119"/>
      <c r="BB762" s="119"/>
      <c r="BC762" s="119"/>
      <c r="BD762" s="119"/>
      <c r="BE762" s="119"/>
      <c r="BF762" s="119"/>
      <c r="BG762" s="119"/>
      <c r="BH762" s="119"/>
    </row>
    <row r="763" spans="1:60" ht="15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  <c r="AL763" s="119"/>
      <c r="AM763" s="119"/>
      <c r="AN763" s="119"/>
      <c r="AO763" s="119"/>
      <c r="AP763" s="119"/>
      <c r="AQ763" s="119"/>
      <c r="AR763" s="119"/>
      <c r="AS763" s="119"/>
      <c r="AT763" s="119"/>
      <c r="AU763" s="119"/>
      <c r="AV763" s="119"/>
      <c r="AW763" s="119"/>
      <c r="AX763" s="119"/>
      <c r="AY763" s="119"/>
      <c r="AZ763" s="119"/>
      <c r="BA763" s="119"/>
      <c r="BB763" s="119"/>
      <c r="BC763" s="119"/>
      <c r="BD763" s="119"/>
      <c r="BE763" s="119"/>
      <c r="BF763" s="119"/>
      <c r="BG763" s="119"/>
      <c r="BH763" s="119"/>
    </row>
    <row r="764" spans="1:60" ht="15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  <c r="AL764" s="119"/>
      <c r="AM764" s="119"/>
      <c r="AN764" s="119"/>
      <c r="AO764" s="119"/>
      <c r="AP764" s="119"/>
      <c r="AQ764" s="119"/>
      <c r="AR764" s="119"/>
      <c r="AS764" s="119"/>
      <c r="AT764" s="119"/>
      <c r="AU764" s="119"/>
      <c r="AV764" s="119"/>
      <c r="AW764" s="119"/>
      <c r="AX764" s="119"/>
      <c r="AY764" s="119"/>
      <c r="AZ764" s="119"/>
      <c r="BA764" s="119"/>
      <c r="BB764" s="119"/>
      <c r="BC764" s="119"/>
      <c r="BD764" s="119"/>
      <c r="BE764" s="119"/>
      <c r="BF764" s="119"/>
      <c r="BG764" s="119"/>
      <c r="BH764" s="119"/>
    </row>
    <row r="765" spans="1:60" ht="15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  <c r="AL765" s="119"/>
      <c r="AM765" s="119"/>
      <c r="AN765" s="119"/>
      <c r="AO765" s="119"/>
      <c r="AP765" s="119"/>
      <c r="AQ765" s="119"/>
      <c r="AR765" s="119"/>
      <c r="AS765" s="119"/>
      <c r="AT765" s="119"/>
      <c r="AU765" s="119"/>
      <c r="AV765" s="119"/>
      <c r="AW765" s="119"/>
      <c r="AX765" s="119"/>
      <c r="AY765" s="119"/>
      <c r="AZ765" s="119"/>
      <c r="BA765" s="119"/>
      <c r="BB765" s="119"/>
      <c r="BC765" s="119"/>
      <c r="BD765" s="119"/>
      <c r="BE765" s="119"/>
      <c r="BF765" s="119"/>
      <c r="BG765" s="119"/>
      <c r="BH765" s="119"/>
    </row>
    <row r="766" spans="1:60" ht="15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  <c r="AL766" s="119"/>
      <c r="AM766" s="119"/>
      <c r="AN766" s="119"/>
      <c r="AO766" s="119"/>
      <c r="AP766" s="119"/>
      <c r="AQ766" s="119"/>
      <c r="AR766" s="119"/>
      <c r="AS766" s="119"/>
      <c r="AT766" s="119"/>
      <c r="AU766" s="119"/>
      <c r="AV766" s="119"/>
      <c r="AW766" s="119"/>
      <c r="AX766" s="119"/>
      <c r="AY766" s="119"/>
      <c r="AZ766" s="119"/>
      <c r="BA766" s="119"/>
      <c r="BB766" s="119"/>
      <c r="BC766" s="119"/>
      <c r="BD766" s="119"/>
      <c r="BE766" s="119"/>
      <c r="BF766" s="119"/>
      <c r="BG766" s="119"/>
      <c r="BH766" s="119"/>
    </row>
    <row r="767" spans="1:60" ht="15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  <c r="AN767" s="119"/>
      <c r="AO767" s="119"/>
      <c r="AP767" s="119"/>
      <c r="AQ767" s="119"/>
      <c r="AR767" s="119"/>
      <c r="AS767" s="119"/>
      <c r="AT767" s="119"/>
      <c r="AU767" s="119"/>
      <c r="AV767" s="119"/>
      <c r="AW767" s="119"/>
      <c r="AX767" s="119"/>
      <c r="AY767" s="119"/>
      <c r="AZ767" s="119"/>
      <c r="BA767" s="119"/>
      <c r="BB767" s="119"/>
      <c r="BC767" s="119"/>
      <c r="BD767" s="119"/>
      <c r="BE767" s="119"/>
      <c r="BF767" s="119"/>
      <c r="BG767" s="119"/>
      <c r="BH767" s="119"/>
    </row>
    <row r="768" spans="1:60" ht="15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  <c r="AL768" s="119"/>
      <c r="AM768" s="119"/>
      <c r="AN768" s="119"/>
      <c r="AO768" s="119"/>
      <c r="AP768" s="119"/>
      <c r="AQ768" s="119"/>
      <c r="AR768" s="119"/>
      <c r="AS768" s="119"/>
      <c r="AT768" s="119"/>
      <c r="AU768" s="119"/>
      <c r="AV768" s="119"/>
      <c r="AW768" s="119"/>
      <c r="AX768" s="119"/>
      <c r="AY768" s="119"/>
      <c r="AZ768" s="119"/>
      <c r="BA768" s="119"/>
      <c r="BB768" s="119"/>
      <c r="BC768" s="119"/>
      <c r="BD768" s="119"/>
      <c r="BE768" s="119"/>
      <c r="BF768" s="119"/>
      <c r="BG768" s="119"/>
      <c r="BH768" s="119"/>
    </row>
    <row r="769" spans="1:60" ht="15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  <c r="AL769" s="119"/>
      <c r="AM769" s="119"/>
      <c r="AN769" s="119"/>
      <c r="AO769" s="119"/>
      <c r="AP769" s="119"/>
      <c r="AQ769" s="119"/>
      <c r="AR769" s="119"/>
      <c r="AS769" s="119"/>
      <c r="AT769" s="119"/>
      <c r="AU769" s="119"/>
      <c r="AV769" s="119"/>
      <c r="AW769" s="119"/>
      <c r="AX769" s="119"/>
      <c r="AY769" s="119"/>
      <c r="AZ769" s="119"/>
      <c r="BA769" s="119"/>
      <c r="BB769" s="119"/>
      <c r="BC769" s="119"/>
      <c r="BD769" s="119"/>
      <c r="BE769" s="119"/>
      <c r="BF769" s="119"/>
      <c r="BG769" s="119"/>
      <c r="BH769" s="119"/>
    </row>
    <row r="770" spans="1:60" ht="15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  <c r="AL770" s="119"/>
      <c r="AM770" s="119"/>
      <c r="AN770" s="119"/>
      <c r="AO770" s="119"/>
      <c r="AP770" s="119"/>
      <c r="AQ770" s="119"/>
      <c r="AR770" s="119"/>
      <c r="AS770" s="119"/>
      <c r="AT770" s="119"/>
      <c r="AU770" s="119"/>
      <c r="AV770" s="119"/>
      <c r="AW770" s="119"/>
      <c r="AX770" s="119"/>
      <c r="AY770" s="119"/>
      <c r="AZ770" s="119"/>
      <c r="BA770" s="119"/>
      <c r="BB770" s="119"/>
      <c r="BC770" s="119"/>
      <c r="BD770" s="119"/>
      <c r="BE770" s="119"/>
      <c r="BF770" s="119"/>
      <c r="BG770" s="119"/>
      <c r="BH770" s="119"/>
    </row>
    <row r="771" spans="1:60" ht="15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  <c r="AL771" s="119"/>
      <c r="AM771" s="119"/>
      <c r="AN771" s="119"/>
      <c r="AO771" s="119"/>
      <c r="AP771" s="119"/>
      <c r="AQ771" s="119"/>
      <c r="AR771" s="119"/>
      <c r="AS771" s="119"/>
      <c r="AT771" s="119"/>
      <c r="AU771" s="119"/>
      <c r="AV771" s="119"/>
      <c r="AW771" s="119"/>
      <c r="AX771" s="119"/>
      <c r="AY771" s="119"/>
      <c r="AZ771" s="119"/>
      <c r="BA771" s="119"/>
      <c r="BB771" s="119"/>
      <c r="BC771" s="119"/>
      <c r="BD771" s="119"/>
      <c r="BE771" s="119"/>
      <c r="BF771" s="119"/>
      <c r="BG771" s="119"/>
      <c r="BH771" s="119"/>
    </row>
    <row r="772" spans="1:60" ht="15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  <c r="AL772" s="119"/>
      <c r="AM772" s="119"/>
      <c r="AN772" s="119"/>
      <c r="AO772" s="119"/>
      <c r="AP772" s="119"/>
      <c r="AQ772" s="119"/>
      <c r="AR772" s="119"/>
      <c r="AS772" s="119"/>
      <c r="AT772" s="119"/>
      <c r="AU772" s="119"/>
      <c r="AV772" s="119"/>
      <c r="AW772" s="119"/>
      <c r="AX772" s="119"/>
      <c r="AY772" s="119"/>
      <c r="AZ772" s="119"/>
      <c r="BA772" s="119"/>
      <c r="BB772" s="119"/>
      <c r="BC772" s="119"/>
      <c r="BD772" s="119"/>
      <c r="BE772" s="119"/>
      <c r="BF772" s="119"/>
      <c r="BG772" s="119"/>
      <c r="BH772" s="119"/>
    </row>
    <row r="773" spans="1:60" ht="15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  <c r="AL773" s="119"/>
      <c r="AM773" s="119"/>
      <c r="AN773" s="119"/>
      <c r="AO773" s="119"/>
      <c r="AP773" s="119"/>
      <c r="AQ773" s="119"/>
      <c r="AR773" s="119"/>
      <c r="AS773" s="119"/>
      <c r="AT773" s="119"/>
      <c r="AU773" s="119"/>
      <c r="AV773" s="119"/>
      <c r="AW773" s="119"/>
      <c r="AX773" s="119"/>
      <c r="AY773" s="119"/>
      <c r="AZ773" s="119"/>
      <c r="BA773" s="119"/>
      <c r="BB773" s="119"/>
      <c r="BC773" s="119"/>
      <c r="BD773" s="119"/>
      <c r="BE773" s="119"/>
      <c r="BF773" s="119"/>
      <c r="BG773" s="119"/>
      <c r="BH773" s="119"/>
    </row>
    <row r="774" spans="1:60" ht="15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  <c r="AL774" s="119"/>
      <c r="AM774" s="119"/>
      <c r="AN774" s="119"/>
      <c r="AO774" s="119"/>
      <c r="AP774" s="119"/>
      <c r="AQ774" s="119"/>
      <c r="AR774" s="119"/>
      <c r="AS774" s="119"/>
      <c r="AT774" s="119"/>
      <c r="AU774" s="119"/>
      <c r="AV774" s="119"/>
      <c r="AW774" s="119"/>
      <c r="AX774" s="119"/>
      <c r="AY774" s="119"/>
      <c r="AZ774" s="119"/>
      <c r="BA774" s="119"/>
      <c r="BB774" s="119"/>
      <c r="BC774" s="119"/>
      <c r="BD774" s="119"/>
      <c r="BE774" s="119"/>
      <c r="BF774" s="119"/>
      <c r="BG774" s="119"/>
      <c r="BH774" s="119"/>
    </row>
    <row r="775" spans="1:60" ht="15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  <c r="AL775" s="119"/>
      <c r="AM775" s="119"/>
      <c r="AN775" s="119"/>
      <c r="AO775" s="119"/>
      <c r="AP775" s="119"/>
      <c r="AQ775" s="119"/>
      <c r="AR775" s="119"/>
      <c r="AS775" s="119"/>
      <c r="AT775" s="119"/>
      <c r="AU775" s="119"/>
      <c r="AV775" s="119"/>
      <c r="AW775" s="119"/>
      <c r="AX775" s="119"/>
      <c r="AY775" s="119"/>
      <c r="AZ775" s="119"/>
      <c r="BA775" s="119"/>
      <c r="BB775" s="119"/>
      <c r="BC775" s="119"/>
      <c r="BD775" s="119"/>
      <c r="BE775" s="119"/>
      <c r="BF775" s="119"/>
      <c r="BG775" s="119"/>
      <c r="BH775" s="119"/>
    </row>
    <row r="776" spans="1:60" ht="15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  <c r="AL776" s="119"/>
      <c r="AM776" s="119"/>
      <c r="AN776" s="119"/>
      <c r="AO776" s="119"/>
      <c r="AP776" s="119"/>
      <c r="AQ776" s="119"/>
      <c r="AR776" s="119"/>
      <c r="AS776" s="119"/>
      <c r="AT776" s="119"/>
      <c r="AU776" s="119"/>
      <c r="AV776" s="119"/>
      <c r="AW776" s="119"/>
      <c r="AX776" s="119"/>
      <c r="AY776" s="119"/>
      <c r="AZ776" s="119"/>
      <c r="BA776" s="119"/>
      <c r="BB776" s="119"/>
      <c r="BC776" s="119"/>
      <c r="BD776" s="119"/>
      <c r="BE776" s="119"/>
      <c r="BF776" s="119"/>
      <c r="BG776" s="119"/>
      <c r="BH776" s="119"/>
    </row>
    <row r="777" spans="1:60" ht="15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  <c r="AL777" s="119"/>
      <c r="AM777" s="119"/>
      <c r="AN777" s="119"/>
      <c r="AO777" s="119"/>
      <c r="AP777" s="119"/>
      <c r="AQ777" s="119"/>
      <c r="AR777" s="119"/>
      <c r="AS777" s="119"/>
      <c r="AT777" s="119"/>
      <c r="AU777" s="119"/>
      <c r="AV777" s="119"/>
      <c r="AW777" s="119"/>
      <c r="AX777" s="119"/>
      <c r="AY777" s="119"/>
      <c r="AZ777" s="119"/>
      <c r="BA777" s="119"/>
      <c r="BB777" s="119"/>
      <c r="BC777" s="119"/>
      <c r="BD777" s="119"/>
      <c r="BE777" s="119"/>
      <c r="BF777" s="119"/>
      <c r="BG777" s="119"/>
      <c r="BH777" s="119"/>
    </row>
    <row r="778" spans="1:60" ht="15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  <c r="AL778" s="119"/>
      <c r="AM778" s="119"/>
      <c r="AN778" s="119"/>
      <c r="AO778" s="119"/>
      <c r="AP778" s="119"/>
      <c r="AQ778" s="119"/>
      <c r="AR778" s="119"/>
      <c r="AS778" s="119"/>
      <c r="AT778" s="119"/>
      <c r="AU778" s="119"/>
      <c r="AV778" s="119"/>
      <c r="AW778" s="119"/>
      <c r="AX778" s="119"/>
      <c r="AY778" s="119"/>
      <c r="AZ778" s="119"/>
      <c r="BA778" s="119"/>
      <c r="BB778" s="119"/>
      <c r="BC778" s="119"/>
      <c r="BD778" s="119"/>
      <c r="BE778" s="119"/>
      <c r="BF778" s="119"/>
      <c r="BG778" s="119"/>
      <c r="BH778" s="119"/>
    </row>
    <row r="779" spans="1:60" ht="15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  <c r="AL779" s="119"/>
      <c r="AM779" s="119"/>
      <c r="AN779" s="119"/>
      <c r="AO779" s="119"/>
      <c r="AP779" s="119"/>
      <c r="AQ779" s="119"/>
      <c r="AR779" s="119"/>
      <c r="AS779" s="119"/>
      <c r="AT779" s="119"/>
      <c r="AU779" s="119"/>
      <c r="AV779" s="119"/>
      <c r="AW779" s="119"/>
      <c r="AX779" s="119"/>
      <c r="AY779" s="119"/>
      <c r="AZ779" s="119"/>
      <c r="BA779" s="119"/>
      <c r="BB779" s="119"/>
      <c r="BC779" s="119"/>
      <c r="BD779" s="119"/>
      <c r="BE779" s="119"/>
      <c r="BF779" s="119"/>
      <c r="BG779" s="119"/>
      <c r="BH779" s="119"/>
    </row>
    <row r="780" spans="1:60" ht="15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  <c r="AL780" s="119"/>
      <c r="AM780" s="119"/>
      <c r="AN780" s="119"/>
      <c r="AO780" s="119"/>
      <c r="AP780" s="119"/>
      <c r="AQ780" s="119"/>
      <c r="AR780" s="119"/>
      <c r="AS780" s="119"/>
      <c r="AT780" s="119"/>
      <c r="AU780" s="119"/>
      <c r="AV780" s="119"/>
      <c r="AW780" s="119"/>
      <c r="AX780" s="119"/>
      <c r="AY780" s="119"/>
      <c r="AZ780" s="119"/>
      <c r="BA780" s="119"/>
      <c r="BB780" s="119"/>
      <c r="BC780" s="119"/>
      <c r="BD780" s="119"/>
      <c r="BE780" s="119"/>
      <c r="BF780" s="119"/>
      <c r="BG780" s="119"/>
      <c r="BH780" s="119"/>
    </row>
    <row r="781" spans="1:60" ht="15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  <c r="AL781" s="119"/>
      <c r="AM781" s="119"/>
      <c r="AN781" s="119"/>
      <c r="AO781" s="119"/>
      <c r="AP781" s="119"/>
      <c r="AQ781" s="119"/>
      <c r="AR781" s="119"/>
      <c r="AS781" s="119"/>
      <c r="AT781" s="119"/>
      <c r="AU781" s="119"/>
      <c r="AV781" s="119"/>
      <c r="AW781" s="119"/>
      <c r="AX781" s="119"/>
      <c r="AY781" s="119"/>
      <c r="AZ781" s="119"/>
      <c r="BA781" s="119"/>
      <c r="BB781" s="119"/>
      <c r="BC781" s="119"/>
      <c r="BD781" s="119"/>
      <c r="BE781" s="119"/>
      <c r="BF781" s="119"/>
      <c r="BG781" s="119"/>
      <c r="BH781" s="119"/>
    </row>
    <row r="782" spans="1:60" ht="15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  <c r="AL782" s="119"/>
      <c r="AM782" s="119"/>
      <c r="AN782" s="119"/>
      <c r="AO782" s="119"/>
      <c r="AP782" s="119"/>
      <c r="AQ782" s="119"/>
      <c r="AR782" s="119"/>
      <c r="AS782" s="119"/>
      <c r="AT782" s="119"/>
      <c r="AU782" s="119"/>
      <c r="AV782" s="119"/>
      <c r="AW782" s="119"/>
      <c r="AX782" s="119"/>
      <c r="AY782" s="119"/>
      <c r="AZ782" s="119"/>
      <c r="BA782" s="119"/>
      <c r="BB782" s="119"/>
      <c r="BC782" s="119"/>
      <c r="BD782" s="119"/>
      <c r="BE782" s="119"/>
      <c r="BF782" s="119"/>
      <c r="BG782" s="119"/>
      <c r="BH782" s="119"/>
    </row>
    <row r="783" spans="1:60" ht="15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  <c r="AL783" s="119"/>
      <c r="AM783" s="119"/>
      <c r="AN783" s="119"/>
      <c r="AO783" s="119"/>
      <c r="AP783" s="119"/>
      <c r="AQ783" s="119"/>
      <c r="AR783" s="119"/>
      <c r="AS783" s="119"/>
      <c r="AT783" s="119"/>
      <c r="AU783" s="119"/>
      <c r="AV783" s="119"/>
      <c r="AW783" s="119"/>
      <c r="AX783" s="119"/>
      <c r="AY783" s="119"/>
      <c r="AZ783" s="119"/>
      <c r="BA783" s="119"/>
      <c r="BB783" s="119"/>
      <c r="BC783" s="119"/>
      <c r="BD783" s="119"/>
      <c r="BE783" s="119"/>
      <c r="BF783" s="119"/>
      <c r="BG783" s="119"/>
      <c r="BH783" s="119"/>
    </row>
    <row r="784" spans="1:60" ht="15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  <c r="AL784" s="119"/>
      <c r="AM784" s="119"/>
      <c r="AN784" s="119"/>
      <c r="AO784" s="119"/>
      <c r="AP784" s="119"/>
      <c r="AQ784" s="119"/>
      <c r="AR784" s="119"/>
      <c r="AS784" s="119"/>
      <c r="AT784" s="119"/>
      <c r="AU784" s="119"/>
      <c r="AV784" s="119"/>
      <c r="AW784" s="119"/>
      <c r="AX784" s="119"/>
      <c r="AY784" s="119"/>
      <c r="AZ784" s="119"/>
      <c r="BA784" s="119"/>
      <c r="BB784" s="119"/>
      <c r="BC784" s="119"/>
      <c r="BD784" s="119"/>
      <c r="BE784" s="119"/>
      <c r="BF784" s="119"/>
      <c r="BG784" s="119"/>
      <c r="BH784" s="119"/>
    </row>
    <row r="785" spans="1:60" ht="15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  <c r="AL785" s="119"/>
      <c r="AM785" s="119"/>
      <c r="AN785" s="119"/>
      <c r="AO785" s="119"/>
      <c r="AP785" s="119"/>
      <c r="AQ785" s="119"/>
      <c r="AR785" s="119"/>
      <c r="AS785" s="119"/>
      <c r="AT785" s="119"/>
      <c r="AU785" s="119"/>
      <c r="AV785" s="119"/>
      <c r="AW785" s="119"/>
      <c r="AX785" s="119"/>
      <c r="AY785" s="119"/>
      <c r="AZ785" s="119"/>
      <c r="BA785" s="119"/>
      <c r="BB785" s="119"/>
      <c r="BC785" s="119"/>
      <c r="BD785" s="119"/>
      <c r="BE785" s="119"/>
      <c r="BF785" s="119"/>
      <c r="BG785" s="119"/>
      <c r="BH785" s="119"/>
    </row>
    <row r="786" spans="1:60" ht="15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  <c r="AL786" s="119"/>
      <c r="AM786" s="119"/>
      <c r="AN786" s="119"/>
      <c r="AO786" s="119"/>
      <c r="AP786" s="119"/>
      <c r="AQ786" s="119"/>
      <c r="AR786" s="119"/>
      <c r="AS786" s="119"/>
      <c r="AT786" s="119"/>
      <c r="AU786" s="119"/>
      <c r="AV786" s="119"/>
      <c r="AW786" s="119"/>
      <c r="AX786" s="119"/>
      <c r="AY786" s="119"/>
      <c r="AZ786" s="119"/>
      <c r="BA786" s="119"/>
      <c r="BB786" s="119"/>
      <c r="BC786" s="119"/>
      <c r="BD786" s="119"/>
      <c r="BE786" s="119"/>
      <c r="BF786" s="119"/>
      <c r="BG786" s="119"/>
      <c r="BH786" s="119"/>
    </row>
    <row r="787" spans="1:60" ht="15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  <c r="AL787" s="119"/>
      <c r="AM787" s="119"/>
      <c r="AN787" s="119"/>
      <c r="AO787" s="119"/>
      <c r="AP787" s="119"/>
      <c r="AQ787" s="119"/>
      <c r="AR787" s="119"/>
      <c r="AS787" s="119"/>
      <c r="AT787" s="119"/>
      <c r="AU787" s="119"/>
      <c r="AV787" s="119"/>
      <c r="AW787" s="119"/>
      <c r="AX787" s="119"/>
      <c r="AY787" s="119"/>
      <c r="AZ787" s="119"/>
      <c r="BA787" s="119"/>
      <c r="BB787" s="119"/>
      <c r="BC787" s="119"/>
      <c r="BD787" s="119"/>
      <c r="BE787" s="119"/>
      <c r="BF787" s="119"/>
      <c r="BG787" s="119"/>
      <c r="BH787" s="119"/>
    </row>
    <row r="788" spans="1:60" ht="15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  <c r="AL788" s="119"/>
      <c r="AM788" s="119"/>
      <c r="AN788" s="119"/>
      <c r="AO788" s="119"/>
      <c r="AP788" s="119"/>
      <c r="AQ788" s="119"/>
      <c r="AR788" s="119"/>
      <c r="AS788" s="119"/>
      <c r="AT788" s="119"/>
      <c r="AU788" s="119"/>
      <c r="AV788" s="119"/>
      <c r="AW788" s="119"/>
      <c r="AX788" s="119"/>
      <c r="AY788" s="119"/>
      <c r="AZ788" s="119"/>
      <c r="BA788" s="119"/>
      <c r="BB788" s="119"/>
      <c r="BC788" s="119"/>
      <c r="BD788" s="119"/>
      <c r="BE788" s="119"/>
      <c r="BF788" s="119"/>
      <c r="BG788" s="119"/>
      <c r="BH788" s="119"/>
    </row>
    <row r="789" spans="1:60" ht="15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  <c r="AL789" s="119"/>
      <c r="AM789" s="119"/>
      <c r="AN789" s="119"/>
      <c r="AO789" s="119"/>
      <c r="AP789" s="119"/>
      <c r="AQ789" s="119"/>
      <c r="AR789" s="119"/>
      <c r="AS789" s="119"/>
      <c r="AT789" s="119"/>
      <c r="AU789" s="119"/>
      <c r="AV789" s="119"/>
      <c r="AW789" s="119"/>
      <c r="AX789" s="119"/>
      <c r="AY789" s="119"/>
      <c r="AZ789" s="119"/>
      <c r="BA789" s="119"/>
      <c r="BB789" s="119"/>
      <c r="BC789" s="119"/>
      <c r="BD789" s="119"/>
      <c r="BE789" s="119"/>
      <c r="BF789" s="119"/>
      <c r="BG789" s="119"/>
      <c r="BH789" s="119"/>
    </row>
    <row r="790" spans="1:60" ht="15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  <c r="AL790" s="119"/>
      <c r="AM790" s="119"/>
      <c r="AN790" s="119"/>
      <c r="AO790" s="119"/>
      <c r="AP790" s="119"/>
      <c r="AQ790" s="119"/>
      <c r="AR790" s="119"/>
      <c r="AS790" s="119"/>
      <c r="AT790" s="119"/>
      <c r="AU790" s="119"/>
      <c r="AV790" s="119"/>
      <c r="AW790" s="119"/>
      <c r="AX790" s="119"/>
      <c r="AY790" s="119"/>
      <c r="AZ790" s="119"/>
      <c r="BA790" s="119"/>
      <c r="BB790" s="119"/>
      <c r="BC790" s="119"/>
      <c r="BD790" s="119"/>
      <c r="BE790" s="119"/>
      <c r="BF790" s="119"/>
      <c r="BG790" s="119"/>
      <c r="BH790" s="119"/>
    </row>
    <row r="791" spans="1:60" ht="15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  <c r="AL791" s="119"/>
      <c r="AM791" s="119"/>
      <c r="AN791" s="119"/>
      <c r="AO791" s="119"/>
      <c r="AP791" s="119"/>
      <c r="AQ791" s="119"/>
      <c r="AR791" s="119"/>
      <c r="AS791" s="119"/>
      <c r="AT791" s="119"/>
      <c r="AU791" s="119"/>
      <c r="AV791" s="119"/>
      <c r="AW791" s="119"/>
      <c r="AX791" s="119"/>
      <c r="AY791" s="119"/>
      <c r="AZ791" s="119"/>
      <c r="BA791" s="119"/>
      <c r="BB791" s="119"/>
      <c r="BC791" s="119"/>
      <c r="BD791" s="119"/>
      <c r="BE791" s="119"/>
      <c r="BF791" s="119"/>
      <c r="BG791" s="119"/>
      <c r="BH791" s="119"/>
    </row>
    <row r="792" spans="1:60" ht="15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  <c r="AN792" s="119"/>
      <c r="AO792" s="119"/>
      <c r="AP792" s="119"/>
      <c r="AQ792" s="119"/>
      <c r="AR792" s="119"/>
      <c r="AS792" s="119"/>
      <c r="AT792" s="119"/>
      <c r="AU792" s="119"/>
      <c r="AV792" s="119"/>
      <c r="AW792" s="119"/>
      <c r="AX792" s="119"/>
      <c r="AY792" s="119"/>
      <c r="AZ792" s="119"/>
      <c r="BA792" s="119"/>
      <c r="BB792" s="119"/>
      <c r="BC792" s="119"/>
      <c r="BD792" s="119"/>
      <c r="BE792" s="119"/>
      <c r="BF792" s="119"/>
      <c r="BG792" s="119"/>
      <c r="BH792" s="119"/>
    </row>
    <row r="793" spans="1:60" ht="15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  <c r="AN793" s="119"/>
      <c r="AO793" s="119"/>
      <c r="AP793" s="119"/>
      <c r="AQ793" s="119"/>
      <c r="AR793" s="119"/>
      <c r="AS793" s="119"/>
      <c r="AT793" s="119"/>
      <c r="AU793" s="119"/>
      <c r="AV793" s="119"/>
      <c r="AW793" s="119"/>
      <c r="AX793" s="119"/>
      <c r="AY793" s="119"/>
      <c r="AZ793" s="119"/>
      <c r="BA793" s="119"/>
      <c r="BB793" s="119"/>
      <c r="BC793" s="119"/>
      <c r="BD793" s="119"/>
      <c r="BE793" s="119"/>
      <c r="BF793" s="119"/>
      <c r="BG793" s="119"/>
      <c r="BH793" s="119"/>
    </row>
    <row r="794" spans="1:60" ht="15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  <c r="AL794" s="119"/>
      <c r="AM794" s="119"/>
      <c r="AN794" s="119"/>
      <c r="AO794" s="119"/>
      <c r="AP794" s="119"/>
      <c r="AQ794" s="119"/>
      <c r="AR794" s="119"/>
      <c r="AS794" s="119"/>
      <c r="AT794" s="119"/>
      <c r="AU794" s="119"/>
      <c r="AV794" s="119"/>
      <c r="AW794" s="119"/>
      <c r="AX794" s="119"/>
      <c r="AY794" s="119"/>
      <c r="AZ794" s="119"/>
      <c r="BA794" s="119"/>
      <c r="BB794" s="119"/>
      <c r="BC794" s="119"/>
      <c r="BD794" s="119"/>
      <c r="BE794" s="119"/>
      <c r="BF794" s="119"/>
      <c r="BG794" s="119"/>
      <c r="BH794" s="119"/>
    </row>
    <row r="795" spans="1:60" ht="15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  <c r="AL795" s="119"/>
      <c r="AM795" s="119"/>
      <c r="AN795" s="119"/>
      <c r="AO795" s="119"/>
      <c r="AP795" s="119"/>
      <c r="AQ795" s="119"/>
      <c r="AR795" s="119"/>
      <c r="AS795" s="119"/>
      <c r="AT795" s="119"/>
      <c r="AU795" s="119"/>
      <c r="AV795" s="119"/>
      <c r="AW795" s="119"/>
      <c r="AX795" s="119"/>
      <c r="AY795" s="119"/>
      <c r="AZ795" s="119"/>
      <c r="BA795" s="119"/>
      <c r="BB795" s="119"/>
      <c r="BC795" s="119"/>
      <c r="BD795" s="119"/>
      <c r="BE795" s="119"/>
      <c r="BF795" s="119"/>
      <c r="BG795" s="119"/>
      <c r="BH795" s="119"/>
    </row>
    <row r="796" spans="1:60" ht="15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  <c r="AL796" s="119"/>
      <c r="AM796" s="119"/>
      <c r="AN796" s="119"/>
      <c r="AO796" s="119"/>
      <c r="AP796" s="119"/>
      <c r="AQ796" s="119"/>
      <c r="AR796" s="119"/>
      <c r="AS796" s="119"/>
      <c r="AT796" s="119"/>
      <c r="AU796" s="119"/>
      <c r="AV796" s="119"/>
      <c r="AW796" s="119"/>
      <c r="AX796" s="119"/>
      <c r="AY796" s="119"/>
      <c r="AZ796" s="119"/>
      <c r="BA796" s="119"/>
      <c r="BB796" s="119"/>
      <c r="BC796" s="119"/>
      <c r="BD796" s="119"/>
      <c r="BE796" s="119"/>
      <c r="BF796" s="119"/>
      <c r="BG796" s="119"/>
      <c r="BH796" s="119"/>
    </row>
    <row r="797" spans="1:60" ht="15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  <c r="AL797" s="119"/>
      <c r="AM797" s="119"/>
      <c r="AN797" s="119"/>
      <c r="AO797" s="119"/>
      <c r="AP797" s="119"/>
      <c r="AQ797" s="119"/>
      <c r="AR797" s="119"/>
      <c r="AS797" s="119"/>
      <c r="AT797" s="119"/>
      <c r="AU797" s="119"/>
      <c r="AV797" s="119"/>
      <c r="AW797" s="119"/>
      <c r="AX797" s="119"/>
      <c r="AY797" s="119"/>
      <c r="AZ797" s="119"/>
      <c r="BA797" s="119"/>
      <c r="BB797" s="119"/>
      <c r="BC797" s="119"/>
      <c r="BD797" s="119"/>
      <c r="BE797" s="119"/>
      <c r="BF797" s="119"/>
      <c r="BG797" s="119"/>
      <c r="BH797" s="119"/>
    </row>
    <row r="798" spans="1:60" ht="15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  <c r="AL798" s="119"/>
      <c r="AM798" s="119"/>
      <c r="AN798" s="119"/>
      <c r="AO798" s="119"/>
      <c r="AP798" s="119"/>
      <c r="AQ798" s="119"/>
      <c r="AR798" s="119"/>
      <c r="AS798" s="119"/>
      <c r="AT798" s="119"/>
      <c r="AU798" s="119"/>
      <c r="AV798" s="119"/>
      <c r="AW798" s="119"/>
      <c r="AX798" s="119"/>
      <c r="AY798" s="119"/>
      <c r="AZ798" s="119"/>
      <c r="BA798" s="119"/>
      <c r="BB798" s="119"/>
      <c r="BC798" s="119"/>
      <c r="BD798" s="119"/>
      <c r="BE798" s="119"/>
      <c r="BF798" s="119"/>
      <c r="BG798" s="119"/>
      <c r="BH798" s="119"/>
    </row>
    <row r="799" spans="1:60" ht="15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  <c r="AL799" s="119"/>
      <c r="AM799" s="119"/>
      <c r="AN799" s="119"/>
      <c r="AO799" s="119"/>
      <c r="AP799" s="119"/>
      <c r="AQ799" s="119"/>
      <c r="AR799" s="119"/>
      <c r="AS799" s="119"/>
      <c r="AT799" s="119"/>
      <c r="AU799" s="119"/>
      <c r="AV799" s="119"/>
      <c r="AW799" s="119"/>
      <c r="AX799" s="119"/>
      <c r="AY799" s="119"/>
      <c r="AZ799" s="119"/>
      <c r="BA799" s="119"/>
      <c r="BB799" s="119"/>
      <c r="BC799" s="119"/>
      <c r="BD799" s="119"/>
      <c r="BE799" s="119"/>
      <c r="BF799" s="119"/>
      <c r="BG799" s="119"/>
      <c r="BH799" s="119"/>
    </row>
    <row r="800" spans="1:60" ht="15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  <c r="AL800" s="119"/>
      <c r="AM800" s="119"/>
      <c r="AN800" s="119"/>
      <c r="AO800" s="119"/>
      <c r="AP800" s="119"/>
      <c r="AQ800" s="119"/>
      <c r="AR800" s="119"/>
      <c r="AS800" s="119"/>
      <c r="AT800" s="119"/>
      <c r="AU800" s="119"/>
      <c r="AV800" s="119"/>
      <c r="AW800" s="119"/>
      <c r="AX800" s="119"/>
      <c r="AY800" s="119"/>
      <c r="AZ800" s="119"/>
      <c r="BA800" s="119"/>
      <c r="BB800" s="119"/>
      <c r="BC800" s="119"/>
      <c r="BD800" s="119"/>
      <c r="BE800" s="119"/>
      <c r="BF800" s="119"/>
      <c r="BG800" s="119"/>
      <c r="BH800" s="119"/>
    </row>
    <row r="801" spans="1:60" ht="15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  <c r="AL801" s="119"/>
      <c r="AM801" s="119"/>
      <c r="AN801" s="119"/>
      <c r="AO801" s="119"/>
      <c r="AP801" s="119"/>
      <c r="AQ801" s="119"/>
      <c r="AR801" s="119"/>
      <c r="AS801" s="119"/>
      <c r="AT801" s="119"/>
      <c r="AU801" s="119"/>
      <c r="AV801" s="119"/>
      <c r="AW801" s="119"/>
      <c r="AX801" s="119"/>
      <c r="AY801" s="119"/>
      <c r="AZ801" s="119"/>
      <c r="BA801" s="119"/>
      <c r="BB801" s="119"/>
      <c r="BC801" s="119"/>
      <c r="BD801" s="119"/>
      <c r="BE801" s="119"/>
      <c r="BF801" s="119"/>
      <c r="BG801" s="119"/>
      <c r="BH801" s="119"/>
    </row>
    <row r="802" spans="1:60" ht="15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  <c r="AL802" s="119"/>
      <c r="AM802" s="119"/>
      <c r="AN802" s="119"/>
      <c r="AO802" s="119"/>
      <c r="AP802" s="119"/>
      <c r="AQ802" s="119"/>
      <c r="AR802" s="119"/>
      <c r="AS802" s="119"/>
      <c r="AT802" s="119"/>
      <c r="AU802" s="119"/>
      <c r="AV802" s="119"/>
      <c r="AW802" s="119"/>
      <c r="AX802" s="119"/>
      <c r="AY802" s="119"/>
      <c r="AZ802" s="119"/>
      <c r="BA802" s="119"/>
      <c r="BB802" s="119"/>
      <c r="BC802" s="119"/>
      <c r="BD802" s="119"/>
      <c r="BE802" s="119"/>
      <c r="BF802" s="119"/>
      <c r="BG802" s="119"/>
      <c r="BH802" s="119"/>
    </row>
    <row r="803" spans="1:60" ht="15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  <c r="AL803" s="119"/>
      <c r="AM803" s="119"/>
      <c r="AN803" s="119"/>
      <c r="AO803" s="119"/>
      <c r="AP803" s="119"/>
      <c r="AQ803" s="119"/>
      <c r="AR803" s="119"/>
      <c r="AS803" s="119"/>
      <c r="AT803" s="119"/>
      <c r="AU803" s="119"/>
      <c r="AV803" s="119"/>
      <c r="AW803" s="119"/>
      <c r="AX803" s="119"/>
      <c r="AY803" s="119"/>
      <c r="AZ803" s="119"/>
      <c r="BA803" s="119"/>
      <c r="BB803" s="119"/>
      <c r="BC803" s="119"/>
      <c r="BD803" s="119"/>
      <c r="BE803" s="119"/>
      <c r="BF803" s="119"/>
      <c r="BG803" s="119"/>
      <c r="BH803" s="119"/>
    </row>
    <row r="804" spans="1:60" ht="15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  <c r="AL804" s="119"/>
      <c r="AM804" s="119"/>
      <c r="AN804" s="119"/>
      <c r="AO804" s="119"/>
      <c r="AP804" s="119"/>
      <c r="AQ804" s="119"/>
      <c r="AR804" s="119"/>
      <c r="AS804" s="119"/>
      <c r="AT804" s="119"/>
      <c r="AU804" s="119"/>
      <c r="AV804" s="119"/>
      <c r="AW804" s="119"/>
      <c r="AX804" s="119"/>
      <c r="AY804" s="119"/>
      <c r="AZ804" s="119"/>
      <c r="BA804" s="119"/>
      <c r="BB804" s="119"/>
      <c r="BC804" s="119"/>
      <c r="BD804" s="119"/>
      <c r="BE804" s="119"/>
      <c r="BF804" s="119"/>
      <c r="BG804" s="119"/>
      <c r="BH804" s="119"/>
    </row>
    <row r="805" spans="1:60" ht="15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  <c r="AL805" s="119"/>
      <c r="AM805" s="119"/>
      <c r="AN805" s="119"/>
      <c r="AO805" s="119"/>
      <c r="AP805" s="119"/>
      <c r="AQ805" s="119"/>
      <c r="AR805" s="119"/>
      <c r="AS805" s="119"/>
      <c r="AT805" s="119"/>
      <c r="AU805" s="119"/>
      <c r="AV805" s="119"/>
      <c r="AW805" s="119"/>
      <c r="AX805" s="119"/>
      <c r="AY805" s="119"/>
      <c r="AZ805" s="119"/>
      <c r="BA805" s="119"/>
      <c r="BB805" s="119"/>
      <c r="BC805" s="119"/>
      <c r="BD805" s="119"/>
      <c r="BE805" s="119"/>
      <c r="BF805" s="119"/>
      <c r="BG805" s="119"/>
      <c r="BH805" s="119"/>
    </row>
    <row r="806" spans="1:60" ht="15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  <c r="AL806" s="119"/>
      <c r="AM806" s="119"/>
      <c r="AN806" s="119"/>
      <c r="AO806" s="119"/>
      <c r="AP806" s="119"/>
      <c r="AQ806" s="119"/>
      <c r="AR806" s="119"/>
      <c r="AS806" s="119"/>
      <c r="AT806" s="119"/>
      <c r="AU806" s="119"/>
      <c r="AV806" s="119"/>
      <c r="AW806" s="119"/>
      <c r="AX806" s="119"/>
      <c r="AY806" s="119"/>
      <c r="AZ806" s="119"/>
      <c r="BA806" s="119"/>
      <c r="BB806" s="119"/>
      <c r="BC806" s="119"/>
      <c r="BD806" s="119"/>
      <c r="BE806" s="119"/>
      <c r="BF806" s="119"/>
      <c r="BG806" s="119"/>
      <c r="BH806" s="119"/>
    </row>
    <row r="807" spans="1:60" ht="15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  <c r="AN807" s="119"/>
      <c r="AO807" s="119"/>
      <c r="AP807" s="119"/>
      <c r="AQ807" s="119"/>
      <c r="AR807" s="119"/>
      <c r="AS807" s="119"/>
      <c r="AT807" s="119"/>
      <c r="AU807" s="119"/>
      <c r="AV807" s="119"/>
      <c r="AW807" s="119"/>
      <c r="AX807" s="119"/>
      <c r="AY807" s="119"/>
      <c r="AZ807" s="119"/>
      <c r="BA807" s="119"/>
      <c r="BB807" s="119"/>
      <c r="BC807" s="119"/>
      <c r="BD807" s="119"/>
      <c r="BE807" s="119"/>
      <c r="BF807" s="119"/>
      <c r="BG807" s="119"/>
      <c r="BH807" s="119"/>
    </row>
    <row r="808" spans="1:60" ht="15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  <c r="AL808" s="119"/>
      <c r="AM808" s="119"/>
      <c r="AN808" s="119"/>
      <c r="AO808" s="119"/>
      <c r="AP808" s="119"/>
      <c r="AQ808" s="119"/>
      <c r="AR808" s="119"/>
      <c r="AS808" s="119"/>
      <c r="AT808" s="119"/>
      <c r="AU808" s="119"/>
      <c r="AV808" s="119"/>
      <c r="AW808" s="119"/>
      <c r="AX808" s="119"/>
      <c r="AY808" s="119"/>
      <c r="AZ808" s="119"/>
      <c r="BA808" s="119"/>
      <c r="BB808" s="119"/>
      <c r="BC808" s="119"/>
      <c r="BD808" s="119"/>
      <c r="BE808" s="119"/>
      <c r="BF808" s="119"/>
      <c r="BG808" s="119"/>
      <c r="BH808" s="119"/>
    </row>
    <row r="809" spans="1:60" ht="15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  <c r="AL809" s="119"/>
      <c r="AM809" s="119"/>
      <c r="AN809" s="119"/>
      <c r="AO809" s="119"/>
      <c r="AP809" s="119"/>
      <c r="AQ809" s="119"/>
      <c r="AR809" s="119"/>
      <c r="AS809" s="119"/>
      <c r="AT809" s="119"/>
      <c r="AU809" s="119"/>
      <c r="AV809" s="119"/>
      <c r="AW809" s="119"/>
      <c r="AX809" s="119"/>
      <c r="AY809" s="119"/>
      <c r="AZ809" s="119"/>
      <c r="BA809" s="119"/>
      <c r="BB809" s="119"/>
      <c r="BC809" s="119"/>
      <c r="BD809" s="119"/>
      <c r="BE809" s="119"/>
      <c r="BF809" s="119"/>
      <c r="BG809" s="119"/>
      <c r="BH809" s="119"/>
    </row>
    <row r="810" spans="1:60" ht="15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  <c r="AN810" s="119"/>
      <c r="AO810" s="119"/>
      <c r="AP810" s="119"/>
      <c r="AQ810" s="119"/>
      <c r="AR810" s="119"/>
      <c r="AS810" s="119"/>
      <c r="AT810" s="119"/>
      <c r="AU810" s="119"/>
      <c r="AV810" s="119"/>
      <c r="AW810" s="119"/>
      <c r="AX810" s="119"/>
      <c r="AY810" s="119"/>
      <c r="AZ810" s="119"/>
      <c r="BA810" s="119"/>
      <c r="BB810" s="119"/>
      <c r="BC810" s="119"/>
      <c r="BD810" s="119"/>
      <c r="BE810" s="119"/>
      <c r="BF810" s="119"/>
      <c r="BG810" s="119"/>
      <c r="BH810" s="119"/>
    </row>
    <row r="811" spans="1:60" ht="15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  <c r="AL811" s="119"/>
      <c r="AM811" s="119"/>
      <c r="AN811" s="119"/>
      <c r="AO811" s="119"/>
      <c r="AP811" s="119"/>
      <c r="AQ811" s="119"/>
      <c r="AR811" s="119"/>
      <c r="AS811" s="119"/>
      <c r="AT811" s="119"/>
      <c r="AU811" s="119"/>
      <c r="AV811" s="119"/>
      <c r="AW811" s="119"/>
      <c r="AX811" s="119"/>
      <c r="AY811" s="119"/>
      <c r="AZ811" s="119"/>
      <c r="BA811" s="119"/>
      <c r="BB811" s="119"/>
      <c r="BC811" s="119"/>
      <c r="BD811" s="119"/>
      <c r="BE811" s="119"/>
      <c r="BF811" s="119"/>
      <c r="BG811" s="119"/>
      <c r="BH811" s="119"/>
    </row>
    <row r="812" spans="1:60" ht="15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  <c r="AL812" s="119"/>
      <c r="AM812" s="119"/>
      <c r="AN812" s="119"/>
      <c r="AO812" s="119"/>
      <c r="AP812" s="119"/>
      <c r="AQ812" s="119"/>
      <c r="AR812" s="119"/>
      <c r="AS812" s="119"/>
      <c r="AT812" s="119"/>
      <c r="AU812" s="119"/>
      <c r="AV812" s="119"/>
      <c r="AW812" s="119"/>
      <c r="AX812" s="119"/>
      <c r="AY812" s="119"/>
      <c r="AZ812" s="119"/>
      <c r="BA812" s="119"/>
      <c r="BB812" s="119"/>
      <c r="BC812" s="119"/>
      <c r="BD812" s="119"/>
      <c r="BE812" s="119"/>
      <c r="BF812" s="119"/>
      <c r="BG812" s="119"/>
      <c r="BH812" s="119"/>
    </row>
    <row r="813" spans="1:60" ht="15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  <c r="AL813" s="119"/>
      <c r="AM813" s="119"/>
      <c r="AN813" s="119"/>
      <c r="AO813" s="119"/>
      <c r="AP813" s="119"/>
      <c r="AQ813" s="119"/>
      <c r="AR813" s="119"/>
      <c r="AS813" s="119"/>
      <c r="AT813" s="119"/>
      <c r="AU813" s="119"/>
      <c r="AV813" s="119"/>
      <c r="AW813" s="119"/>
      <c r="AX813" s="119"/>
      <c r="AY813" s="119"/>
      <c r="AZ813" s="119"/>
      <c r="BA813" s="119"/>
      <c r="BB813" s="119"/>
      <c r="BC813" s="119"/>
      <c r="BD813" s="119"/>
      <c r="BE813" s="119"/>
      <c r="BF813" s="119"/>
      <c r="BG813" s="119"/>
      <c r="BH813" s="119"/>
    </row>
    <row r="814" spans="1:60" ht="15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  <c r="AL814" s="119"/>
      <c r="AM814" s="119"/>
      <c r="AN814" s="119"/>
      <c r="AO814" s="119"/>
      <c r="AP814" s="119"/>
      <c r="AQ814" s="119"/>
      <c r="AR814" s="119"/>
      <c r="AS814" s="119"/>
      <c r="AT814" s="119"/>
      <c r="AU814" s="119"/>
      <c r="AV814" s="119"/>
      <c r="AW814" s="119"/>
      <c r="AX814" s="119"/>
      <c r="AY814" s="119"/>
      <c r="AZ814" s="119"/>
      <c r="BA814" s="119"/>
      <c r="BB814" s="119"/>
      <c r="BC814" s="119"/>
      <c r="BD814" s="119"/>
      <c r="BE814" s="119"/>
      <c r="BF814" s="119"/>
      <c r="BG814" s="119"/>
      <c r="BH814" s="119"/>
    </row>
    <row r="815" spans="1:60" ht="15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  <c r="AL815" s="119"/>
      <c r="AM815" s="119"/>
      <c r="AN815" s="119"/>
      <c r="AO815" s="119"/>
      <c r="AP815" s="119"/>
      <c r="AQ815" s="119"/>
      <c r="AR815" s="119"/>
      <c r="AS815" s="119"/>
      <c r="AT815" s="119"/>
      <c r="AU815" s="119"/>
      <c r="AV815" s="119"/>
      <c r="AW815" s="119"/>
      <c r="AX815" s="119"/>
      <c r="AY815" s="119"/>
      <c r="AZ815" s="119"/>
      <c r="BA815" s="119"/>
      <c r="BB815" s="119"/>
      <c r="BC815" s="119"/>
      <c r="BD815" s="119"/>
      <c r="BE815" s="119"/>
      <c r="BF815" s="119"/>
      <c r="BG815" s="119"/>
      <c r="BH815" s="119"/>
    </row>
    <row r="816" spans="1:60" ht="15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  <c r="AL816" s="119"/>
      <c r="AM816" s="119"/>
      <c r="AN816" s="119"/>
      <c r="AO816" s="119"/>
      <c r="AP816" s="119"/>
      <c r="AQ816" s="119"/>
      <c r="AR816" s="119"/>
      <c r="AS816" s="119"/>
      <c r="AT816" s="119"/>
      <c r="AU816" s="119"/>
      <c r="AV816" s="119"/>
      <c r="AW816" s="119"/>
      <c r="AX816" s="119"/>
      <c r="AY816" s="119"/>
      <c r="AZ816" s="119"/>
      <c r="BA816" s="119"/>
      <c r="BB816" s="119"/>
      <c r="BC816" s="119"/>
      <c r="BD816" s="119"/>
      <c r="BE816" s="119"/>
      <c r="BF816" s="119"/>
      <c r="BG816" s="119"/>
      <c r="BH816" s="119"/>
    </row>
    <row r="817" spans="1:60" ht="15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  <c r="AL817" s="119"/>
      <c r="AM817" s="119"/>
      <c r="AN817" s="119"/>
      <c r="AO817" s="119"/>
      <c r="AP817" s="119"/>
      <c r="AQ817" s="119"/>
      <c r="AR817" s="119"/>
      <c r="AS817" s="119"/>
      <c r="AT817" s="119"/>
      <c r="AU817" s="119"/>
      <c r="AV817" s="119"/>
      <c r="AW817" s="119"/>
      <c r="AX817" s="119"/>
      <c r="AY817" s="119"/>
      <c r="AZ817" s="119"/>
      <c r="BA817" s="119"/>
      <c r="BB817" s="119"/>
      <c r="BC817" s="119"/>
      <c r="BD817" s="119"/>
      <c r="BE817" s="119"/>
      <c r="BF817" s="119"/>
      <c r="BG817" s="119"/>
      <c r="BH817" s="119"/>
    </row>
    <row r="818" spans="1:60" ht="15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  <c r="AL818" s="119"/>
      <c r="AM818" s="119"/>
      <c r="AN818" s="119"/>
      <c r="AO818" s="119"/>
      <c r="AP818" s="119"/>
      <c r="AQ818" s="119"/>
      <c r="AR818" s="119"/>
      <c r="AS818" s="119"/>
      <c r="AT818" s="119"/>
      <c r="AU818" s="119"/>
      <c r="AV818" s="119"/>
      <c r="AW818" s="119"/>
      <c r="AX818" s="119"/>
      <c r="AY818" s="119"/>
      <c r="AZ818" s="119"/>
      <c r="BA818" s="119"/>
      <c r="BB818" s="119"/>
      <c r="BC818" s="119"/>
      <c r="BD818" s="119"/>
      <c r="BE818" s="119"/>
      <c r="BF818" s="119"/>
      <c r="BG818" s="119"/>
      <c r="BH818" s="119"/>
    </row>
    <row r="819" spans="1:60" ht="15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  <c r="AL819" s="119"/>
      <c r="AM819" s="119"/>
      <c r="AN819" s="119"/>
      <c r="AO819" s="119"/>
      <c r="AP819" s="119"/>
      <c r="AQ819" s="119"/>
      <c r="AR819" s="119"/>
      <c r="AS819" s="119"/>
      <c r="AT819" s="119"/>
      <c r="AU819" s="119"/>
      <c r="AV819" s="119"/>
      <c r="AW819" s="119"/>
      <c r="AX819" s="119"/>
      <c r="AY819" s="119"/>
      <c r="AZ819" s="119"/>
      <c r="BA819" s="119"/>
      <c r="BB819" s="119"/>
      <c r="BC819" s="119"/>
      <c r="BD819" s="119"/>
      <c r="BE819" s="119"/>
      <c r="BF819" s="119"/>
      <c r="BG819" s="119"/>
      <c r="BH819" s="119"/>
    </row>
    <row r="820" spans="1:60" ht="15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  <c r="AN820" s="119"/>
      <c r="AO820" s="119"/>
      <c r="AP820" s="119"/>
      <c r="AQ820" s="119"/>
      <c r="AR820" s="119"/>
      <c r="AS820" s="119"/>
      <c r="AT820" s="119"/>
      <c r="AU820" s="119"/>
      <c r="AV820" s="119"/>
      <c r="AW820" s="119"/>
      <c r="AX820" s="119"/>
      <c r="AY820" s="119"/>
      <c r="AZ820" s="119"/>
      <c r="BA820" s="119"/>
      <c r="BB820" s="119"/>
      <c r="BC820" s="119"/>
      <c r="BD820" s="119"/>
      <c r="BE820" s="119"/>
      <c r="BF820" s="119"/>
      <c r="BG820" s="119"/>
      <c r="BH820" s="119"/>
    </row>
    <row r="821" spans="1:60" ht="15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  <c r="AL821" s="119"/>
      <c r="AM821" s="119"/>
      <c r="AN821" s="119"/>
      <c r="AO821" s="119"/>
      <c r="AP821" s="119"/>
      <c r="AQ821" s="119"/>
      <c r="AR821" s="119"/>
      <c r="AS821" s="119"/>
      <c r="AT821" s="119"/>
      <c r="AU821" s="119"/>
      <c r="AV821" s="119"/>
      <c r="AW821" s="119"/>
      <c r="AX821" s="119"/>
      <c r="AY821" s="119"/>
      <c r="AZ821" s="119"/>
      <c r="BA821" s="119"/>
      <c r="BB821" s="119"/>
      <c r="BC821" s="119"/>
      <c r="BD821" s="119"/>
      <c r="BE821" s="119"/>
      <c r="BF821" s="119"/>
      <c r="BG821" s="119"/>
      <c r="BH821" s="119"/>
    </row>
    <row r="822" spans="1:60" ht="15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  <c r="AL822" s="119"/>
      <c r="AM822" s="119"/>
      <c r="AN822" s="119"/>
      <c r="AO822" s="119"/>
      <c r="AP822" s="119"/>
      <c r="AQ822" s="119"/>
      <c r="AR822" s="119"/>
      <c r="AS822" s="119"/>
      <c r="AT822" s="119"/>
      <c r="AU822" s="119"/>
      <c r="AV822" s="119"/>
      <c r="AW822" s="119"/>
      <c r="AX822" s="119"/>
      <c r="AY822" s="119"/>
      <c r="AZ822" s="119"/>
      <c r="BA822" s="119"/>
      <c r="BB822" s="119"/>
      <c r="BC822" s="119"/>
      <c r="BD822" s="119"/>
      <c r="BE822" s="119"/>
      <c r="BF822" s="119"/>
      <c r="BG822" s="119"/>
      <c r="BH822" s="119"/>
    </row>
    <row r="823" spans="1:60" ht="15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  <c r="AL823" s="119"/>
      <c r="AM823" s="119"/>
      <c r="AN823" s="119"/>
      <c r="AO823" s="119"/>
      <c r="AP823" s="119"/>
      <c r="AQ823" s="119"/>
      <c r="AR823" s="119"/>
      <c r="AS823" s="119"/>
      <c r="AT823" s="119"/>
      <c r="AU823" s="119"/>
      <c r="AV823" s="119"/>
      <c r="AW823" s="119"/>
      <c r="AX823" s="119"/>
      <c r="AY823" s="119"/>
      <c r="AZ823" s="119"/>
      <c r="BA823" s="119"/>
      <c r="BB823" s="119"/>
      <c r="BC823" s="119"/>
      <c r="BD823" s="119"/>
      <c r="BE823" s="119"/>
      <c r="BF823" s="119"/>
      <c r="BG823" s="119"/>
      <c r="BH823" s="119"/>
    </row>
    <row r="824" spans="1:60" ht="15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  <c r="AL824" s="119"/>
      <c r="AM824" s="119"/>
      <c r="AN824" s="119"/>
      <c r="AO824" s="119"/>
      <c r="AP824" s="119"/>
      <c r="AQ824" s="119"/>
      <c r="AR824" s="119"/>
      <c r="AS824" s="119"/>
      <c r="AT824" s="119"/>
      <c r="AU824" s="119"/>
      <c r="AV824" s="119"/>
      <c r="AW824" s="119"/>
      <c r="AX824" s="119"/>
      <c r="AY824" s="119"/>
      <c r="AZ824" s="119"/>
      <c r="BA824" s="119"/>
      <c r="BB824" s="119"/>
      <c r="BC824" s="119"/>
      <c r="BD824" s="119"/>
      <c r="BE824" s="119"/>
      <c r="BF824" s="119"/>
      <c r="BG824" s="119"/>
      <c r="BH824" s="119"/>
    </row>
    <row r="825" spans="1:60" ht="15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  <c r="AL825" s="119"/>
      <c r="AM825" s="119"/>
      <c r="AN825" s="119"/>
      <c r="AO825" s="119"/>
      <c r="AP825" s="119"/>
      <c r="AQ825" s="119"/>
      <c r="AR825" s="119"/>
      <c r="AS825" s="119"/>
      <c r="AT825" s="119"/>
      <c r="AU825" s="119"/>
      <c r="AV825" s="119"/>
      <c r="AW825" s="119"/>
      <c r="AX825" s="119"/>
      <c r="AY825" s="119"/>
      <c r="AZ825" s="119"/>
      <c r="BA825" s="119"/>
      <c r="BB825" s="119"/>
      <c r="BC825" s="119"/>
      <c r="BD825" s="119"/>
      <c r="BE825" s="119"/>
      <c r="BF825" s="119"/>
      <c r="BG825" s="119"/>
      <c r="BH825" s="119"/>
    </row>
    <row r="826" spans="1:60" ht="15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  <c r="AL826" s="119"/>
      <c r="AM826" s="119"/>
      <c r="AN826" s="119"/>
      <c r="AO826" s="119"/>
      <c r="AP826" s="119"/>
      <c r="AQ826" s="119"/>
      <c r="AR826" s="119"/>
      <c r="AS826" s="119"/>
      <c r="AT826" s="119"/>
      <c r="AU826" s="119"/>
      <c r="AV826" s="119"/>
      <c r="AW826" s="119"/>
      <c r="AX826" s="119"/>
      <c r="AY826" s="119"/>
      <c r="AZ826" s="119"/>
      <c r="BA826" s="119"/>
      <c r="BB826" s="119"/>
      <c r="BC826" s="119"/>
      <c r="BD826" s="119"/>
      <c r="BE826" s="119"/>
      <c r="BF826" s="119"/>
      <c r="BG826" s="119"/>
      <c r="BH826" s="119"/>
    </row>
    <row r="827" spans="1:60" ht="15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  <c r="AL827" s="119"/>
      <c r="AM827" s="119"/>
      <c r="AN827" s="119"/>
      <c r="AO827" s="119"/>
      <c r="AP827" s="119"/>
      <c r="AQ827" s="119"/>
      <c r="AR827" s="119"/>
      <c r="AS827" s="119"/>
      <c r="AT827" s="119"/>
      <c r="AU827" s="119"/>
      <c r="AV827" s="119"/>
      <c r="AW827" s="119"/>
      <c r="AX827" s="119"/>
      <c r="AY827" s="119"/>
      <c r="AZ827" s="119"/>
      <c r="BA827" s="119"/>
      <c r="BB827" s="119"/>
      <c r="BC827" s="119"/>
      <c r="BD827" s="119"/>
      <c r="BE827" s="119"/>
      <c r="BF827" s="119"/>
      <c r="BG827" s="119"/>
      <c r="BH827" s="119"/>
    </row>
    <row r="828" spans="1:60" ht="15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  <c r="AL828" s="119"/>
      <c r="AM828" s="119"/>
      <c r="AN828" s="119"/>
      <c r="AO828" s="119"/>
      <c r="AP828" s="119"/>
      <c r="AQ828" s="119"/>
      <c r="AR828" s="119"/>
      <c r="AS828" s="119"/>
      <c r="AT828" s="119"/>
      <c r="AU828" s="119"/>
      <c r="AV828" s="119"/>
      <c r="AW828" s="119"/>
      <c r="AX828" s="119"/>
      <c r="AY828" s="119"/>
      <c r="AZ828" s="119"/>
      <c r="BA828" s="119"/>
      <c r="BB828" s="119"/>
      <c r="BC828" s="119"/>
      <c r="BD828" s="119"/>
      <c r="BE828" s="119"/>
      <c r="BF828" s="119"/>
      <c r="BG828" s="119"/>
      <c r="BH828" s="119"/>
    </row>
    <row r="829" spans="1:60" ht="15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  <c r="AL829" s="119"/>
      <c r="AM829" s="119"/>
      <c r="AN829" s="119"/>
      <c r="AO829" s="119"/>
      <c r="AP829" s="119"/>
      <c r="AQ829" s="119"/>
      <c r="AR829" s="119"/>
      <c r="AS829" s="119"/>
      <c r="AT829" s="119"/>
      <c r="AU829" s="119"/>
      <c r="AV829" s="119"/>
      <c r="AW829" s="119"/>
      <c r="AX829" s="119"/>
      <c r="AY829" s="119"/>
      <c r="AZ829" s="119"/>
      <c r="BA829" s="119"/>
      <c r="BB829" s="119"/>
      <c r="BC829" s="119"/>
      <c r="BD829" s="119"/>
      <c r="BE829" s="119"/>
      <c r="BF829" s="119"/>
      <c r="BG829" s="119"/>
      <c r="BH829" s="119"/>
    </row>
    <row r="830" spans="1:60" ht="15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  <c r="AL830" s="119"/>
      <c r="AM830" s="119"/>
      <c r="AN830" s="119"/>
      <c r="AO830" s="119"/>
      <c r="AP830" s="119"/>
      <c r="AQ830" s="119"/>
      <c r="AR830" s="119"/>
      <c r="AS830" s="119"/>
      <c r="AT830" s="119"/>
      <c r="AU830" s="119"/>
      <c r="AV830" s="119"/>
      <c r="AW830" s="119"/>
      <c r="AX830" s="119"/>
      <c r="AY830" s="119"/>
      <c r="AZ830" s="119"/>
      <c r="BA830" s="119"/>
      <c r="BB830" s="119"/>
      <c r="BC830" s="119"/>
      <c r="BD830" s="119"/>
      <c r="BE830" s="119"/>
      <c r="BF830" s="119"/>
      <c r="BG830" s="119"/>
      <c r="BH830" s="119"/>
    </row>
    <row r="831" spans="1:60" ht="15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  <c r="AL831" s="119"/>
      <c r="AM831" s="119"/>
      <c r="AN831" s="119"/>
      <c r="AO831" s="119"/>
      <c r="AP831" s="119"/>
      <c r="AQ831" s="119"/>
      <c r="AR831" s="119"/>
      <c r="AS831" s="119"/>
      <c r="AT831" s="119"/>
      <c r="AU831" s="119"/>
      <c r="AV831" s="119"/>
      <c r="AW831" s="119"/>
      <c r="AX831" s="119"/>
      <c r="AY831" s="119"/>
      <c r="AZ831" s="119"/>
      <c r="BA831" s="119"/>
      <c r="BB831" s="119"/>
      <c r="BC831" s="119"/>
      <c r="BD831" s="119"/>
      <c r="BE831" s="119"/>
      <c r="BF831" s="119"/>
      <c r="BG831" s="119"/>
      <c r="BH831" s="119"/>
    </row>
    <row r="832" spans="1:60" ht="15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  <c r="AL832" s="119"/>
      <c r="AM832" s="119"/>
      <c r="AN832" s="119"/>
      <c r="AO832" s="119"/>
      <c r="AP832" s="119"/>
      <c r="AQ832" s="119"/>
      <c r="AR832" s="119"/>
      <c r="AS832" s="119"/>
      <c r="AT832" s="119"/>
      <c r="AU832" s="119"/>
      <c r="AV832" s="119"/>
      <c r="AW832" s="119"/>
      <c r="AX832" s="119"/>
      <c r="AY832" s="119"/>
      <c r="AZ832" s="119"/>
      <c r="BA832" s="119"/>
      <c r="BB832" s="119"/>
      <c r="BC832" s="119"/>
      <c r="BD832" s="119"/>
      <c r="BE832" s="119"/>
      <c r="BF832" s="119"/>
      <c r="BG832" s="119"/>
      <c r="BH832" s="119"/>
    </row>
    <row r="833" spans="1:60" ht="15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  <c r="AL833" s="119"/>
      <c r="AM833" s="119"/>
      <c r="AN833" s="119"/>
      <c r="AO833" s="119"/>
      <c r="AP833" s="119"/>
      <c r="AQ833" s="119"/>
      <c r="AR833" s="119"/>
      <c r="AS833" s="119"/>
      <c r="AT833" s="119"/>
      <c r="AU833" s="119"/>
      <c r="AV833" s="119"/>
      <c r="AW833" s="119"/>
      <c r="AX833" s="119"/>
      <c r="AY833" s="119"/>
      <c r="AZ833" s="119"/>
      <c r="BA833" s="119"/>
      <c r="BB833" s="119"/>
      <c r="BC833" s="119"/>
      <c r="BD833" s="119"/>
      <c r="BE833" s="119"/>
      <c r="BF833" s="119"/>
      <c r="BG833" s="119"/>
      <c r="BH833" s="119"/>
    </row>
    <row r="834" spans="1:60" ht="15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  <c r="AL834" s="119"/>
      <c r="AM834" s="119"/>
      <c r="AN834" s="119"/>
      <c r="AO834" s="119"/>
      <c r="AP834" s="119"/>
      <c r="AQ834" s="119"/>
      <c r="AR834" s="119"/>
      <c r="AS834" s="119"/>
      <c r="AT834" s="119"/>
      <c r="AU834" s="119"/>
      <c r="AV834" s="119"/>
      <c r="AW834" s="119"/>
      <c r="AX834" s="119"/>
      <c r="AY834" s="119"/>
      <c r="AZ834" s="119"/>
      <c r="BA834" s="119"/>
      <c r="BB834" s="119"/>
      <c r="BC834" s="119"/>
      <c r="BD834" s="119"/>
      <c r="BE834" s="119"/>
      <c r="BF834" s="119"/>
      <c r="BG834" s="119"/>
      <c r="BH834" s="119"/>
    </row>
    <row r="835" spans="1:60" ht="15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  <c r="AL835" s="119"/>
      <c r="AM835" s="119"/>
      <c r="AN835" s="119"/>
      <c r="AO835" s="119"/>
      <c r="AP835" s="119"/>
      <c r="AQ835" s="119"/>
      <c r="AR835" s="119"/>
      <c r="AS835" s="119"/>
      <c r="AT835" s="119"/>
      <c r="AU835" s="119"/>
      <c r="AV835" s="119"/>
      <c r="AW835" s="119"/>
      <c r="AX835" s="119"/>
      <c r="AY835" s="119"/>
      <c r="AZ835" s="119"/>
      <c r="BA835" s="119"/>
      <c r="BB835" s="119"/>
      <c r="BC835" s="119"/>
      <c r="BD835" s="119"/>
      <c r="BE835" s="119"/>
      <c r="BF835" s="119"/>
      <c r="BG835" s="119"/>
      <c r="BH835" s="119"/>
    </row>
    <row r="836" spans="1:60" ht="15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  <c r="AL836" s="119"/>
      <c r="AM836" s="119"/>
      <c r="AN836" s="119"/>
      <c r="AO836" s="119"/>
      <c r="AP836" s="119"/>
      <c r="AQ836" s="119"/>
      <c r="AR836" s="119"/>
      <c r="AS836" s="119"/>
      <c r="AT836" s="119"/>
      <c r="AU836" s="119"/>
      <c r="AV836" s="119"/>
      <c r="AW836" s="119"/>
      <c r="AX836" s="119"/>
      <c r="AY836" s="119"/>
      <c r="AZ836" s="119"/>
      <c r="BA836" s="119"/>
      <c r="BB836" s="119"/>
      <c r="BC836" s="119"/>
      <c r="BD836" s="119"/>
      <c r="BE836" s="119"/>
      <c r="BF836" s="119"/>
      <c r="BG836" s="119"/>
      <c r="BH836" s="119"/>
    </row>
    <row r="837" spans="1:60" ht="15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  <c r="AL837" s="119"/>
      <c r="AM837" s="119"/>
      <c r="AN837" s="119"/>
      <c r="AO837" s="119"/>
      <c r="AP837" s="119"/>
      <c r="AQ837" s="119"/>
      <c r="AR837" s="119"/>
      <c r="AS837" s="119"/>
      <c r="AT837" s="119"/>
      <c r="AU837" s="119"/>
      <c r="AV837" s="119"/>
      <c r="AW837" s="119"/>
      <c r="AX837" s="119"/>
      <c r="AY837" s="119"/>
      <c r="AZ837" s="119"/>
      <c r="BA837" s="119"/>
      <c r="BB837" s="119"/>
      <c r="BC837" s="119"/>
      <c r="BD837" s="119"/>
      <c r="BE837" s="119"/>
      <c r="BF837" s="119"/>
      <c r="BG837" s="119"/>
      <c r="BH837" s="119"/>
    </row>
    <row r="838" spans="1:60" ht="15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  <c r="AL838" s="119"/>
      <c r="AM838" s="119"/>
      <c r="AN838" s="119"/>
      <c r="AO838" s="119"/>
      <c r="AP838" s="119"/>
      <c r="AQ838" s="119"/>
      <c r="AR838" s="119"/>
      <c r="AS838" s="119"/>
      <c r="AT838" s="119"/>
      <c r="AU838" s="119"/>
      <c r="AV838" s="119"/>
      <c r="AW838" s="119"/>
      <c r="AX838" s="119"/>
      <c r="AY838" s="119"/>
      <c r="AZ838" s="119"/>
      <c r="BA838" s="119"/>
      <c r="BB838" s="119"/>
      <c r="BC838" s="119"/>
      <c r="BD838" s="119"/>
      <c r="BE838" s="119"/>
      <c r="BF838" s="119"/>
      <c r="BG838" s="119"/>
      <c r="BH838" s="119"/>
    </row>
    <row r="839" spans="1:60" ht="15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  <c r="AL839" s="119"/>
      <c r="AM839" s="119"/>
      <c r="AN839" s="119"/>
      <c r="AO839" s="119"/>
      <c r="AP839" s="119"/>
      <c r="AQ839" s="119"/>
      <c r="AR839" s="119"/>
      <c r="AS839" s="119"/>
      <c r="AT839" s="119"/>
      <c r="AU839" s="119"/>
      <c r="AV839" s="119"/>
      <c r="AW839" s="119"/>
      <c r="AX839" s="119"/>
      <c r="AY839" s="119"/>
      <c r="AZ839" s="119"/>
      <c r="BA839" s="119"/>
      <c r="BB839" s="119"/>
      <c r="BC839" s="119"/>
      <c r="BD839" s="119"/>
      <c r="BE839" s="119"/>
      <c r="BF839" s="119"/>
      <c r="BG839" s="119"/>
      <c r="BH839" s="119"/>
    </row>
    <row r="840" spans="1:60" ht="15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  <c r="AL840" s="119"/>
      <c r="AM840" s="119"/>
      <c r="AN840" s="119"/>
      <c r="AO840" s="119"/>
      <c r="AP840" s="119"/>
      <c r="AQ840" s="119"/>
      <c r="AR840" s="119"/>
      <c r="AS840" s="119"/>
      <c r="AT840" s="119"/>
      <c r="AU840" s="119"/>
      <c r="AV840" s="119"/>
      <c r="AW840" s="119"/>
      <c r="AX840" s="119"/>
      <c r="AY840" s="119"/>
      <c r="AZ840" s="119"/>
      <c r="BA840" s="119"/>
      <c r="BB840" s="119"/>
      <c r="BC840" s="119"/>
      <c r="BD840" s="119"/>
      <c r="BE840" s="119"/>
      <c r="BF840" s="119"/>
      <c r="BG840" s="119"/>
      <c r="BH840" s="119"/>
    </row>
    <row r="841" spans="1:60" ht="15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  <c r="AL841" s="119"/>
      <c r="AM841" s="119"/>
      <c r="AN841" s="119"/>
      <c r="AO841" s="119"/>
      <c r="AP841" s="119"/>
      <c r="AQ841" s="119"/>
      <c r="AR841" s="119"/>
      <c r="AS841" s="119"/>
      <c r="AT841" s="119"/>
      <c r="AU841" s="119"/>
      <c r="AV841" s="119"/>
      <c r="AW841" s="119"/>
      <c r="AX841" s="119"/>
      <c r="AY841" s="119"/>
      <c r="AZ841" s="119"/>
      <c r="BA841" s="119"/>
      <c r="BB841" s="119"/>
      <c r="BC841" s="119"/>
      <c r="BD841" s="119"/>
      <c r="BE841" s="119"/>
      <c r="BF841" s="119"/>
      <c r="BG841" s="119"/>
      <c r="BH841" s="119"/>
    </row>
    <row r="842" spans="1:60" ht="15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  <c r="AL842" s="119"/>
      <c r="AM842" s="119"/>
      <c r="AN842" s="119"/>
      <c r="AO842" s="119"/>
      <c r="AP842" s="119"/>
      <c r="AQ842" s="119"/>
      <c r="AR842" s="119"/>
      <c r="AS842" s="119"/>
      <c r="AT842" s="119"/>
      <c r="AU842" s="119"/>
      <c r="AV842" s="119"/>
      <c r="AW842" s="119"/>
      <c r="AX842" s="119"/>
      <c r="AY842" s="119"/>
      <c r="AZ842" s="119"/>
      <c r="BA842" s="119"/>
      <c r="BB842" s="119"/>
      <c r="BC842" s="119"/>
      <c r="BD842" s="119"/>
      <c r="BE842" s="119"/>
      <c r="BF842" s="119"/>
      <c r="BG842" s="119"/>
      <c r="BH842" s="119"/>
    </row>
    <row r="843" spans="1:60" ht="15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  <c r="AL843" s="119"/>
      <c r="AM843" s="119"/>
      <c r="AN843" s="119"/>
      <c r="AO843" s="119"/>
      <c r="AP843" s="119"/>
      <c r="AQ843" s="119"/>
      <c r="AR843" s="119"/>
      <c r="AS843" s="119"/>
      <c r="AT843" s="119"/>
      <c r="AU843" s="119"/>
      <c r="AV843" s="119"/>
      <c r="AW843" s="119"/>
      <c r="AX843" s="119"/>
      <c r="AY843" s="119"/>
      <c r="AZ843" s="119"/>
      <c r="BA843" s="119"/>
      <c r="BB843" s="119"/>
      <c r="BC843" s="119"/>
      <c r="BD843" s="119"/>
      <c r="BE843" s="119"/>
      <c r="BF843" s="119"/>
      <c r="BG843" s="119"/>
      <c r="BH843" s="119"/>
    </row>
    <row r="844" spans="1:60" ht="15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  <c r="AL844" s="119"/>
      <c r="AM844" s="119"/>
      <c r="AN844" s="119"/>
      <c r="AO844" s="119"/>
      <c r="AP844" s="119"/>
      <c r="AQ844" s="119"/>
      <c r="AR844" s="119"/>
      <c r="AS844" s="119"/>
      <c r="AT844" s="119"/>
      <c r="AU844" s="119"/>
      <c r="AV844" s="119"/>
      <c r="AW844" s="119"/>
      <c r="AX844" s="119"/>
      <c r="AY844" s="119"/>
      <c r="AZ844" s="119"/>
      <c r="BA844" s="119"/>
      <c r="BB844" s="119"/>
      <c r="BC844" s="119"/>
      <c r="BD844" s="119"/>
      <c r="BE844" s="119"/>
      <c r="BF844" s="119"/>
      <c r="BG844" s="119"/>
      <c r="BH844" s="119"/>
    </row>
    <row r="845" spans="1:60" ht="15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  <c r="AL845" s="119"/>
      <c r="AM845" s="119"/>
      <c r="AN845" s="119"/>
      <c r="AO845" s="119"/>
      <c r="AP845" s="119"/>
      <c r="AQ845" s="119"/>
      <c r="AR845" s="119"/>
      <c r="AS845" s="119"/>
      <c r="AT845" s="119"/>
      <c r="AU845" s="119"/>
      <c r="AV845" s="119"/>
      <c r="AW845" s="119"/>
      <c r="AX845" s="119"/>
      <c r="AY845" s="119"/>
      <c r="AZ845" s="119"/>
      <c r="BA845" s="119"/>
      <c r="BB845" s="119"/>
      <c r="BC845" s="119"/>
      <c r="BD845" s="119"/>
      <c r="BE845" s="119"/>
      <c r="BF845" s="119"/>
      <c r="BG845" s="119"/>
      <c r="BH845" s="119"/>
    </row>
    <row r="846" spans="1:60" ht="15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  <c r="AL846" s="119"/>
      <c r="AM846" s="119"/>
      <c r="AN846" s="119"/>
      <c r="AO846" s="119"/>
      <c r="AP846" s="119"/>
      <c r="AQ846" s="119"/>
      <c r="AR846" s="119"/>
      <c r="AS846" s="119"/>
      <c r="AT846" s="119"/>
      <c r="AU846" s="119"/>
      <c r="AV846" s="119"/>
      <c r="AW846" s="119"/>
      <c r="AX846" s="119"/>
      <c r="AY846" s="119"/>
      <c r="AZ846" s="119"/>
      <c r="BA846" s="119"/>
      <c r="BB846" s="119"/>
      <c r="BC846" s="119"/>
      <c r="BD846" s="119"/>
      <c r="BE846" s="119"/>
      <c r="BF846" s="119"/>
      <c r="BG846" s="119"/>
      <c r="BH846" s="119"/>
    </row>
    <row r="847" spans="1:60" ht="15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  <c r="AL847" s="119"/>
      <c r="AM847" s="119"/>
      <c r="AN847" s="119"/>
      <c r="AO847" s="119"/>
      <c r="AP847" s="119"/>
      <c r="AQ847" s="119"/>
      <c r="AR847" s="119"/>
      <c r="AS847" s="119"/>
      <c r="AT847" s="119"/>
      <c r="AU847" s="119"/>
      <c r="AV847" s="119"/>
      <c r="AW847" s="119"/>
      <c r="AX847" s="119"/>
      <c r="AY847" s="119"/>
      <c r="AZ847" s="119"/>
      <c r="BA847" s="119"/>
      <c r="BB847" s="119"/>
      <c r="BC847" s="119"/>
      <c r="BD847" s="119"/>
      <c r="BE847" s="119"/>
      <c r="BF847" s="119"/>
      <c r="BG847" s="119"/>
      <c r="BH847" s="119"/>
    </row>
    <row r="848" spans="1:60" ht="15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  <c r="AL848" s="119"/>
      <c r="AM848" s="119"/>
      <c r="AN848" s="119"/>
      <c r="AO848" s="119"/>
      <c r="AP848" s="119"/>
      <c r="AQ848" s="119"/>
      <c r="AR848" s="119"/>
      <c r="AS848" s="119"/>
      <c r="AT848" s="119"/>
      <c r="AU848" s="119"/>
      <c r="AV848" s="119"/>
      <c r="AW848" s="119"/>
      <c r="AX848" s="119"/>
      <c r="AY848" s="119"/>
      <c r="AZ848" s="119"/>
      <c r="BA848" s="119"/>
      <c r="BB848" s="119"/>
      <c r="BC848" s="119"/>
      <c r="BD848" s="119"/>
      <c r="BE848" s="119"/>
      <c r="BF848" s="119"/>
      <c r="BG848" s="119"/>
      <c r="BH848" s="119"/>
    </row>
    <row r="849" spans="1:60" ht="15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  <c r="AL849" s="119"/>
      <c r="AM849" s="119"/>
      <c r="AN849" s="119"/>
      <c r="AO849" s="119"/>
      <c r="AP849" s="119"/>
      <c r="AQ849" s="119"/>
      <c r="AR849" s="119"/>
      <c r="AS849" s="119"/>
      <c r="AT849" s="119"/>
      <c r="AU849" s="119"/>
      <c r="AV849" s="119"/>
      <c r="AW849" s="119"/>
      <c r="AX849" s="119"/>
      <c r="AY849" s="119"/>
      <c r="AZ849" s="119"/>
      <c r="BA849" s="119"/>
      <c r="BB849" s="119"/>
      <c r="BC849" s="119"/>
      <c r="BD849" s="119"/>
      <c r="BE849" s="119"/>
      <c r="BF849" s="119"/>
      <c r="BG849" s="119"/>
      <c r="BH849" s="119"/>
    </row>
    <row r="850" spans="1:60" ht="15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  <c r="AL850" s="119"/>
      <c r="AM850" s="119"/>
      <c r="AN850" s="119"/>
      <c r="AO850" s="119"/>
      <c r="AP850" s="119"/>
      <c r="AQ850" s="119"/>
      <c r="AR850" s="119"/>
      <c r="AS850" s="119"/>
      <c r="AT850" s="119"/>
      <c r="AU850" s="119"/>
      <c r="AV850" s="119"/>
      <c r="AW850" s="119"/>
      <c r="AX850" s="119"/>
      <c r="AY850" s="119"/>
      <c r="AZ850" s="119"/>
      <c r="BA850" s="119"/>
      <c r="BB850" s="119"/>
      <c r="BC850" s="119"/>
      <c r="BD850" s="119"/>
      <c r="BE850" s="119"/>
      <c r="BF850" s="119"/>
      <c r="BG850" s="119"/>
      <c r="BH850" s="119"/>
    </row>
    <row r="851" spans="1:60" ht="15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  <c r="AL851" s="119"/>
      <c r="AM851" s="119"/>
      <c r="AN851" s="119"/>
      <c r="AO851" s="119"/>
      <c r="AP851" s="119"/>
      <c r="AQ851" s="119"/>
      <c r="AR851" s="119"/>
      <c r="AS851" s="119"/>
      <c r="AT851" s="119"/>
      <c r="AU851" s="119"/>
      <c r="AV851" s="119"/>
      <c r="AW851" s="119"/>
      <c r="AX851" s="119"/>
      <c r="AY851" s="119"/>
      <c r="AZ851" s="119"/>
      <c r="BA851" s="119"/>
      <c r="BB851" s="119"/>
      <c r="BC851" s="119"/>
      <c r="BD851" s="119"/>
      <c r="BE851" s="119"/>
      <c r="BF851" s="119"/>
      <c r="BG851" s="119"/>
      <c r="BH851" s="119"/>
    </row>
    <row r="852" spans="1:60" ht="15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  <c r="AL852" s="119"/>
      <c r="AM852" s="119"/>
      <c r="AN852" s="119"/>
      <c r="AO852" s="119"/>
      <c r="AP852" s="119"/>
      <c r="AQ852" s="119"/>
      <c r="AR852" s="119"/>
      <c r="AS852" s="119"/>
      <c r="AT852" s="119"/>
      <c r="AU852" s="119"/>
      <c r="AV852" s="119"/>
      <c r="AW852" s="119"/>
      <c r="AX852" s="119"/>
      <c r="AY852" s="119"/>
      <c r="AZ852" s="119"/>
      <c r="BA852" s="119"/>
      <c r="BB852" s="119"/>
      <c r="BC852" s="119"/>
      <c r="BD852" s="119"/>
      <c r="BE852" s="119"/>
      <c r="BF852" s="119"/>
      <c r="BG852" s="119"/>
      <c r="BH852" s="119"/>
    </row>
    <row r="853" spans="1:60" ht="15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  <c r="AL853" s="119"/>
      <c r="AM853" s="119"/>
      <c r="AN853" s="119"/>
      <c r="AO853" s="119"/>
      <c r="AP853" s="119"/>
      <c r="AQ853" s="119"/>
      <c r="AR853" s="119"/>
      <c r="AS853" s="119"/>
      <c r="AT853" s="119"/>
      <c r="AU853" s="119"/>
      <c r="AV853" s="119"/>
      <c r="AW853" s="119"/>
      <c r="AX853" s="119"/>
      <c r="AY853" s="119"/>
      <c r="AZ853" s="119"/>
      <c r="BA853" s="119"/>
      <c r="BB853" s="119"/>
      <c r="BC853" s="119"/>
      <c r="BD853" s="119"/>
      <c r="BE853" s="119"/>
      <c r="BF853" s="119"/>
      <c r="BG853" s="119"/>
      <c r="BH853" s="119"/>
    </row>
    <row r="854" spans="1:60" ht="15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  <c r="AL854" s="119"/>
      <c r="AM854" s="119"/>
      <c r="AN854" s="119"/>
      <c r="AO854" s="119"/>
      <c r="AP854" s="119"/>
      <c r="AQ854" s="119"/>
      <c r="AR854" s="119"/>
      <c r="AS854" s="119"/>
      <c r="AT854" s="119"/>
      <c r="AU854" s="119"/>
      <c r="AV854" s="119"/>
      <c r="AW854" s="119"/>
      <c r="AX854" s="119"/>
      <c r="AY854" s="119"/>
      <c r="AZ854" s="119"/>
      <c r="BA854" s="119"/>
      <c r="BB854" s="119"/>
      <c r="BC854" s="119"/>
      <c r="BD854" s="119"/>
      <c r="BE854" s="119"/>
      <c r="BF854" s="119"/>
      <c r="BG854" s="119"/>
      <c r="BH854" s="119"/>
    </row>
    <row r="855" spans="1:60" ht="15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  <c r="AL855" s="119"/>
      <c r="AM855" s="119"/>
      <c r="AN855" s="119"/>
      <c r="AO855" s="119"/>
      <c r="AP855" s="119"/>
      <c r="AQ855" s="119"/>
      <c r="AR855" s="119"/>
      <c r="AS855" s="119"/>
      <c r="AT855" s="119"/>
      <c r="AU855" s="119"/>
      <c r="AV855" s="119"/>
      <c r="AW855" s="119"/>
      <c r="AX855" s="119"/>
      <c r="AY855" s="119"/>
      <c r="AZ855" s="119"/>
      <c r="BA855" s="119"/>
      <c r="BB855" s="119"/>
      <c r="BC855" s="119"/>
      <c r="BD855" s="119"/>
      <c r="BE855" s="119"/>
      <c r="BF855" s="119"/>
      <c r="BG855" s="119"/>
      <c r="BH855" s="119"/>
    </row>
    <row r="856" spans="1:60" ht="15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  <c r="AL856" s="119"/>
      <c r="AM856" s="119"/>
      <c r="AN856" s="119"/>
      <c r="AO856" s="119"/>
      <c r="AP856" s="119"/>
      <c r="AQ856" s="119"/>
      <c r="AR856" s="119"/>
      <c r="AS856" s="119"/>
      <c r="AT856" s="119"/>
      <c r="AU856" s="119"/>
      <c r="AV856" s="119"/>
      <c r="AW856" s="119"/>
      <c r="AX856" s="119"/>
      <c r="AY856" s="119"/>
      <c r="AZ856" s="119"/>
      <c r="BA856" s="119"/>
      <c r="BB856" s="119"/>
      <c r="BC856" s="119"/>
      <c r="BD856" s="119"/>
      <c r="BE856" s="119"/>
      <c r="BF856" s="119"/>
      <c r="BG856" s="119"/>
      <c r="BH856" s="119"/>
    </row>
    <row r="857" spans="1:60" ht="15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  <c r="AL857" s="119"/>
      <c r="AM857" s="119"/>
      <c r="AN857" s="119"/>
      <c r="AO857" s="119"/>
      <c r="AP857" s="119"/>
      <c r="AQ857" s="119"/>
      <c r="AR857" s="119"/>
      <c r="AS857" s="119"/>
      <c r="AT857" s="119"/>
      <c r="AU857" s="119"/>
      <c r="AV857" s="119"/>
      <c r="AW857" s="119"/>
      <c r="AX857" s="119"/>
      <c r="AY857" s="119"/>
      <c r="AZ857" s="119"/>
      <c r="BA857" s="119"/>
      <c r="BB857" s="119"/>
      <c r="BC857" s="119"/>
      <c r="BD857" s="119"/>
      <c r="BE857" s="119"/>
      <c r="BF857" s="119"/>
      <c r="BG857" s="119"/>
      <c r="BH857" s="119"/>
    </row>
    <row r="858" spans="1:60" ht="15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  <c r="AL858" s="119"/>
      <c r="AM858" s="119"/>
      <c r="AN858" s="119"/>
      <c r="AO858" s="119"/>
      <c r="AP858" s="119"/>
      <c r="AQ858" s="119"/>
      <c r="AR858" s="119"/>
      <c r="AS858" s="119"/>
      <c r="AT858" s="119"/>
      <c r="AU858" s="119"/>
      <c r="AV858" s="119"/>
      <c r="AW858" s="119"/>
      <c r="AX858" s="119"/>
      <c r="AY858" s="119"/>
      <c r="AZ858" s="119"/>
      <c r="BA858" s="119"/>
      <c r="BB858" s="119"/>
      <c r="BC858" s="119"/>
      <c r="BD858" s="119"/>
      <c r="BE858" s="119"/>
      <c r="BF858" s="119"/>
      <c r="BG858" s="119"/>
      <c r="BH858" s="119"/>
    </row>
    <row r="859" spans="1:60" ht="15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  <c r="AL859" s="119"/>
      <c r="AM859" s="119"/>
      <c r="AN859" s="119"/>
      <c r="AO859" s="119"/>
      <c r="AP859" s="119"/>
      <c r="AQ859" s="119"/>
      <c r="AR859" s="119"/>
      <c r="AS859" s="119"/>
      <c r="AT859" s="119"/>
      <c r="AU859" s="119"/>
      <c r="AV859" s="119"/>
      <c r="AW859" s="119"/>
      <c r="AX859" s="119"/>
      <c r="AY859" s="119"/>
      <c r="AZ859" s="119"/>
      <c r="BA859" s="119"/>
      <c r="BB859" s="119"/>
      <c r="BC859" s="119"/>
      <c r="BD859" s="119"/>
      <c r="BE859" s="119"/>
      <c r="BF859" s="119"/>
      <c r="BG859" s="119"/>
      <c r="BH859" s="119"/>
    </row>
    <row r="860" spans="1:60" ht="15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  <c r="AN860" s="119"/>
      <c r="AO860" s="119"/>
      <c r="AP860" s="119"/>
      <c r="AQ860" s="119"/>
      <c r="AR860" s="119"/>
      <c r="AS860" s="119"/>
      <c r="AT860" s="119"/>
      <c r="AU860" s="119"/>
      <c r="AV860" s="119"/>
      <c r="AW860" s="119"/>
      <c r="AX860" s="119"/>
      <c r="AY860" s="119"/>
      <c r="AZ860" s="119"/>
      <c r="BA860" s="119"/>
      <c r="BB860" s="119"/>
      <c r="BC860" s="119"/>
      <c r="BD860" s="119"/>
      <c r="BE860" s="119"/>
      <c r="BF860" s="119"/>
      <c r="BG860" s="119"/>
      <c r="BH860" s="119"/>
    </row>
    <row r="861" spans="1:60" ht="15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  <c r="AL861" s="119"/>
      <c r="AM861" s="119"/>
      <c r="AN861" s="119"/>
      <c r="AO861" s="119"/>
      <c r="AP861" s="119"/>
      <c r="AQ861" s="119"/>
      <c r="AR861" s="119"/>
      <c r="AS861" s="119"/>
      <c r="AT861" s="119"/>
      <c r="AU861" s="119"/>
      <c r="AV861" s="119"/>
      <c r="AW861" s="119"/>
      <c r="AX861" s="119"/>
      <c r="AY861" s="119"/>
      <c r="AZ861" s="119"/>
      <c r="BA861" s="119"/>
      <c r="BB861" s="119"/>
      <c r="BC861" s="119"/>
      <c r="BD861" s="119"/>
      <c r="BE861" s="119"/>
      <c r="BF861" s="119"/>
      <c r="BG861" s="119"/>
      <c r="BH861" s="119"/>
    </row>
    <row r="862" spans="1:60" ht="15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  <c r="AL862" s="119"/>
      <c r="AM862" s="119"/>
      <c r="AN862" s="119"/>
      <c r="AO862" s="119"/>
      <c r="AP862" s="119"/>
      <c r="AQ862" s="119"/>
      <c r="AR862" s="119"/>
      <c r="AS862" s="119"/>
      <c r="AT862" s="119"/>
      <c r="AU862" s="119"/>
      <c r="AV862" s="119"/>
      <c r="AW862" s="119"/>
      <c r="AX862" s="119"/>
      <c r="AY862" s="119"/>
      <c r="AZ862" s="119"/>
      <c r="BA862" s="119"/>
      <c r="BB862" s="119"/>
      <c r="BC862" s="119"/>
      <c r="BD862" s="119"/>
      <c r="BE862" s="119"/>
      <c r="BF862" s="119"/>
      <c r="BG862" s="119"/>
      <c r="BH862" s="119"/>
    </row>
    <row r="863" spans="1:60" ht="15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  <c r="AN863" s="119"/>
      <c r="AO863" s="119"/>
      <c r="AP863" s="119"/>
      <c r="AQ863" s="119"/>
      <c r="AR863" s="119"/>
      <c r="AS863" s="119"/>
      <c r="AT863" s="119"/>
      <c r="AU863" s="119"/>
      <c r="AV863" s="119"/>
      <c r="AW863" s="119"/>
      <c r="AX863" s="119"/>
      <c r="AY863" s="119"/>
      <c r="AZ863" s="119"/>
      <c r="BA863" s="119"/>
      <c r="BB863" s="119"/>
      <c r="BC863" s="119"/>
      <c r="BD863" s="119"/>
      <c r="BE863" s="119"/>
      <c r="BF863" s="119"/>
      <c r="BG863" s="119"/>
      <c r="BH863" s="119"/>
    </row>
    <row r="864" spans="1:60" ht="15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  <c r="AL864" s="119"/>
      <c r="AM864" s="119"/>
      <c r="AN864" s="119"/>
      <c r="AO864" s="119"/>
      <c r="AP864" s="119"/>
      <c r="AQ864" s="119"/>
      <c r="AR864" s="119"/>
      <c r="AS864" s="119"/>
      <c r="AT864" s="119"/>
      <c r="AU864" s="119"/>
      <c r="AV864" s="119"/>
      <c r="AW864" s="119"/>
      <c r="AX864" s="119"/>
      <c r="AY864" s="119"/>
      <c r="AZ864" s="119"/>
      <c r="BA864" s="119"/>
      <c r="BB864" s="119"/>
      <c r="BC864" s="119"/>
      <c r="BD864" s="119"/>
      <c r="BE864" s="119"/>
      <c r="BF864" s="119"/>
      <c r="BG864" s="119"/>
      <c r="BH864" s="119"/>
    </row>
    <row r="865" spans="1:60" ht="15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  <c r="AL865" s="119"/>
      <c r="AM865" s="119"/>
      <c r="AN865" s="119"/>
      <c r="AO865" s="119"/>
      <c r="AP865" s="119"/>
      <c r="AQ865" s="119"/>
      <c r="AR865" s="119"/>
      <c r="AS865" s="119"/>
      <c r="AT865" s="119"/>
      <c r="AU865" s="119"/>
      <c r="AV865" s="119"/>
      <c r="AW865" s="119"/>
      <c r="AX865" s="119"/>
      <c r="AY865" s="119"/>
      <c r="AZ865" s="119"/>
      <c r="BA865" s="119"/>
      <c r="BB865" s="119"/>
      <c r="BC865" s="119"/>
      <c r="BD865" s="119"/>
      <c r="BE865" s="119"/>
      <c r="BF865" s="119"/>
      <c r="BG865" s="119"/>
      <c r="BH865" s="119"/>
    </row>
    <row r="866" spans="1:60" ht="15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  <c r="AL866" s="119"/>
      <c r="AM866" s="119"/>
      <c r="AN866" s="119"/>
      <c r="AO866" s="119"/>
      <c r="AP866" s="119"/>
      <c r="AQ866" s="119"/>
      <c r="AR866" s="119"/>
      <c r="AS866" s="119"/>
      <c r="AT866" s="119"/>
      <c r="AU866" s="119"/>
      <c r="AV866" s="119"/>
      <c r="AW866" s="119"/>
      <c r="AX866" s="119"/>
      <c r="AY866" s="119"/>
      <c r="AZ866" s="119"/>
      <c r="BA866" s="119"/>
      <c r="BB866" s="119"/>
      <c r="BC866" s="119"/>
      <c r="BD866" s="119"/>
      <c r="BE866" s="119"/>
      <c r="BF866" s="119"/>
      <c r="BG866" s="119"/>
      <c r="BH866" s="119"/>
    </row>
    <row r="867" spans="1:60" ht="15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  <c r="AL867" s="119"/>
      <c r="AM867" s="119"/>
      <c r="AN867" s="119"/>
      <c r="AO867" s="119"/>
      <c r="AP867" s="119"/>
      <c r="AQ867" s="119"/>
      <c r="AR867" s="119"/>
      <c r="AS867" s="119"/>
      <c r="AT867" s="119"/>
      <c r="AU867" s="119"/>
      <c r="AV867" s="119"/>
      <c r="AW867" s="119"/>
      <c r="AX867" s="119"/>
      <c r="AY867" s="119"/>
      <c r="AZ867" s="119"/>
      <c r="BA867" s="119"/>
      <c r="BB867" s="119"/>
      <c r="BC867" s="119"/>
      <c r="BD867" s="119"/>
      <c r="BE867" s="119"/>
      <c r="BF867" s="119"/>
      <c r="BG867" s="119"/>
      <c r="BH867" s="119"/>
    </row>
    <row r="868" spans="1:60" ht="15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  <c r="AL868" s="119"/>
      <c r="AM868" s="119"/>
      <c r="AN868" s="119"/>
      <c r="AO868" s="119"/>
      <c r="AP868" s="119"/>
      <c r="AQ868" s="119"/>
      <c r="AR868" s="119"/>
      <c r="AS868" s="119"/>
      <c r="AT868" s="119"/>
      <c r="AU868" s="119"/>
      <c r="AV868" s="119"/>
      <c r="AW868" s="119"/>
      <c r="AX868" s="119"/>
      <c r="AY868" s="119"/>
      <c r="AZ868" s="119"/>
      <c r="BA868" s="119"/>
      <c r="BB868" s="119"/>
      <c r="BC868" s="119"/>
      <c r="BD868" s="119"/>
      <c r="BE868" s="119"/>
      <c r="BF868" s="119"/>
      <c r="BG868" s="119"/>
      <c r="BH868" s="119"/>
    </row>
    <row r="869" spans="1:60" ht="15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  <c r="AL869" s="119"/>
      <c r="AM869" s="119"/>
      <c r="AN869" s="119"/>
      <c r="AO869" s="119"/>
      <c r="AP869" s="119"/>
      <c r="AQ869" s="119"/>
      <c r="AR869" s="119"/>
      <c r="AS869" s="119"/>
      <c r="AT869" s="119"/>
      <c r="AU869" s="119"/>
      <c r="AV869" s="119"/>
      <c r="AW869" s="119"/>
      <c r="AX869" s="119"/>
      <c r="AY869" s="119"/>
      <c r="AZ869" s="119"/>
      <c r="BA869" s="119"/>
      <c r="BB869" s="119"/>
      <c r="BC869" s="119"/>
      <c r="BD869" s="119"/>
      <c r="BE869" s="119"/>
      <c r="BF869" s="119"/>
      <c r="BG869" s="119"/>
      <c r="BH869" s="119"/>
    </row>
    <row r="870" spans="1:60" ht="15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  <c r="AL870" s="119"/>
      <c r="AM870" s="119"/>
      <c r="AN870" s="119"/>
      <c r="AO870" s="119"/>
      <c r="AP870" s="119"/>
      <c r="AQ870" s="119"/>
      <c r="AR870" s="119"/>
      <c r="AS870" s="119"/>
      <c r="AT870" s="119"/>
      <c r="AU870" s="119"/>
      <c r="AV870" s="119"/>
      <c r="AW870" s="119"/>
      <c r="AX870" s="119"/>
      <c r="AY870" s="119"/>
      <c r="AZ870" s="119"/>
      <c r="BA870" s="119"/>
      <c r="BB870" s="119"/>
      <c r="BC870" s="119"/>
      <c r="BD870" s="119"/>
      <c r="BE870" s="119"/>
      <c r="BF870" s="119"/>
      <c r="BG870" s="119"/>
      <c r="BH870" s="119"/>
    </row>
    <row r="871" spans="1:60" ht="15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  <c r="AL871" s="119"/>
      <c r="AM871" s="119"/>
      <c r="AN871" s="119"/>
      <c r="AO871" s="119"/>
      <c r="AP871" s="119"/>
      <c r="AQ871" s="119"/>
      <c r="AR871" s="119"/>
      <c r="AS871" s="119"/>
      <c r="AT871" s="119"/>
      <c r="AU871" s="119"/>
      <c r="AV871" s="119"/>
      <c r="AW871" s="119"/>
      <c r="AX871" s="119"/>
      <c r="AY871" s="119"/>
      <c r="AZ871" s="119"/>
      <c r="BA871" s="119"/>
      <c r="BB871" s="119"/>
      <c r="BC871" s="119"/>
      <c r="BD871" s="119"/>
      <c r="BE871" s="119"/>
      <c r="BF871" s="119"/>
      <c r="BG871" s="119"/>
      <c r="BH871" s="119"/>
    </row>
    <row r="872" spans="1:60" ht="15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  <c r="AL872" s="119"/>
      <c r="AM872" s="119"/>
      <c r="AN872" s="119"/>
      <c r="AO872" s="119"/>
      <c r="AP872" s="119"/>
      <c r="AQ872" s="119"/>
      <c r="AR872" s="119"/>
      <c r="AS872" s="119"/>
      <c r="AT872" s="119"/>
      <c r="AU872" s="119"/>
      <c r="AV872" s="119"/>
      <c r="AW872" s="119"/>
      <c r="AX872" s="119"/>
      <c r="AY872" s="119"/>
      <c r="AZ872" s="119"/>
      <c r="BA872" s="119"/>
      <c r="BB872" s="119"/>
      <c r="BC872" s="119"/>
      <c r="BD872" s="119"/>
      <c r="BE872" s="119"/>
      <c r="BF872" s="119"/>
      <c r="BG872" s="119"/>
      <c r="BH872" s="119"/>
    </row>
    <row r="873" spans="1:60" ht="15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  <c r="AN873" s="119"/>
      <c r="AO873" s="119"/>
      <c r="AP873" s="119"/>
      <c r="AQ873" s="119"/>
      <c r="AR873" s="119"/>
      <c r="AS873" s="119"/>
      <c r="AT873" s="119"/>
      <c r="AU873" s="119"/>
      <c r="AV873" s="119"/>
      <c r="AW873" s="119"/>
      <c r="AX873" s="119"/>
      <c r="AY873" s="119"/>
      <c r="AZ873" s="119"/>
      <c r="BA873" s="119"/>
      <c r="BB873" s="119"/>
      <c r="BC873" s="119"/>
      <c r="BD873" s="119"/>
      <c r="BE873" s="119"/>
      <c r="BF873" s="119"/>
      <c r="BG873" s="119"/>
      <c r="BH873" s="119"/>
    </row>
    <row r="874" spans="1:60" ht="15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  <c r="AL874" s="119"/>
      <c r="AM874" s="119"/>
      <c r="AN874" s="119"/>
      <c r="AO874" s="119"/>
      <c r="AP874" s="119"/>
      <c r="AQ874" s="119"/>
      <c r="AR874" s="119"/>
      <c r="AS874" s="119"/>
      <c r="AT874" s="119"/>
      <c r="AU874" s="119"/>
      <c r="AV874" s="119"/>
      <c r="AW874" s="119"/>
      <c r="AX874" s="119"/>
      <c r="AY874" s="119"/>
      <c r="AZ874" s="119"/>
      <c r="BA874" s="119"/>
      <c r="BB874" s="119"/>
      <c r="BC874" s="119"/>
      <c r="BD874" s="119"/>
      <c r="BE874" s="119"/>
      <c r="BF874" s="119"/>
      <c r="BG874" s="119"/>
      <c r="BH874" s="119"/>
    </row>
    <row r="875" spans="1:60" ht="15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  <c r="AL875" s="119"/>
      <c r="AM875" s="119"/>
      <c r="AN875" s="119"/>
      <c r="AO875" s="119"/>
      <c r="AP875" s="119"/>
      <c r="AQ875" s="119"/>
      <c r="AR875" s="119"/>
      <c r="AS875" s="119"/>
      <c r="AT875" s="119"/>
      <c r="AU875" s="119"/>
      <c r="AV875" s="119"/>
      <c r="AW875" s="119"/>
      <c r="AX875" s="119"/>
      <c r="AY875" s="119"/>
      <c r="AZ875" s="119"/>
      <c r="BA875" s="119"/>
      <c r="BB875" s="119"/>
      <c r="BC875" s="119"/>
      <c r="BD875" s="119"/>
      <c r="BE875" s="119"/>
      <c r="BF875" s="119"/>
      <c r="BG875" s="119"/>
      <c r="BH875" s="119"/>
    </row>
    <row r="876" spans="1:60" ht="15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  <c r="AL876" s="119"/>
      <c r="AM876" s="119"/>
      <c r="AN876" s="119"/>
      <c r="AO876" s="119"/>
      <c r="AP876" s="119"/>
      <c r="AQ876" s="119"/>
      <c r="AR876" s="119"/>
      <c r="AS876" s="119"/>
      <c r="AT876" s="119"/>
      <c r="AU876" s="119"/>
      <c r="AV876" s="119"/>
      <c r="AW876" s="119"/>
      <c r="AX876" s="119"/>
      <c r="AY876" s="119"/>
      <c r="AZ876" s="119"/>
      <c r="BA876" s="119"/>
      <c r="BB876" s="119"/>
      <c r="BC876" s="119"/>
      <c r="BD876" s="119"/>
      <c r="BE876" s="119"/>
      <c r="BF876" s="119"/>
      <c r="BG876" s="119"/>
      <c r="BH876" s="119"/>
    </row>
    <row r="877" spans="1:60" ht="15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  <c r="AL877" s="119"/>
      <c r="AM877" s="119"/>
      <c r="AN877" s="119"/>
      <c r="AO877" s="119"/>
      <c r="AP877" s="119"/>
      <c r="AQ877" s="119"/>
      <c r="AR877" s="119"/>
      <c r="AS877" s="119"/>
      <c r="AT877" s="119"/>
      <c r="AU877" s="119"/>
      <c r="AV877" s="119"/>
      <c r="AW877" s="119"/>
      <c r="AX877" s="119"/>
      <c r="AY877" s="119"/>
      <c r="AZ877" s="119"/>
      <c r="BA877" s="119"/>
      <c r="BB877" s="119"/>
      <c r="BC877" s="119"/>
      <c r="BD877" s="119"/>
      <c r="BE877" s="119"/>
      <c r="BF877" s="119"/>
      <c r="BG877" s="119"/>
      <c r="BH877" s="119"/>
    </row>
    <row r="878" spans="1:60" ht="15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  <c r="AL878" s="119"/>
      <c r="AM878" s="119"/>
      <c r="AN878" s="119"/>
      <c r="AO878" s="119"/>
      <c r="AP878" s="119"/>
      <c r="AQ878" s="119"/>
      <c r="AR878" s="119"/>
      <c r="AS878" s="119"/>
      <c r="AT878" s="119"/>
      <c r="AU878" s="119"/>
      <c r="AV878" s="119"/>
      <c r="AW878" s="119"/>
      <c r="AX878" s="119"/>
      <c r="AY878" s="119"/>
      <c r="AZ878" s="119"/>
      <c r="BA878" s="119"/>
      <c r="BB878" s="119"/>
      <c r="BC878" s="119"/>
      <c r="BD878" s="119"/>
      <c r="BE878" s="119"/>
      <c r="BF878" s="119"/>
      <c r="BG878" s="119"/>
      <c r="BH878" s="119"/>
    </row>
    <row r="879" spans="1:60" ht="15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  <c r="AL879" s="119"/>
      <c r="AM879" s="119"/>
      <c r="AN879" s="119"/>
      <c r="AO879" s="119"/>
      <c r="AP879" s="119"/>
      <c r="AQ879" s="119"/>
      <c r="AR879" s="119"/>
      <c r="AS879" s="119"/>
      <c r="AT879" s="119"/>
      <c r="AU879" s="119"/>
      <c r="AV879" s="119"/>
      <c r="AW879" s="119"/>
      <c r="AX879" s="119"/>
      <c r="AY879" s="119"/>
      <c r="AZ879" s="119"/>
      <c r="BA879" s="119"/>
      <c r="BB879" s="119"/>
      <c r="BC879" s="119"/>
      <c r="BD879" s="119"/>
      <c r="BE879" s="119"/>
      <c r="BF879" s="119"/>
      <c r="BG879" s="119"/>
      <c r="BH879" s="119"/>
    </row>
    <row r="880" spans="1:60" ht="15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  <c r="AL880" s="119"/>
      <c r="AM880" s="119"/>
      <c r="AN880" s="119"/>
      <c r="AO880" s="119"/>
      <c r="AP880" s="119"/>
      <c r="AQ880" s="119"/>
      <c r="AR880" s="119"/>
      <c r="AS880" s="119"/>
      <c r="AT880" s="119"/>
      <c r="AU880" s="119"/>
      <c r="AV880" s="119"/>
      <c r="AW880" s="119"/>
      <c r="AX880" s="119"/>
      <c r="AY880" s="119"/>
      <c r="AZ880" s="119"/>
      <c r="BA880" s="119"/>
      <c r="BB880" s="119"/>
      <c r="BC880" s="119"/>
      <c r="BD880" s="119"/>
      <c r="BE880" s="119"/>
      <c r="BF880" s="119"/>
      <c r="BG880" s="119"/>
      <c r="BH880" s="119"/>
    </row>
    <row r="881" spans="1:60" ht="15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  <c r="AL881" s="119"/>
      <c r="AM881" s="119"/>
      <c r="AN881" s="119"/>
      <c r="AO881" s="119"/>
      <c r="AP881" s="119"/>
      <c r="AQ881" s="119"/>
      <c r="AR881" s="119"/>
      <c r="AS881" s="119"/>
      <c r="AT881" s="119"/>
      <c r="AU881" s="119"/>
      <c r="AV881" s="119"/>
      <c r="AW881" s="119"/>
      <c r="AX881" s="119"/>
      <c r="AY881" s="119"/>
      <c r="AZ881" s="119"/>
      <c r="BA881" s="119"/>
      <c r="BB881" s="119"/>
      <c r="BC881" s="119"/>
      <c r="BD881" s="119"/>
      <c r="BE881" s="119"/>
      <c r="BF881" s="119"/>
      <c r="BG881" s="119"/>
      <c r="BH881" s="119"/>
    </row>
    <row r="882" spans="1:60" ht="15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  <c r="AL882" s="119"/>
      <c r="AM882" s="119"/>
      <c r="AN882" s="119"/>
      <c r="AO882" s="119"/>
      <c r="AP882" s="119"/>
      <c r="AQ882" s="119"/>
      <c r="AR882" s="119"/>
      <c r="AS882" s="119"/>
      <c r="AT882" s="119"/>
      <c r="AU882" s="119"/>
      <c r="AV882" s="119"/>
      <c r="AW882" s="119"/>
      <c r="AX882" s="119"/>
      <c r="AY882" s="119"/>
      <c r="AZ882" s="119"/>
      <c r="BA882" s="119"/>
      <c r="BB882" s="119"/>
      <c r="BC882" s="119"/>
      <c r="BD882" s="119"/>
      <c r="BE882" s="119"/>
      <c r="BF882" s="119"/>
      <c r="BG882" s="119"/>
      <c r="BH882" s="119"/>
    </row>
    <row r="883" spans="1:60" ht="15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  <c r="AL883" s="119"/>
      <c r="AM883" s="119"/>
      <c r="AN883" s="119"/>
      <c r="AO883" s="119"/>
      <c r="AP883" s="119"/>
      <c r="AQ883" s="119"/>
      <c r="AR883" s="119"/>
      <c r="AS883" s="119"/>
      <c r="AT883" s="119"/>
      <c r="AU883" s="119"/>
      <c r="AV883" s="119"/>
      <c r="AW883" s="119"/>
      <c r="AX883" s="119"/>
      <c r="AY883" s="119"/>
      <c r="AZ883" s="119"/>
      <c r="BA883" s="119"/>
      <c r="BB883" s="119"/>
      <c r="BC883" s="119"/>
      <c r="BD883" s="119"/>
      <c r="BE883" s="119"/>
      <c r="BF883" s="119"/>
      <c r="BG883" s="119"/>
      <c r="BH883" s="119"/>
    </row>
    <row r="884" spans="1:60" ht="15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  <c r="AL884" s="119"/>
      <c r="AM884" s="119"/>
      <c r="AN884" s="119"/>
      <c r="AO884" s="119"/>
      <c r="AP884" s="119"/>
      <c r="AQ884" s="119"/>
      <c r="AR884" s="119"/>
      <c r="AS884" s="119"/>
      <c r="AT884" s="119"/>
      <c r="AU884" s="119"/>
      <c r="AV884" s="119"/>
      <c r="AW884" s="119"/>
      <c r="AX884" s="119"/>
      <c r="AY884" s="119"/>
      <c r="AZ884" s="119"/>
      <c r="BA884" s="119"/>
      <c r="BB884" s="119"/>
      <c r="BC884" s="119"/>
      <c r="BD884" s="119"/>
      <c r="BE884" s="119"/>
      <c r="BF884" s="119"/>
      <c r="BG884" s="119"/>
      <c r="BH884" s="119"/>
    </row>
    <row r="885" spans="1:60" ht="15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  <c r="AL885" s="119"/>
      <c r="AM885" s="119"/>
      <c r="AN885" s="119"/>
      <c r="AO885" s="119"/>
      <c r="AP885" s="119"/>
      <c r="AQ885" s="119"/>
      <c r="AR885" s="119"/>
      <c r="AS885" s="119"/>
      <c r="AT885" s="119"/>
      <c r="AU885" s="119"/>
      <c r="AV885" s="119"/>
      <c r="AW885" s="119"/>
      <c r="AX885" s="119"/>
      <c r="AY885" s="119"/>
      <c r="AZ885" s="119"/>
      <c r="BA885" s="119"/>
      <c r="BB885" s="119"/>
      <c r="BC885" s="119"/>
      <c r="BD885" s="119"/>
      <c r="BE885" s="119"/>
      <c r="BF885" s="119"/>
      <c r="BG885" s="119"/>
      <c r="BH885" s="119"/>
    </row>
    <row r="886" spans="1:60" ht="15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  <c r="AL886" s="119"/>
      <c r="AM886" s="119"/>
      <c r="AN886" s="119"/>
      <c r="AO886" s="119"/>
      <c r="AP886" s="119"/>
      <c r="AQ886" s="119"/>
      <c r="AR886" s="119"/>
      <c r="AS886" s="119"/>
      <c r="AT886" s="119"/>
      <c r="AU886" s="119"/>
      <c r="AV886" s="119"/>
      <c r="AW886" s="119"/>
      <c r="AX886" s="119"/>
      <c r="AY886" s="119"/>
      <c r="AZ886" s="119"/>
      <c r="BA886" s="119"/>
      <c r="BB886" s="119"/>
      <c r="BC886" s="119"/>
      <c r="BD886" s="119"/>
      <c r="BE886" s="119"/>
      <c r="BF886" s="119"/>
      <c r="BG886" s="119"/>
      <c r="BH886" s="119"/>
    </row>
    <row r="887" spans="1:60" ht="15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  <c r="AL887" s="119"/>
      <c r="AM887" s="119"/>
      <c r="AN887" s="119"/>
      <c r="AO887" s="119"/>
      <c r="AP887" s="119"/>
      <c r="AQ887" s="119"/>
      <c r="AR887" s="119"/>
      <c r="AS887" s="119"/>
      <c r="AT887" s="119"/>
      <c r="AU887" s="119"/>
      <c r="AV887" s="119"/>
      <c r="AW887" s="119"/>
      <c r="AX887" s="119"/>
      <c r="AY887" s="119"/>
      <c r="AZ887" s="119"/>
      <c r="BA887" s="119"/>
      <c r="BB887" s="119"/>
      <c r="BC887" s="119"/>
      <c r="BD887" s="119"/>
      <c r="BE887" s="119"/>
      <c r="BF887" s="119"/>
      <c r="BG887" s="119"/>
      <c r="BH887" s="119"/>
    </row>
    <row r="888" spans="1:60" ht="15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  <c r="AL888" s="119"/>
      <c r="AM888" s="119"/>
      <c r="AN888" s="119"/>
      <c r="AO888" s="119"/>
      <c r="AP888" s="119"/>
      <c r="AQ888" s="119"/>
      <c r="AR888" s="119"/>
      <c r="AS888" s="119"/>
      <c r="AT888" s="119"/>
      <c r="AU888" s="119"/>
      <c r="AV888" s="119"/>
      <c r="AW888" s="119"/>
      <c r="AX888" s="119"/>
      <c r="AY888" s="119"/>
      <c r="AZ888" s="119"/>
      <c r="BA888" s="119"/>
      <c r="BB888" s="119"/>
      <c r="BC888" s="119"/>
      <c r="BD888" s="119"/>
      <c r="BE888" s="119"/>
      <c r="BF888" s="119"/>
      <c r="BG888" s="119"/>
      <c r="BH888" s="119"/>
    </row>
    <row r="889" spans="1:60" ht="15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  <c r="AL889" s="119"/>
      <c r="AM889" s="119"/>
      <c r="AN889" s="119"/>
      <c r="AO889" s="119"/>
      <c r="AP889" s="119"/>
      <c r="AQ889" s="119"/>
      <c r="AR889" s="119"/>
      <c r="AS889" s="119"/>
      <c r="AT889" s="119"/>
      <c r="AU889" s="119"/>
      <c r="AV889" s="119"/>
      <c r="AW889" s="119"/>
      <c r="AX889" s="119"/>
      <c r="AY889" s="119"/>
      <c r="AZ889" s="119"/>
      <c r="BA889" s="119"/>
      <c r="BB889" s="119"/>
      <c r="BC889" s="119"/>
      <c r="BD889" s="119"/>
      <c r="BE889" s="119"/>
      <c r="BF889" s="119"/>
      <c r="BG889" s="119"/>
      <c r="BH889" s="119"/>
    </row>
    <row r="890" spans="1:60" ht="15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  <c r="AL890" s="119"/>
      <c r="AM890" s="119"/>
      <c r="AN890" s="119"/>
      <c r="AO890" s="119"/>
      <c r="AP890" s="119"/>
      <c r="AQ890" s="119"/>
      <c r="AR890" s="119"/>
      <c r="AS890" s="119"/>
      <c r="AT890" s="119"/>
      <c r="AU890" s="119"/>
      <c r="AV890" s="119"/>
      <c r="AW890" s="119"/>
      <c r="AX890" s="119"/>
      <c r="AY890" s="119"/>
      <c r="AZ890" s="119"/>
      <c r="BA890" s="119"/>
      <c r="BB890" s="119"/>
      <c r="BC890" s="119"/>
      <c r="BD890" s="119"/>
      <c r="BE890" s="119"/>
      <c r="BF890" s="119"/>
      <c r="BG890" s="119"/>
      <c r="BH890" s="119"/>
    </row>
    <row r="891" spans="1:60" ht="15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  <c r="AL891" s="119"/>
      <c r="AM891" s="119"/>
      <c r="AN891" s="119"/>
      <c r="AO891" s="119"/>
      <c r="AP891" s="119"/>
      <c r="AQ891" s="119"/>
      <c r="AR891" s="119"/>
      <c r="AS891" s="119"/>
      <c r="AT891" s="119"/>
      <c r="AU891" s="119"/>
      <c r="AV891" s="119"/>
      <c r="AW891" s="119"/>
      <c r="AX891" s="119"/>
      <c r="AY891" s="119"/>
      <c r="AZ891" s="119"/>
      <c r="BA891" s="119"/>
      <c r="BB891" s="119"/>
      <c r="BC891" s="119"/>
      <c r="BD891" s="119"/>
      <c r="BE891" s="119"/>
      <c r="BF891" s="119"/>
      <c r="BG891" s="119"/>
      <c r="BH891" s="119"/>
    </row>
    <row r="892" spans="1:60" ht="15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  <c r="AL892" s="119"/>
      <c r="AM892" s="119"/>
      <c r="AN892" s="119"/>
      <c r="AO892" s="119"/>
      <c r="AP892" s="119"/>
      <c r="AQ892" s="119"/>
      <c r="AR892" s="119"/>
      <c r="AS892" s="119"/>
      <c r="AT892" s="119"/>
      <c r="AU892" s="119"/>
      <c r="AV892" s="119"/>
      <c r="AW892" s="119"/>
      <c r="AX892" s="119"/>
      <c r="AY892" s="119"/>
      <c r="AZ892" s="119"/>
      <c r="BA892" s="119"/>
      <c r="BB892" s="119"/>
      <c r="BC892" s="119"/>
      <c r="BD892" s="119"/>
      <c r="BE892" s="119"/>
      <c r="BF892" s="119"/>
      <c r="BG892" s="119"/>
      <c r="BH892" s="119"/>
    </row>
    <row r="893" spans="1:60" ht="15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  <c r="AL893" s="119"/>
      <c r="AM893" s="119"/>
      <c r="AN893" s="119"/>
      <c r="AO893" s="119"/>
      <c r="AP893" s="119"/>
      <c r="AQ893" s="119"/>
      <c r="AR893" s="119"/>
      <c r="AS893" s="119"/>
      <c r="AT893" s="119"/>
      <c r="AU893" s="119"/>
      <c r="AV893" s="119"/>
      <c r="AW893" s="119"/>
      <c r="AX893" s="119"/>
      <c r="AY893" s="119"/>
      <c r="AZ893" s="119"/>
      <c r="BA893" s="119"/>
      <c r="BB893" s="119"/>
      <c r="BC893" s="119"/>
      <c r="BD893" s="119"/>
      <c r="BE893" s="119"/>
      <c r="BF893" s="119"/>
      <c r="BG893" s="119"/>
      <c r="BH893" s="119"/>
    </row>
    <row r="894" spans="1:60" ht="15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  <c r="AL894" s="119"/>
      <c r="AM894" s="119"/>
      <c r="AN894" s="119"/>
      <c r="AO894" s="119"/>
      <c r="AP894" s="119"/>
      <c r="AQ894" s="119"/>
      <c r="AR894" s="119"/>
      <c r="AS894" s="119"/>
      <c r="AT894" s="119"/>
      <c r="AU894" s="119"/>
      <c r="AV894" s="119"/>
      <c r="AW894" s="119"/>
      <c r="AX894" s="119"/>
      <c r="AY894" s="119"/>
      <c r="AZ894" s="119"/>
      <c r="BA894" s="119"/>
      <c r="BB894" s="119"/>
      <c r="BC894" s="119"/>
      <c r="BD894" s="119"/>
      <c r="BE894" s="119"/>
      <c r="BF894" s="119"/>
      <c r="BG894" s="119"/>
      <c r="BH894" s="119"/>
    </row>
    <row r="895" spans="1:60" ht="15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  <c r="AL895" s="119"/>
      <c r="AM895" s="119"/>
      <c r="AN895" s="119"/>
      <c r="AO895" s="119"/>
      <c r="AP895" s="119"/>
      <c r="AQ895" s="119"/>
      <c r="AR895" s="119"/>
      <c r="AS895" s="119"/>
      <c r="AT895" s="119"/>
      <c r="AU895" s="119"/>
      <c r="AV895" s="119"/>
      <c r="AW895" s="119"/>
      <c r="AX895" s="119"/>
      <c r="AY895" s="119"/>
      <c r="AZ895" s="119"/>
      <c r="BA895" s="119"/>
      <c r="BB895" s="119"/>
      <c r="BC895" s="119"/>
      <c r="BD895" s="119"/>
      <c r="BE895" s="119"/>
      <c r="BF895" s="119"/>
      <c r="BG895" s="119"/>
      <c r="BH895" s="119"/>
    </row>
    <row r="896" spans="1:60" ht="15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  <c r="AL896" s="119"/>
      <c r="AM896" s="119"/>
      <c r="AN896" s="119"/>
      <c r="AO896" s="119"/>
      <c r="AP896" s="119"/>
      <c r="AQ896" s="119"/>
      <c r="AR896" s="119"/>
      <c r="AS896" s="119"/>
      <c r="AT896" s="119"/>
      <c r="AU896" s="119"/>
      <c r="AV896" s="119"/>
      <c r="AW896" s="119"/>
      <c r="AX896" s="119"/>
      <c r="AY896" s="119"/>
      <c r="AZ896" s="119"/>
      <c r="BA896" s="119"/>
      <c r="BB896" s="119"/>
      <c r="BC896" s="119"/>
      <c r="BD896" s="119"/>
      <c r="BE896" s="119"/>
      <c r="BF896" s="119"/>
      <c r="BG896" s="119"/>
      <c r="BH896" s="119"/>
    </row>
    <row r="897" spans="1:60" ht="15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  <c r="AL897" s="119"/>
      <c r="AM897" s="119"/>
      <c r="AN897" s="119"/>
      <c r="AO897" s="119"/>
      <c r="AP897" s="119"/>
      <c r="AQ897" s="119"/>
      <c r="AR897" s="119"/>
      <c r="AS897" s="119"/>
      <c r="AT897" s="119"/>
      <c r="AU897" s="119"/>
      <c r="AV897" s="119"/>
      <c r="AW897" s="119"/>
      <c r="AX897" s="119"/>
      <c r="AY897" s="119"/>
      <c r="AZ897" s="119"/>
      <c r="BA897" s="119"/>
      <c r="BB897" s="119"/>
      <c r="BC897" s="119"/>
      <c r="BD897" s="119"/>
      <c r="BE897" s="119"/>
      <c r="BF897" s="119"/>
      <c r="BG897" s="119"/>
      <c r="BH897" s="119"/>
    </row>
    <row r="898" spans="1:60" ht="15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  <c r="AL898" s="119"/>
      <c r="AM898" s="119"/>
      <c r="AN898" s="119"/>
      <c r="AO898" s="119"/>
      <c r="AP898" s="119"/>
      <c r="AQ898" s="119"/>
      <c r="AR898" s="119"/>
      <c r="AS898" s="119"/>
      <c r="AT898" s="119"/>
      <c r="AU898" s="119"/>
      <c r="AV898" s="119"/>
      <c r="AW898" s="119"/>
      <c r="AX898" s="119"/>
      <c r="AY898" s="119"/>
      <c r="AZ898" s="119"/>
      <c r="BA898" s="119"/>
      <c r="BB898" s="119"/>
      <c r="BC898" s="119"/>
      <c r="BD898" s="119"/>
      <c r="BE898" s="119"/>
      <c r="BF898" s="119"/>
      <c r="BG898" s="119"/>
      <c r="BH898" s="119"/>
    </row>
    <row r="899" spans="1:60" ht="15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  <c r="AL899" s="119"/>
      <c r="AM899" s="119"/>
      <c r="AN899" s="119"/>
      <c r="AO899" s="119"/>
      <c r="AP899" s="119"/>
      <c r="AQ899" s="119"/>
      <c r="AR899" s="119"/>
      <c r="AS899" s="119"/>
      <c r="AT899" s="119"/>
      <c r="AU899" s="119"/>
      <c r="AV899" s="119"/>
      <c r="AW899" s="119"/>
      <c r="AX899" s="119"/>
      <c r="AY899" s="119"/>
      <c r="AZ899" s="119"/>
      <c r="BA899" s="119"/>
      <c r="BB899" s="119"/>
      <c r="BC899" s="119"/>
      <c r="BD899" s="119"/>
      <c r="BE899" s="119"/>
      <c r="BF899" s="119"/>
      <c r="BG899" s="119"/>
      <c r="BH899" s="119"/>
    </row>
    <row r="900" spans="1:60" ht="15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  <c r="AL900" s="119"/>
      <c r="AM900" s="119"/>
      <c r="AN900" s="119"/>
      <c r="AO900" s="119"/>
      <c r="AP900" s="119"/>
      <c r="AQ900" s="119"/>
      <c r="AR900" s="119"/>
      <c r="AS900" s="119"/>
      <c r="AT900" s="119"/>
      <c r="AU900" s="119"/>
      <c r="AV900" s="119"/>
      <c r="AW900" s="119"/>
      <c r="AX900" s="119"/>
      <c r="AY900" s="119"/>
      <c r="AZ900" s="119"/>
      <c r="BA900" s="119"/>
      <c r="BB900" s="119"/>
      <c r="BC900" s="119"/>
      <c r="BD900" s="119"/>
      <c r="BE900" s="119"/>
      <c r="BF900" s="119"/>
      <c r="BG900" s="119"/>
      <c r="BH900" s="119"/>
    </row>
    <row r="901" spans="1:60" ht="15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  <c r="AL901" s="119"/>
      <c r="AM901" s="119"/>
      <c r="AN901" s="119"/>
      <c r="AO901" s="119"/>
      <c r="AP901" s="119"/>
      <c r="AQ901" s="119"/>
      <c r="AR901" s="119"/>
      <c r="AS901" s="119"/>
      <c r="AT901" s="119"/>
      <c r="AU901" s="119"/>
      <c r="AV901" s="119"/>
      <c r="AW901" s="119"/>
      <c r="AX901" s="119"/>
      <c r="AY901" s="119"/>
      <c r="AZ901" s="119"/>
      <c r="BA901" s="119"/>
      <c r="BB901" s="119"/>
      <c r="BC901" s="119"/>
      <c r="BD901" s="119"/>
      <c r="BE901" s="119"/>
      <c r="BF901" s="119"/>
      <c r="BG901" s="119"/>
      <c r="BH901" s="119"/>
    </row>
    <row r="902" spans="1:60" ht="15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  <c r="AL902" s="119"/>
      <c r="AM902" s="119"/>
      <c r="AN902" s="119"/>
      <c r="AO902" s="119"/>
      <c r="AP902" s="119"/>
      <c r="AQ902" s="119"/>
      <c r="AR902" s="119"/>
      <c r="AS902" s="119"/>
      <c r="AT902" s="119"/>
      <c r="AU902" s="119"/>
      <c r="AV902" s="119"/>
      <c r="AW902" s="119"/>
      <c r="AX902" s="119"/>
      <c r="AY902" s="119"/>
      <c r="AZ902" s="119"/>
      <c r="BA902" s="119"/>
      <c r="BB902" s="119"/>
      <c r="BC902" s="119"/>
      <c r="BD902" s="119"/>
      <c r="BE902" s="119"/>
      <c r="BF902" s="119"/>
      <c r="BG902" s="119"/>
      <c r="BH902" s="119"/>
    </row>
    <row r="903" spans="1:60" ht="15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  <c r="AL903" s="119"/>
      <c r="AM903" s="119"/>
      <c r="AN903" s="119"/>
      <c r="AO903" s="119"/>
      <c r="AP903" s="119"/>
      <c r="AQ903" s="119"/>
      <c r="AR903" s="119"/>
      <c r="AS903" s="119"/>
      <c r="AT903" s="119"/>
      <c r="AU903" s="119"/>
      <c r="AV903" s="119"/>
      <c r="AW903" s="119"/>
      <c r="AX903" s="119"/>
      <c r="AY903" s="119"/>
      <c r="AZ903" s="119"/>
      <c r="BA903" s="119"/>
      <c r="BB903" s="119"/>
      <c r="BC903" s="119"/>
      <c r="BD903" s="119"/>
      <c r="BE903" s="119"/>
      <c r="BF903" s="119"/>
      <c r="BG903" s="119"/>
      <c r="BH903" s="119"/>
    </row>
    <row r="904" spans="1:60" ht="15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  <c r="AL904" s="119"/>
      <c r="AM904" s="119"/>
      <c r="AN904" s="119"/>
      <c r="AO904" s="119"/>
      <c r="AP904" s="119"/>
      <c r="AQ904" s="119"/>
      <c r="AR904" s="119"/>
      <c r="AS904" s="119"/>
      <c r="AT904" s="119"/>
      <c r="AU904" s="119"/>
      <c r="AV904" s="119"/>
      <c r="AW904" s="119"/>
      <c r="AX904" s="119"/>
      <c r="AY904" s="119"/>
      <c r="AZ904" s="119"/>
      <c r="BA904" s="119"/>
      <c r="BB904" s="119"/>
      <c r="BC904" s="119"/>
      <c r="BD904" s="119"/>
      <c r="BE904" s="119"/>
      <c r="BF904" s="119"/>
      <c r="BG904" s="119"/>
      <c r="BH904" s="119"/>
    </row>
    <row r="905" spans="1:60" ht="15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  <c r="AL905" s="119"/>
      <c r="AM905" s="119"/>
      <c r="AN905" s="119"/>
      <c r="AO905" s="119"/>
      <c r="AP905" s="119"/>
      <c r="AQ905" s="119"/>
      <c r="AR905" s="119"/>
      <c r="AS905" s="119"/>
      <c r="AT905" s="119"/>
      <c r="AU905" s="119"/>
      <c r="AV905" s="119"/>
      <c r="AW905" s="119"/>
      <c r="AX905" s="119"/>
      <c r="AY905" s="119"/>
      <c r="AZ905" s="119"/>
      <c r="BA905" s="119"/>
      <c r="BB905" s="119"/>
      <c r="BC905" s="119"/>
      <c r="BD905" s="119"/>
      <c r="BE905" s="119"/>
      <c r="BF905" s="119"/>
      <c r="BG905" s="119"/>
      <c r="BH905" s="119"/>
    </row>
    <row r="906" spans="1:60" ht="15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  <c r="AL906" s="119"/>
      <c r="AM906" s="119"/>
      <c r="AN906" s="119"/>
      <c r="AO906" s="119"/>
      <c r="AP906" s="119"/>
      <c r="AQ906" s="119"/>
      <c r="AR906" s="119"/>
      <c r="AS906" s="119"/>
      <c r="AT906" s="119"/>
      <c r="AU906" s="119"/>
      <c r="AV906" s="119"/>
      <c r="AW906" s="119"/>
      <c r="AX906" s="119"/>
      <c r="AY906" s="119"/>
      <c r="AZ906" s="119"/>
      <c r="BA906" s="119"/>
      <c r="BB906" s="119"/>
      <c r="BC906" s="119"/>
      <c r="BD906" s="119"/>
      <c r="BE906" s="119"/>
      <c r="BF906" s="119"/>
      <c r="BG906" s="119"/>
      <c r="BH906" s="119"/>
    </row>
    <row r="907" spans="1:60" ht="15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  <c r="AL907" s="119"/>
      <c r="AM907" s="119"/>
      <c r="AN907" s="119"/>
      <c r="AO907" s="119"/>
      <c r="AP907" s="119"/>
      <c r="AQ907" s="119"/>
      <c r="AR907" s="119"/>
      <c r="AS907" s="119"/>
      <c r="AT907" s="119"/>
      <c r="AU907" s="119"/>
      <c r="AV907" s="119"/>
      <c r="AW907" s="119"/>
      <c r="AX907" s="119"/>
      <c r="AY907" s="119"/>
      <c r="AZ907" s="119"/>
      <c r="BA907" s="119"/>
      <c r="BB907" s="119"/>
      <c r="BC907" s="119"/>
      <c r="BD907" s="119"/>
      <c r="BE907" s="119"/>
      <c r="BF907" s="119"/>
      <c r="BG907" s="119"/>
      <c r="BH907" s="119"/>
    </row>
    <row r="908" spans="1:60" ht="15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  <c r="AL908" s="119"/>
      <c r="AM908" s="119"/>
      <c r="AN908" s="119"/>
      <c r="AO908" s="119"/>
      <c r="AP908" s="119"/>
      <c r="AQ908" s="119"/>
      <c r="AR908" s="119"/>
      <c r="AS908" s="119"/>
      <c r="AT908" s="119"/>
      <c r="AU908" s="119"/>
      <c r="AV908" s="119"/>
      <c r="AW908" s="119"/>
      <c r="AX908" s="119"/>
      <c r="AY908" s="119"/>
      <c r="AZ908" s="119"/>
      <c r="BA908" s="119"/>
      <c r="BB908" s="119"/>
      <c r="BC908" s="119"/>
      <c r="BD908" s="119"/>
      <c r="BE908" s="119"/>
      <c r="BF908" s="119"/>
      <c r="BG908" s="119"/>
      <c r="BH908" s="119"/>
    </row>
    <row r="909" spans="1:60" ht="15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  <c r="AL909" s="119"/>
      <c r="AM909" s="119"/>
      <c r="AN909" s="119"/>
      <c r="AO909" s="119"/>
      <c r="AP909" s="119"/>
      <c r="AQ909" s="119"/>
      <c r="AR909" s="119"/>
      <c r="AS909" s="119"/>
      <c r="AT909" s="119"/>
      <c r="AU909" s="119"/>
      <c r="AV909" s="119"/>
      <c r="AW909" s="119"/>
      <c r="AX909" s="119"/>
      <c r="AY909" s="119"/>
      <c r="AZ909" s="119"/>
      <c r="BA909" s="119"/>
      <c r="BB909" s="119"/>
      <c r="BC909" s="119"/>
      <c r="BD909" s="119"/>
      <c r="BE909" s="119"/>
      <c r="BF909" s="119"/>
      <c r="BG909" s="119"/>
      <c r="BH909" s="119"/>
    </row>
    <row r="910" spans="1:60" ht="15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  <c r="AL910" s="119"/>
      <c r="AM910" s="119"/>
      <c r="AN910" s="119"/>
      <c r="AO910" s="119"/>
      <c r="AP910" s="119"/>
      <c r="AQ910" s="119"/>
      <c r="AR910" s="119"/>
      <c r="AS910" s="119"/>
      <c r="AT910" s="119"/>
      <c r="AU910" s="119"/>
      <c r="AV910" s="119"/>
      <c r="AW910" s="119"/>
      <c r="AX910" s="119"/>
      <c r="AY910" s="119"/>
      <c r="AZ910" s="119"/>
      <c r="BA910" s="119"/>
      <c r="BB910" s="119"/>
      <c r="BC910" s="119"/>
      <c r="BD910" s="119"/>
      <c r="BE910" s="119"/>
      <c r="BF910" s="119"/>
      <c r="BG910" s="119"/>
      <c r="BH910" s="119"/>
    </row>
    <row r="911" spans="1:60" ht="15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  <c r="AL911" s="119"/>
      <c r="AM911" s="119"/>
      <c r="AN911" s="119"/>
      <c r="AO911" s="119"/>
      <c r="AP911" s="119"/>
      <c r="AQ911" s="119"/>
      <c r="AR911" s="119"/>
      <c r="AS911" s="119"/>
      <c r="AT911" s="119"/>
      <c r="AU911" s="119"/>
      <c r="AV911" s="119"/>
      <c r="AW911" s="119"/>
      <c r="AX911" s="119"/>
      <c r="AY911" s="119"/>
      <c r="AZ911" s="119"/>
      <c r="BA911" s="119"/>
      <c r="BB911" s="119"/>
      <c r="BC911" s="119"/>
      <c r="BD911" s="119"/>
      <c r="BE911" s="119"/>
      <c r="BF911" s="119"/>
      <c r="BG911" s="119"/>
      <c r="BH911" s="119"/>
    </row>
    <row r="912" spans="1:60" ht="15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  <c r="AL912" s="119"/>
      <c r="AM912" s="119"/>
      <c r="AN912" s="119"/>
      <c r="AO912" s="119"/>
      <c r="AP912" s="119"/>
      <c r="AQ912" s="119"/>
      <c r="AR912" s="119"/>
      <c r="AS912" s="119"/>
      <c r="AT912" s="119"/>
      <c r="AU912" s="119"/>
      <c r="AV912" s="119"/>
      <c r="AW912" s="119"/>
      <c r="AX912" s="119"/>
      <c r="AY912" s="119"/>
      <c r="AZ912" s="119"/>
      <c r="BA912" s="119"/>
      <c r="BB912" s="119"/>
      <c r="BC912" s="119"/>
      <c r="BD912" s="119"/>
      <c r="BE912" s="119"/>
      <c r="BF912" s="119"/>
      <c r="BG912" s="119"/>
      <c r="BH912" s="119"/>
    </row>
    <row r="913" spans="1:60" ht="15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  <c r="AN913" s="119"/>
      <c r="AO913" s="119"/>
      <c r="AP913" s="119"/>
      <c r="AQ913" s="119"/>
      <c r="AR913" s="119"/>
      <c r="AS913" s="119"/>
      <c r="AT913" s="119"/>
      <c r="AU913" s="119"/>
      <c r="AV913" s="119"/>
      <c r="AW913" s="119"/>
      <c r="AX913" s="119"/>
      <c r="AY913" s="119"/>
      <c r="AZ913" s="119"/>
      <c r="BA913" s="119"/>
      <c r="BB913" s="119"/>
      <c r="BC913" s="119"/>
      <c r="BD913" s="119"/>
      <c r="BE913" s="119"/>
      <c r="BF913" s="119"/>
      <c r="BG913" s="119"/>
      <c r="BH913" s="119"/>
    </row>
    <row r="914" spans="1:60" ht="15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  <c r="AL914" s="119"/>
      <c r="AM914" s="119"/>
      <c r="AN914" s="119"/>
      <c r="AO914" s="119"/>
      <c r="AP914" s="119"/>
      <c r="AQ914" s="119"/>
      <c r="AR914" s="119"/>
      <c r="AS914" s="119"/>
      <c r="AT914" s="119"/>
      <c r="AU914" s="119"/>
      <c r="AV914" s="119"/>
      <c r="AW914" s="119"/>
      <c r="AX914" s="119"/>
      <c r="AY914" s="119"/>
      <c r="AZ914" s="119"/>
      <c r="BA914" s="119"/>
      <c r="BB914" s="119"/>
      <c r="BC914" s="119"/>
      <c r="BD914" s="119"/>
      <c r="BE914" s="119"/>
      <c r="BF914" s="119"/>
      <c r="BG914" s="119"/>
      <c r="BH914" s="119"/>
    </row>
    <row r="915" spans="1:60" ht="15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  <c r="AL915" s="119"/>
      <c r="AM915" s="119"/>
      <c r="AN915" s="119"/>
      <c r="AO915" s="119"/>
      <c r="AP915" s="119"/>
      <c r="AQ915" s="119"/>
      <c r="AR915" s="119"/>
      <c r="AS915" s="119"/>
      <c r="AT915" s="119"/>
      <c r="AU915" s="119"/>
      <c r="AV915" s="119"/>
      <c r="AW915" s="119"/>
      <c r="AX915" s="119"/>
      <c r="AY915" s="119"/>
      <c r="AZ915" s="119"/>
      <c r="BA915" s="119"/>
      <c r="BB915" s="119"/>
      <c r="BC915" s="119"/>
      <c r="BD915" s="119"/>
      <c r="BE915" s="119"/>
      <c r="BF915" s="119"/>
      <c r="BG915" s="119"/>
      <c r="BH915" s="119"/>
    </row>
    <row r="916" spans="1:60" ht="15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  <c r="AN916" s="119"/>
      <c r="AO916" s="119"/>
      <c r="AP916" s="119"/>
      <c r="AQ916" s="119"/>
      <c r="AR916" s="119"/>
      <c r="AS916" s="119"/>
      <c r="AT916" s="119"/>
      <c r="AU916" s="119"/>
      <c r="AV916" s="119"/>
      <c r="AW916" s="119"/>
      <c r="AX916" s="119"/>
      <c r="AY916" s="119"/>
      <c r="AZ916" s="119"/>
      <c r="BA916" s="119"/>
      <c r="BB916" s="119"/>
      <c r="BC916" s="119"/>
      <c r="BD916" s="119"/>
      <c r="BE916" s="119"/>
      <c r="BF916" s="119"/>
      <c r="BG916" s="119"/>
      <c r="BH916" s="119"/>
    </row>
    <row r="917" spans="1:60" ht="15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  <c r="AL917" s="119"/>
      <c r="AM917" s="119"/>
      <c r="AN917" s="119"/>
      <c r="AO917" s="119"/>
      <c r="AP917" s="119"/>
      <c r="AQ917" s="119"/>
      <c r="AR917" s="119"/>
      <c r="AS917" s="119"/>
      <c r="AT917" s="119"/>
      <c r="AU917" s="119"/>
      <c r="AV917" s="119"/>
      <c r="AW917" s="119"/>
      <c r="AX917" s="119"/>
      <c r="AY917" s="119"/>
      <c r="AZ917" s="119"/>
      <c r="BA917" s="119"/>
      <c r="BB917" s="119"/>
      <c r="BC917" s="119"/>
      <c r="BD917" s="119"/>
      <c r="BE917" s="119"/>
      <c r="BF917" s="119"/>
      <c r="BG917" s="119"/>
      <c r="BH917" s="119"/>
    </row>
    <row r="918" spans="1:60" ht="15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  <c r="AL918" s="119"/>
      <c r="AM918" s="119"/>
      <c r="AN918" s="119"/>
      <c r="AO918" s="119"/>
      <c r="AP918" s="119"/>
      <c r="AQ918" s="119"/>
      <c r="AR918" s="119"/>
      <c r="AS918" s="119"/>
      <c r="AT918" s="119"/>
      <c r="AU918" s="119"/>
      <c r="AV918" s="119"/>
      <c r="AW918" s="119"/>
      <c r="AX918" s="119"/>
      <c r="AY918" s="119"/>
      <c r="AZ918" s="119"/>
      <c r="BA918" s="119"/>
      <c r="BB918" s="119"/>
      <c r="BC918" s="119"/>
      <c r="BD918" s="119"/>
      <c r="BE918" s="119"/>
      <c r="BF918" s="119"/>
      <c r="BG918" s="119"/>
      <c r="BH918" s="119"/>
    </row>
    <row r="919" spans="1:60" ht="15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  <c r="AL919" s="119"/>
      <c r="AM919" s="119"/>
      <c r="AN919" s="119"/>
      <c r="AO919" s="119"/>
      <c r="AP919" s="119"/>
      <c r="AQ919" s="119"/>
      <c r="AR919" s="119"/>
      <c r="AS919" s="119"/>
      <c r="AT919" s="119"/>
      <c r="AU919" s="119"/>
      <c r="AV919" s="119"/>
      <c r="AW919" s="119"/>
      <c r="AX919" s="119"/>
      <c r="AY919" s="119"/>
      <c r="AZ919" s="119"/>
      <c r="BA919" s="119"/>
      <c r="BB919" s="119"/>
      <c r="BC919" s="119"/>
      <c r="BD919" s="119"/>
      <c r="BE919" s="119"/>
      <c r="BF919" s="119"/>
      <c r="BG919" s="119"/>
      <c r="BH919" s="119"/>
    </row>
    <row r="920" spans="1:60" ht="15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  <c r="AL920" s="119"/>
      <c r="AM920" s="119"/>
      <c r="AN920" s="119"/>
      <c r="AO920" s="119"/>
      <c r="AP920" s="119"/>
      <c r="AQ920" s="119"/>
      <c r="AR920" s="119"/>
      <c r="AS920" s="119"/>
      <c r="AT920" s="119"/>
      <c r="AU920" s="119"/>
      <c r="AV920" s="119"/>
      <c r="AW920" s="119"/>
      <c r="AX920" s="119"/>
      <c r="AY920" s="119"/>
      <c r="AZ920" s="119"/>
      <c r="BA920" s="119"/>
      <c r="BB920" s="119"/>
      <c r="BC920" s="119"/>
      <c r="BD920" s="119"/>
      <c r="BE920" s="119"/>
      <c r="BF920" s="119"/>
      <c r="BG920" s="119"/>
      <c r="BH920" s="119"/>
    </row>
    <row r="921" spans="1:60" ht="15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  <c r="AL921" s="119"/>
      <c r="AM921" s="119"/>
      <c r="AN921" s="119"/>
      <c r="AO921" s="119"/>
      <c r="AP921" s="119"/>
      <c r="AQ921" s="119"/>
      <c r="AR921" s="119"/>
      <c r="AS921" s="119"/>
      <c r="AT921" s="119"/>
      <c r="AU921" s="119"/>
      <c r="AV921" s="119"/>
      <c r="AW921" s="119"/>
      <c r="AX921" s="119"/>
      <c r="AY921" s="119"/>
      <c r="AZ921" s="119"/>
      <c r="BA921" s="119"/>
      <c r="BB921" s="119"/>
      <c r="BC921" s="119"/>
      <c r="BD921" s="119"/>
      <c r="BE921" s="119"/>
      <c r="BF921" s="119"/>
      <c r="BG921" s="119"/>
      <c r="BH921" s="119"/>
    </row>
    <row r="922" spans="1:60" ht="15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  <c r="AL922" s="119"/>
      <c r="AM922" s="119"/>
      <c r="AN922" s="119"/>
      <c r="AO922" s="119"/>
      <c r="AP922" s="119"/>
      <c r="AQ922" s="119"/>
      <c r="AR922" s="119"/>
      <c r="AS922" s="119"/>
      <c r="AT922" s="119"/>
      <c r="AU922" s="119"/>
      <c r="AV922" s="119"/>
      <c r="AW922" s="119"/>
      <c r="AX922" s="119"/>
      <c r="AY922" s="119"/>
      <c r="AZ922" s="119"/>
      <c r="BA922" s="119"/>
      <c r="BB922" s="119"/>
      <c r="BC922" s="119"/>
      <c r="BD922" s="119"/>
      <c r="BE922" s="119"/>
      <c r="BF922" s="119"/>
      <c r="BG922" s="119"/>
      <c r="BH922" s="119"/>
    </row>
    <row r="923" spans="1:60" ht="15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  <c r="AL923" s="119"/>
      <c r="AM923" s="119"/>
      <c r="AN923" s="119"/>
      <c r="AO923" s="119"/>
      <c r="AP923" s="119"/>
      <c r="AQ923" s="119"/>
      <c r="AR923" s="119"/>
      <c r="AS923" s="119"/>
      <c r="AT923" s="119"/>
      <c r="AU923" s="119"/>
      <c r="AV923" s="119"/>
      <c r="AW923" s="119"/>
      <c r="AX923" s="119"/>
      <c r="AY923" s="119"/>
      <c r="AZ923" s="119"/>
      <c r="BA923" s="119"/>
      <c r="BB923" s="119"/>
      <c r="BC923" s="119"/>
      <c r="BD923" s="119"/>
      <c r="BE923" s="119"/>
      <c r="BF923" s="119"/>
      <c r="BG923" s="119"/>
      <c r="BH923" s="119"/>
    </row>
    <row r="924" spans="1:60" ht="15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  <c r="AL924" s="119"/>
      <c r="AM924" s="119"/>
      <c r="AN924" s="119"/>
      <c r="AO924" s="119"/>
      <c r="AP924" s="119"/>
      <c r="AQ924" s="119"/>
      <c r="AR924" s="119"/>
      <c r="AS924" s="119"/>
      <c r="AT924" s="119"/>
      <c r="AU924" s="119"/>
      <c r="AV924" s="119"/>
      <c r="AW924" s="119"/>
      <c r="AX924" s="119"/>
      <c r="AY924" s="119"/>
      <c r="AZ924" s="119"/>
      <c r="BA924" s="119"/>
      <c r="BB924" s="119"/>
      <c r="BC924" s="119"/>
      <c r="BD924" s="119"/>
      <c r="BE924" s="119"/>
      <c r="BF924" s="119"/>
      <c r="BG924" s="119"/>
      <c r="BH924" s="119"/>
    </row>
    <row r="925" spans="1:60" ht="15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  <c r="AL925" s="119"/>
      <c r="AM925" s="119"/>
      <c r="AN925" s="119"/>
      <c r="AO925" s="119"/>
      <c r="AP925" s="119"/>
      <c r="AQ925" s="119"/>
      <c r="AR925" s="119"/>
      <c r="AS925" s="119"/>
      <c r="AT925" s="119"/>
      <c r="AU925" s="119"/>
      <c r="AV925" s="119"/>
      <c r="AW925" s="119"/>
      <c r="AX925" s="119"/>
      <c r="AY925" s="119"/>
      <c r="AZ925" s="119"/>
      <c r="BA925" s="119"/>
      <c r="BB925" s="119"/>
      <c r="BC925" s="119"/>
      <c r="BD925" s="119"/>
      <c r="BE925" s="119"/>
      <c r="BF925" s="119"/>
      <c r="BG925" s="119"/>
      <c r="BH925" s="119"/>
    </row>
    <row r="926" spans="1:60" ht="15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  <c r="AN926" s="119"/>
      <c r="AO926" s="119"/>
      <c r="AP926" s="119"/>
      <c r="AQ926" s="119"/>
      <c r="AR926" s="119"/>
      <c r="AS926" s="119"/>
      <c r="AT926" s="119"/>
      <c r="AU926" s="119"/>
      <c r="AV926" s="119"/>
      <c r="AW926" s="119"/>
      <c r="AX926" s="119"/>
      <c r="AY926" s="119"/>
      <c r="AZ926" s="119"/>
      <c r="BA926" s="119"/>
      <c r="BB926" s="119"/>
      <c r="BC926" s="119"/>
      <c r="BD926" s="119"/>
      <c r="BE926" s="119"/>
      <c r="BF926" s="119"/>
      <c r="BG926" s="119"/>
      <c r="BH926" s="119"/>
    </row>
    <row r="927" spans="1:60" ht="15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  <c r="AL927" s="119"/>
      <c r="AM927" s="119"/>
      <c r="AN927" s="119"/>
      <c r="AO927" s="119"/>
      <c r="AP927" s="119"/>
      <c r="AQ927" s="119"/>
      <c r="AR927" s="119"/>
      <c r="AS927" s="119"/>
      <c r="AT927" s="119"/>
      <c r="AU927" s="119"/>
      <c r="AV927" s="119"/>
      <c r="AW927" s="119"/>
      <c r="AX927" s="119"/>
      <c r="AY927" s="119"/>
      <c r="AZ927" s="119"/>
      <c r="BA927" s="119"/>
      <c r="BB927" s="119"/>
      <c r="BC927" s="119"/>
      <c r="BD927" s="119"/>
      <c r="BE927" s="119"/>
      <c r="BF927" s="119"/>
      <c r="BG927" s="119"/>
      <c r="BH927" s="119"/>
    </row>
    <row r="928" spans="1:60" ht="15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  <c r="AL928" s="119"/>
      <c r="AM928" s="119"/>
      <c r="AN928" s="119"/>
      <c r="AO928" s="119"/>
      <c r="AP928" s="119"/>
      <c r="AQ928" s="119"/>
      <c r="AR928" s="119"/>
      <c r="AS928" s="119"/>
      <c r="AT928" s="119"/>
      <c r="AU928" s="119"/>
      <c r="AV928" s="119"/>
      <c r="AW928" s="119"/>
      <c r="AX928" s="119"/>
      <c r="AY928" s="119"/>
      <c r="AZ928" s="119"/>
      <c r="BA928" s="119"/>
      <c r="BB928" s="119"/>
      <c r="BC928" s="119"/>
      <c r="BD928" s="119"/>
      <c r="BE928" s="119"/>
      <c r="BF928" s="119"/>
      <c r="BG928" s="119"/>
      <c r="BH928" s="119"/>
    </row>
    <row r="929" spans="1:60" ht="15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  <c r="AL929" s="119"/>
      <c r="AM929" s="119"/>
      <c r="AN929" s="119"/>
      <c r="AO929" s="119"/>
      <c r="AP929" s="119"/>
      <c r="AQ929" s="119"/>
      <c r="AR929" s="119"/>
      <c r="AS929" s="119"/>
      <c r="AT929" s="119"/>
      <c r="AU929" s="119"/>
      <c r="AV929" s="119"/>
      <c r="AW929" s="119"/>
      <c r="AX929" s="119"/>
      <c r="AY929" s="119"/>
      <c r="AZ929" s="119"/>
      <c r="BA929" s="119"/>
      <c r="BB929" s="119"/>
      <c r="BC929" s="119"/>
      <c r="BD929" s="119"/>
      <c r="BE929" s="119"/>
      <c r="BF929" s="119"/>
      <c r="BG929" s="119"/>
      <c r="BH929" s="119"/>
    </row>
    <row r="930" spans="1:60" ht="15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  <c r="AL930" s="119"/>
      <c r="AM930" s="119"/>
      <c r="AN930" s="119"/>
      <c r="AO930" s="119"/>
      <c r="AP930" s="119"/>
      <c r="AQ930" s="119"/>
      <c r="AR930" s="119"/>
      <c r="AS930" s="119"/>
      <c r="AT930" s="119"/>
      <c r="AU930" s="119"/>
      <c r="AV930" s="119"/>
      <c r="AW930" s="119"/>
      <c r="AX930" s="119"/>
      <c r="AY930" s="119"/>
      <c r="AZ930" s="119"/>
      <c r="BA930" s="119"/>
      <c r="BB930" s="119"/>
      <c r="BC930" s="119"/>
      <c r="BD930" s="119"/>
      <c r="BE930" s="119"/>
      <c r="BF930" s="119"/>
      <c r="BG930" s="119"/>
      <c r="BH930" s="119"/>
    </row>
    <row r="931" spans="1:60" ht="15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  <c r="AL931" s="119"/>
      <c r="AM931" s="119"/>
      <c r="AN931" s="119"/>
      <c r="AO931" s="119"/>
      <c r="AP931" s="119"/>
      <c r="AQ931" s="119"/>
      <c r="AR931" s="119"/>
      <c r="AS931" s="119"/>
      <c r="AT931" s="119"/>
      <c r="AU931" s="119"/>
      <c r="AV931" s="119"/>
      <c r="AW931" s="119"/>
      <c r="AX931" s="119"/>
      <c r="AY931" s="119"/>
      <c r="AZ931" s="119"/>
      <c r="BA931" s="119"/>
      <c r="BB931" s="119"/>
      <c r="BC931" s="119"/>
      <c r="BD931" s="119"/>
      <c r="BE931" s="119"/>
      <c r="BF931" s="119"/>
      <c r="BG931" s="119"/>
      <c r="BH931" s="119"/>
    </row>
    <row r="932" spans="1:60" ht="15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  <c r="AL932" s="119"/>
      <c r="AM932" s="119"/>
      <c r="AN932" s="119"/>
      <c r="AO932" s="119"/>
      <c r="AP932" s="119"/>
      <c r="AQ932" s="119"/>
      <c r="AR932" s="119"/>
      <c r="AS932" s="119"/>
      <c r="AT932" s="119"/>
      <c r="AU932" s="119"/>
      <c r="AV932" s="119"/>
      <c r="AW932" s="119"/>
      <c r="AX932" s="119"/>
      <c r="AY932" s="119"/>
      <c r="AZ932" s="119"/>
      <c r="BA932" s="119"/>
      <c r="BB932" s="119"/>
      <c r="BC932" s="119"/>
      <c r="BD932" s="119"/>
      <c r="BE932" s="119"/>
      <c r="BF932" s="119"/>
      <c r="BG932" s="119"/>
      <c r="BH932" s="119"/>
    </row>
    <row r="933" spans="1:60" ht="15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  <c r="AL933" s="119"/>
      <c r="AM933" s="119"/>
      <c r="AN933" s="119"/>
      <c r="AO933" s="119"/>
      <c r="AP933" s="119"/>
      <c r="AQ933" s="119"/>
      <c r="AR933" s="119"/>
      <c r="AS933" s="119"/>
      <c r="AT933" s="119"/>
      <c r="AU933" s="119"/>
      <c r="AV933" s="119"/>
      <c r="AW933" s="119"/>
      <c r="AX933" s="119"/>
      <c r="AY933" s="119"/>
      <c r="AZ933" s="119"/>
      <c r="BA933" s="119"/>
      <c r="BB933" s="119"/>
      <c r="BC933" s="119"/>
      <c r="BD933" s="119"/>
      <c r="BE933" s="119"/>
      <c r="BF933" s="119"/>
      <c r="BG933" s="119"/>
      <c r="BH933" s="119"/>
    </row>
    <row r="934" spans="1:60" ht="15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  <c r="AL934" s="119"/>
      <c r="AM934" s="119"/>
      <c r="AN934" s="119"/>
      <c r="AO934" s="119"/>
      <c r="AP934" s="119"/>
      <c r="AQ934" s="119"/>
      <c r="AR934" s="119"/>
      <c r="AS934" s="119"/>
      <c r="AT934" s="119"/>
      <c r="AU934" s="119"/>
      <c r="AV934" s="119"/>
      <c r="AW934" s="119"/>
      <c r="AX934" s="119"/>
      <c r="AY934" s="119"/>
      <c r="AZ934" s="119"/>
      <c r="BA934" s="119"/>
      <c r="BB934" s="119"/>
      <c r="BC934" s="119"/>
      <c r="BD934" s="119"/>
      <c r="BE934" s="119"/>
      <c r="BF934" s="119"/>
      <c r="BG934" s="119"/>
      <c r="BH934" s="119"/>
    </row>
    <row r="935" spans="1:60" ht="15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  <c r="AL935" s="119"/>
      <c r="AM935" s="119"/>
      <c r="AN935" s="119"/>
      <c r="AO935" s="119"/>
      <c r="AP935" s="119"/>
      <c r="AQ935" s="119"/>
      <c r="AR935" s="119"/>
      <c r="AS935" s="119"/>
      <c r="AT935" s="119"/>
      <c r="AU935" s="119"/>
      <c r="AV935" s="119"/>
      <c r="AW935" s="119"/>
      <c r="AX935" s="119"/>
      <c r="AY935" s="119"/>
      <c r="AZ935" s="119"/>
      <c r="BA935" s="119"/>
      <c r="BB935" s="119"/>
      <c r="BC935" s="119"/>
      <c r="BD935" s="119"/>
      <c r="BE935" s="119"/>
      <c r="BF935" s="119"/>
      <c r="BG935" s="119"/>
      <c r="BH935" s="119"/>
    </row>
    <row r="936" spans="1:60" ht="15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  <c r="AL936" s="119"/>
      <c r="AM936" s="119"/>
      <c r="AN936" s="119"/>
      <c r="AO936" s="119"/>
      <c r="AP936" s="119"/>
      <c r="AQ936" s="119"/>
      <c r="AR936" s="119"/>
      <c r="AS936" s="119"/>
      <c r="AT936" s="119"/>
      <c r="AU936" s="119"/>
      <c r="AV936" s="119"/>
      <c r="AW936" s="119"/>
      <c r="AX936" s="119"/>
      <c r="AY936" s="119"/>
      <c r="AZ936" s="119"/>
      <c r="BA936" s="119"/>
      <c r="BB936" s="119"/>
      <c r="BC936" s="119"/>
      <c r="BD936" s="119"/>
      <c r="BE936" s="119"/>
      <c r="BF936" s="119"/>
      <c r="BG936" s="119"/>
      <c r="BH936" s="119"/>
    </row>
    <row r="937" spans="1:60" ht="15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  <c r="AN937" s="119"/>
      <c r="AO937" s="119"/>
      <c r="AP937" s="119"/>
      <c r="AQ937" s="119"/>
      <c r="AR937" s="119"/>
      <c r="AS937" s="119"/>
      <c r="AT937" s="119"/>
      <c r="AU937" s="119"/>
      <c r="AV937" s="119"/>
      <c r="AW937" s="119"/>
      <c r="AX937" s="119"/>
      <c r="AY937" s="119"/>
      <c r="AZ937" s="119"/>
      <c r="BA937" s="119"/>
      <c r="BB937" s="119"/>
      <c r="BC937" s="119"/>
      <c r="BD937" s="119"/>
      <c r="BE937" s="119"/>
      <c r="BF937" s="119"/>
      <c r="BG937" s="119"/>
      <c r="BH937" s="119"/>
    </row>
    <row r="938" spans="1:60" ht="15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  <c r="AL938" s="119"/>
      <c r="AM938" s="119"/>
      <c r="AN938" s="119"/>
      <c r="AO938" s="119"/>
      <c r="AP938" s="119"/>
      <c r="AQ938" s="119"/>
      <c r="AR938" s="119"/>
      <c r="AS938" s="119"/>
      <c r="AT938" s="119"/>
      <c r="AU938" s="119"/>
      <c r="AV938" s="119"/>
      <c r="AW938" s="119"/>
      <c r="AX938" s="119"/>
      <c r="AY938" s="119"/>
      <c r="AZ938" s="119"/>
      <c r="BA938" s="119"/>
      <c r="BB938" s="119"/>
      <c r="BC938" s="119"/>
      <c r="BD938" s="119"/>
      <c r="BE938" s="119"/>
      <c r="BF938" s="119"/>
      <c r="BG938" s="119"/>
      <c r="BH938" s="119"/>
    </row>
    <row r="939" spans="1:60" ht="15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  <c r="AN939" s="119"/>
      <c r="AO939" s="119"/>
      <c r="AP939" s="119"/>
      <c r="AQ939" s="119"/>
      <c r="AR939" s="119"/>
      <c r="AS939" s="119"/>
      <c r="AT939" s="119"/>
      <c r="AU939" s="119"/>
      <c r="AV939" s="119"/>
      <c r="AW939" s="119"/>
      <c r="AX939" s="119"/>
      <c r="AY939" s="119"/>
      <c r="AZ939" s="119"/>
      <c r="BA939" s="119"/>
      <c r="BB939" s="119"/>
      <c r="BC939" s="119"/>
      <c r="BD939" s="119"/>
      <c r="BE939" s="119"/>
      <c r="BF939" s="119"/>
      <c r="BG939" s="119"/>
      <c r="BH939" s="119"/>
    </row>
    <row r="940" spans="1:60" ht="15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19"/>
      <c r="AZ940" s="119"/>
      <c r="BA940" s="119"/>
      <c r="BB940" s="119"/>
      <c r="BC940" s="119"/>
      <c r="BD940" s="119"/>
      <c r="BE940" s="119"/>
      <c r="BF940" s="119"/>
      <c r="BG940" s="119"/>
      <c r="BH940" s="119"/>
    </row>
    <row r="941" spans="1:60" ht="15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  <c r="AN941" s="119"/>
      <c r="AO941" s="119"/>
      <c r="AP941" s="119"/>
      <c r="AQ941" s="119"/>
      <c r="AR941" s="119"/>
      <c r="AS941" s="119"/>
      <c r="AT941" s="119"/>
      <c r="AU941" s="119"/>
      <c r="AV941" s="119"/>
      <c r="AW941" s="119"/>
      <c r="AX941" s="119"/>
      <c r="AY941" s="119"/>
      <c r="AZ941" s="119"/>
      <c r="BA941" s="119"/>
      <c r="BB941" s="119"/>
      <c r="BC941" s="119"/>
      <c r="BD941" s="119"/>
      <c r="BE941" s="119"/>
      <c r="BF941" s="119"/>
      <c r="BG941" s="119"/>
      <c r="BH941" s="119"/>
    </row>
    <row r="942" spans="1:60" ht="15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19"/>
      <c r="AZ942" s="119"/>
      <c r="BA942" s="119"/>
      <c r="BB942" s="119"/>
      <c r="BC942" s="119"/>
      <c r="BD942" s="119"/>
      <c r="BE942" s="119"/>
      <c r="BF942" s="119"/>
      <c r="BG942" s="119"/>
      <c r="BH942" s="119"/>
    </row>
    <row r="943" spans="1:60" ht="15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  <c r="AN943" s="119"/>
      <c r="AO943" s="119"/>
      <c r="AP943" s="119"/>
      <c r="AQ943" s="119"/>
      <c r="AR943" s="119"/>
      <c r="AS943" s="119"/>
      <c r="AT943" s="119"/>
      <c r="AU943" s="119"/>
      <c r="AV943" s="119"/>
      <c r="AW943" s="119"/>
      <c r="AX943" s="119"/>
      <c r="AY943" s="119"/>
      <c r="AZ943" s="119"/>
      <c r="BA943" s="119"/>
      <c r="BB943" s="119"/>
      <c r="BC943" s="119"/>
      <c r="BD943" s="119"/>
      <c r="BE943" s="119"/>
      <c r="BF943" s="119"/>
      <c r="BG943" s="119"/>
      <c r="BH943" s="119"/>
    </row>
    <row r="944" spans="1:60" ht="15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  <c r="AL944" s="119"/>
      <c r="AM944" s="119"/>
      <c r="AN944" s="119"/>
      <c r="AO944" s="119"/>
      <c r="AP944" s="119"/>
      <c r="AQ944" s="119"/>
      <c r="AR944" s="119"/>
      <c r="AS944" s="119"/>
      <c r="AT944" s="119"/>
      <c r="AU944" s="119"/>
      <c r="AV944" s="119"/>
      <c r="AW944" s="119"/>
      <c r="AX944" s="119"/>
      <c r="AY944" s="119"/>
      <c r="AZ944" s="119"/>
      <c r="BA944" s="119"/>
      <c r="BB944" s="119"/>
      <c r="BC944" s="119"/>
      <c r="BD944" s="119"/>
      <c r="BE944" s="119"/>
      <c r="BF944" s="119"/>
      <c r="BG944" s="119"/>
      <c r="BH944" s="119"/>
    </row>
    <row r="945" spans="1:60" ht="15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  <c r="AL945" s="119"/>
      <c r="AM945" s="119"/>
      <c r="AN945" s="119"/>
      <c r="AO945" s="119"/>
      <c r="AP945" s="119"/>
      <c r="AQ945" s="119"/>
      <c r="AR945" s="119"/>
      <c r="AS945" s="119"/>
      <c r="AT945" s="119"/>
      <c r="AU945" s="119"/>
      <c r="AV945" s="119"/>
      <c r="AW945" s="119"/>
      <c r="AX945" s="119"/>
      <c r="AY945" s="119"/>
      <c r="AZ945" s="119"/>
      <c r="BA945" s="119"/>
      <c r="BB945" s="119"/>
      <c r="BC945" s="119"/>
      <c r="BD945" s="119"/>
      <c r="BE945" s="119"/>
      <c r="BF945" s="119"/>
      <c r="BG945" s="119"/>
      <c r="BH945" s="119"/>
    </row>
    <row r="946" spans="1:60" ht="15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  <c r="AL946" s="119"/>
      <c r="AM946" s="119"/>
      <c r="AN946" s="119"/>
      <c r="AO946" s="119"/>
      <c r="AP946" s="119"/>
      <c r="AQ946" s="119"/>
      <c r="AR946" s="119"/>
      <c r="AS946" s="119"/>
      <c r="AT946" s="119"/>
      <c r="AU946" s="119"/>
      <c r="AV946" s="119"/>
      <c r="AW946" s="119"/>
      <c r="AX946" s="119"/>
      <c r="AY946" s="119"/>
      <c r="AZ946" s="119"/>
      <c r="BA946" s="119"/>
      <c r="BB946" s="119"/>
      <c r="BC946" s="119"/>
      <c r="BD946" s="119"/>
      <c r="BE946" s="119"/>
      <c r="BF946" s="119"/>
      <c r="BG946" s="119"/>
      <c r="BH946" s="119"/>
    </row>
    <row r="947" spans="1:60" ht="15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  <c r="AL947" s="119"/>
      <c r="AM947" s="119"/>
      <c r="AN947" s="119"/>
      <c r="AO947" s="119"/>
      <c r="AP947" s="119"/>
      <c r="AQ947" s="119"/>
      <c r="AR947" s="119"/>
      <c r="AS947" s="119"/>
      <c r="AT947" s="119"/>
      <c r="AU947" s="119"/>
      <c r="AV947" s="119"/>
      <c r="AW947" s="119"/>
      <c r="AX947" s="119"/>
      <c r="AY947" s="119"/>
      <c r="AZ947" s="119"/>
      <c r="BA947" s="119"/>
      <c r="BB947" s="119"/>
      <c r="BC947" s="119"/>
      <c r="BD947" s="119"/>
      <c r="BE947" s="119"/>
      <c r="BF947" s="119"/>
      <c r="BG947" s="119"/>
      <c r="BH947" s="119"/>
    </row>
    <row r="948" spans="1:60" ht="15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  <c r="AL948" s="119"/>
      <c r="AM948" s="119"/>
      <c r="AN948" s="119"/>
      <c r="AO948" s="119"/>
      <c r="AP948" s="119"/>
      <c r="AQ948" s="119"/>
      <c r="AR948" s="119"/>
      <c r="AS948" s="119"/>
      <c r="AT948" s="119"/>
      <c r="AU948" s="119"/>
      <c r="AV948" s="119"/>
      <c r="AW948" s="119"/>
      <c r="AX948" s="119"/>
      <c r="AY948" s="119"/>
      <c r="AZ948" s="119"/>
      <c r="BA948" s="119"/>
      <c r="BB948" s="119"/>
      <c r="BC948" s="119"/>
      <c r="BD948" s="119"/>
      <c r="BE948" s="119"/>
      <c r="BF948" s="119"/>
      <c r="BG948" s="119"/>
      <c r="BH948" s="119"/>
    </row>
    <row r="949" spans="1:60" ht="15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  <c r="AL949" s="119"/>
      <c r="AM949" s="119"/>
      <c r="AN949" s="119"/>
      <c r="AO949" s="119"/>
      <c r="AP949" s="119"/>
      <c r="AQ949" s="119"/>
      <c r="AR949" s="119"/>
      <c r="AS949" s="119"/>
      <c r="AT949" s="119"/>
      <c r="AU949" s="119"/>
      <c r="AV949" s="119"/>
      <c r="AW949" s="119"/>
      <c r="AX949" s="119"/>
      <c r="AY949" s="119"/>
      <c r="AZ949" s="119"/>
      <c r="BA949" s="119"/>
      <c r="BB949" s="119"/>
      <c r="BC949" s="119"/>
      <c r="BD949" s="119"/>
      <c r="BE949" s="119"/>
      <c r="BF949" s="119"/>
      <c r="BG949" s="119"/>
      <c r="BH949" s="119"/>
    </row>
    <row r="950" spans="1:60" ht="15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  <c r="AL950" s="119"/>
      <c r="AM950" s="119"/>
      <c r="AN950" s="119"/>
      <c r="AO950" s="119"/>
      <c r="AP950" s="119"/>
      <c r="AQ950" s="119"/>
      <c r="AR950" s="119"/>
      <c r="AS950" s="119"/>
      <c r="AT950" s="119"/>
      <c r="AU950" s="119"/>
      <c r="AV950" s="119"/>
      <c r="AW950" s="119"/>
      <c r="AX950" s="119"/>
      <c r="AY950" s="119"/>
      <c r="AZ950" s="119"/>
      <c r="BA950" s="119"/>
      <c r="BB950" s="119"/>
      <c r="BC950" s="119"/>
      <c r="BD950" s="119"/>
      <c r="BE950" s="119"/>
      <c r="BF950" s="119"/>
      <c r="BG950" s="119"/>
      <c r="BH950" s="119"/>
    </row>
    <row r="951" spans="1:60" ht="15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  <c r="AL951" s="119"/>
      <c r="AM951" s="119"/>
      <c r="AN951" s="119"/>
      <c r="AO951" s="119"/>
      <c r="AP951" s="119"/>
      <c r="AQ951" s="119"/>
      <c r="AR951" s="119"/>
      <c r="AS951" s="119"/>
      <c r="AT951" s="119"/>
      <c r="AU951" s="119"/>
      <c r="AV951" s="119"/>
      <c r="AW951" s="119"/>
      <c r="AX951" s="119"/>
      <c r="AY951" s="119"/>
      <c r="AZ951" s="119"/>
      <c r="BA951" s="119"/>
      <c r="BB951" s="119"/>
      <c r="BC951" s="119"/>
      <c r="BD951" s="119"/>
      <c r="BE951" s="119"/>
      <c r="BF951" s="119"/>
      <c r="BG951" s="119"/>
      <c r="BH951" s="119"/>
    </row>
    <row r="952" spans="1:60" ht="15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  <c r="AL952" s="119"/>
      <c r="AM952" s="119"/>
      <c r="AN952" s="119"/>
      <c r="AO952" s="119"/>
      <c r="AP952" s="119"/>
      <c r="AQ952" s="119"/>
      <c r="AR952" s="119"/>
      <c r="AS952" s="119"/>
      <c r="AT952" s="119"/>
      <c r="AU952" s="119"/>
      <c r="AV952" s="119"/>
      <c r="AW952" s="119"/>
      <c r="AX952" s="119"/>
      <c r="AY952" s="119"/>
      <c r="AZ952" s="119"/>
      <c r="BA952" s="119"/>
      <c r="BB952" s="119"/>
      <c r="BC952" s="119"/>
      <c r="BD952" s="119"/>
      <c r="BE952" s="119"/>
      <c r="BF952" s="119"/>
      <c r="BG952" s="119"/>
      <c r="BH952" s="119"/>
    </row>
    <row r="953" spans="1:60" ht="15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  <c r="AL953" s="119"/>
      <c r="AM953" s="119"/>
      <c r="AN953" s="119"/>
      <c r="AO953" s="119"/>
      <c r="AP953" s="119"/>
      <c r="AQ953" s="119"/>
      <c r="AR953" s="119"/>
      <c r="AS953" s="119"/>
      <c r="AT953" s="119"/>
      <c r="AU953" s="119"/>
      <c r="AV953" s="119"/>
      <c r="AW953" s="119"/>
      <c r="AX953" s="119"/>
      <c r="AY953" s="119"/>
      <c r="AZ953" s="119"/>
      <c r="BA953" s="119"/>
      <c r="BB953" s="119"/>
      <c r="BC953" s="119"/>
      <c r="BD953" s="119"/>
      <c r="BE953" s="119"/>
      <c r="BF953" s="119"/>
      <c r="BG953" s="119"/>
      <c r="BH953" s="119"/>
    </row>
    <row r="954" spans="1:60" ht="15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  <c r="AL954" s="119"/>
      <c r="AM954" s="119"/>
      <c r="AN954" s="119"/>
      <c r="AO954" s="119"/>
      <c r="AP954" s="119"/>
      <c r="AQ954" s="119"/>
      <c r="AR954" s="119"/>
      <c r="AS954" s="119"/>
      <c r="AT954" s="119"/>
      <c r="AU954" s="119"/>
      <c r="AV954" s="119"/>
      <c r="AW954" s="119"/>
      <c r="AX954" s="119"/>
      <c r="AY954" s="119"/>
      <c r="AZ954" s="119"/>
      <c r="BA954" s="119"/>
      <c r="BB954" s="119"/>
      <c r="BC954" s="119"/>
      <c r="BD954" s="119"/>
      <c r="BE954" s="119"/>
      <c r="BF954" s="119"/>
      <c r="BG954" s="119"/>
      <c r="BH954" s="119"/>
    </row>
    <row r="955" spans="1:60" ht="15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  <c r="AL955" s="119"/>
      <c r="AM955" s="119"/>
      <c r="AN955" s="119"/>
      <c r="AO955" s="119"/>
      <c r="AP955" s="119"/>
      <c r="AQ955" s="119"/>
      <c r="AR955" s="119"/>
      <c r="AS955" s="119"/>
      <c r="AT955" s="119"/>
      <c r="AU955" s="119"/>
      <c r="AV955" s="119"/>
      <c r="AW955" s="119"/>
      <c r="AX955" s="119"/>
      <c r="AY955" s="119"/>
      <c r="AZ955" s="119"/>
      <c r="BA955" s="119"/>
      <c r="BB955" s="119"/>
      <c r="BC955" s="119"/>
      <c r="BD955" s="119"/>
      <c r="BE955" s="119"/>
      <c r="BF955" s="119"/>
      <c r="BG955" s="119"/>
      <c r="BH955" s="119"/>
    </row>
    <row r="956" spans="1:60" ht="15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  <c r="AL956" s="119"/>
      <c r="AM956" s="119"/>
      <c r="AN956" s="119"/>
      <c r="AO956" s="119"/>
      <c r="AP956" s="119"/>
      <c r="AQ956" s="119"/>
      <c r="AR956" s="119"/>
      <c r="AS956" s="119"/>
      <c r="AT956" s="119"/>
      <c r="AU956" s="119"/>
      <c r="AV956" s="119"/>
      <c r="AW956" s="119"/>
      <c r="AX956" s="119"/>
      <c r="AY956" s="119"/>
      <c r="AZ956" s="119"/>
      <c r="BA956" s="119"/>
      <c r="BB956" s="119"/>
      <c r="BC956" s="119"/>
      <c r="BD956" s="119"/>
      <c r="BE956" s="119"/>
      <c r="BF956" s="119"/>
      <c r="BG956" s="119"/>
      <c r="BH956" s="119"/>
    </row>
    <row r="957" spans="1:60" ht="15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  <c r="AL957" s="119"/>
      <c r="AM957" s="119"/>
      <c r="AN957" s="119"/>
      <c r="AO957" s="119"/>
      <c r="AP957" s="119"/>
      <c r="AQ957" s="119"/>
      <c r="AR957" s="119"/>
      <c r="AS957" s="119"/>
      <c r="AT957" s="119"/>
      <c r="AU957" s="119"/>
      <c r="AV957" s="119"/>
      <c r="AW957" s="119"/>
      <c r="AX957" s="119"/>
      <c r="AY957" s="119"/>
      <c r="AZ957" s="119"/>
      <c r="BA957" s="119"/>
      <c r="BB957" s="119"/>
      <c r="BC957" s="119"/>
      <c r="BD957" s="119"/>
      <c r="BE957" s="119"/>
      <c r="BF957" s="119"/>
      <c r="BG957" s="119"/>
      <c r="BH957" s="119"/>
    </row>
    <row r="958" spans="1:60" ht="15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  <c r="AL958" s="119"/>
      <c r="AM958" s="119"/>
      <c r="AN958" s="119"/>
      <c r="AO958" s="119"/>
      <c r="AP958" s="119"/>
      <c r="AQ958" s="119"/>
      <c r="AR958" s="119"/>
      <c r="AS958" s="119"/>
      <c r="AT958" s="119"/>
      <c r="AU958" s="119"/>
      <c r="AV958" s="119"/>
      <c r="AW958" s="119"/>
      <c r="AX958" s="119"/>
      <c r="AY958" s="119"/>
      <c r="AZ958" s="119"/>
      <c r="BA958" s="119"/>
      <c r="BB958" s="119"/>
      <c r="BC958" s="119"/>
      <c r="BD958" s="119"/>
      <c r="BE958" s="119"/>
      <c r="BF958" s="119"/>
      <c r="BG958" s="119"/>
      <c r="BH958" s="119"/>
    </row>
    <row r="959" spans="1:60" ht="15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  <c r="AL959" s="119"/>
      <c r="AM959" s="119"/>
      <c r="AN959" s="119"/>
      <c r="AO959" s="119"/>
      <c r="AP959" s="119"/>
      <c r="AQ959" s="119"/>
      <c r="AR959" s="119"/>
      <c r="AS959" s="119"/>
      <c r="AT959" s="119"/>
      <c r="AU959" s="119"/>
      <c r="AV959" s="119"/>
      <c r="AW959" s="119"/>
      <c r="AX959" s="119"/>
      <c r="AY959" s="119"/>
      <c r="AZ959" s="119"/>
      <c r="BA959" s="119"/>
      <c r="BB959" s="119"/>
      <c r="BC959" s="119"/>
      <c r="BD959" s="119"/>
      <c r="BE959" s="119"/>
      <c r="BF959" s="119"/>
      <c r="BG959" s="119"/>
      <c r="BH959" s="119"/>
    </row>
    <row r="960" spans="1:60" ht="15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  <c r="AL960" s="119"/>
      <c r="AM960" s="119"/>
      <c r="AN960" s="119"/>
      <c r="AO960" s="119"/>
      <c r="AP960" s="119"/>
      <c r="AQ960" s="119"/>
      <c r="AR960" s="119"/>
      <c r="AS960" s="119"/>
      <c r="AT960" s="119"/>
      <c r="AU960" s="119"/>
      <c r="AV960" s="119"/>
      <c r="AW960" s="119"/>
      <c r="AX960" s="119"/>
      <c r="AY960" s="119"/>
      <c r="AZ960" s="119"/>
      <c r="BA960" s="119"/>
      <c r="BB960" s="119"/>
      <c r="BC960" s="119"/>
      <c r="BD960" s="119"/>
      <c r="BE960" s="119"/>
      <c r="BF960" s="119"/>
      <c r="BG960" s="119"/>
      <c r="BH960" s="119"/>
    </row>
    <row r="961" spans="1:60" ht="15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  <c r="AL961" s="119"/>
      <c r="AM961" s="119"/>
      <c r="AN961" s="119"/>
      <c r="AO961" s="119"/>
      <c r="AP961" s="119"/>
      <c r="AQ961" s="119"/>
      <c r="AR961" s="119"/>
      <c r="AS961" s="119"/>
      <c r="AT961" s="119"/>
      <c r="AU961" s="119"/>
      <c r="AV961" s="119"/>
      <c r="AW961" s="119"/>
      <c r="AX961" s="119"/>
      <c r="AY961" s="119"/>
      <c r="AZ961" s="119"/>
      <c r="BA961" s="119"/>
      <c r="BB961" s="119"/>
      <c r="BC961" s="119"/>
      <c r="BD961" s="119"/>
      <c r="BE961" s="119"/>
      <c r="BF961" s="119"/>
      <c r="BG961" s="119"/>
      <c r="BH961" s="119"/>
    </row>
    <row r="962" spans="1:60" ht="15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  <c r="AL962" s="119"/>
      <c r="AM962" s="119"/>
      <c r="AN962" s="119"/>
      <c r="AO962" s="119"/>
      <c r="AP962" s="119"/>
      <c r="AQ962" s="119"/>
      <c r="AR962" s="119"/>
      <c r="AS962" s="119"/>
      <c r="AT962" s="119"/>
      <c r="AU962" s="119"/>
      <c r="AV962" s="119"/>
      <c r="AW962" s="119"/>
      <c r="AX962" s="119"/>
      <c r="AY962" s="119"/>
      <c r="AZ962" s="119"/>
      <c r="BA962" s="119"/>
      <c r="BB962" s="119"/>
      <c r="BC962" s="119"/>
      <c r="BD962" s="119"/>
      <c r="BE962" s="119"/>
      <c r="BF962" s="119"/>
      <c r="BG962" s="119"/>
      <c r="BH962" s="119"/>
    </row>
    <row r="963" spans="1:60" ht="15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  <c r="AL963" s="119"/>
      <c r="AM963" s="119"/>
      <c r="AN963" s="119"/>
      <c r="AO963" s="119"/>
      <c r="AP963" s="119"/>
      <c r="AQ963" s="119"/>
      <c r="AR963" s="119"/>
      <c r="AS963" s="119"/>
      <c r="AT963" s="119"/>
      <c r="AU963" s="119"/>
      <c r="AV963" s="119"/>
      <c r="AW963" s="119"/>
      <c r="AX963" s="119"/>
      <c r="AY963" s="119"/>
      <c r="AZ963" s="119"/>
      <c r="BA963" s="119"/>
      <c r="BB963" s="119"/>
      <c r="BC963" s="119"/>
      <c r="BD963" s="119"/>
      <c r="BE963" s="119"/>
      <c r="BF963" s="119"/>
      <c r="BG963" s="119"/>
      <c r="BH963" s="119"/>
    </row>
    <row r="964" spans="1:60" ht="15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  <c r="AL964" s="119"/>
      <c r="AM964" s="119"/>
      <c r="AN964" s="119"/>
      <c r="AO964" s="119"/>
      <c r="AP964" s="119"/>
      <c r="AQ964" s="119"/>
      <c r="AR964" s="119"/>
      <c r="AS964" s="119"/>
      <c r="AT964" s="119"/>
      <c r="AU964" s="119"/>
      <c r="AV964" s="119"/>
      <c r="AW964" s="119"/>
      <c r="AX964" s="119"/>
      <c r="AY964" s="119"/>
      <c r="AZ964" s="119"/>
      <c r="BA964" s="119"/>
      <c r="BB964" s="119"/>
      <c r="BC964" s="119"/>
      <c r="BD964" s="119"/>
      <c r="BE964" s="119"/>
      <c r="BF964" s="119"/>
      <c r="BG964" s="119"/>
      <c r="BH964" s="119"/>
    </row>
    <row r="965" spans="1:60" ht="15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  <c r="AN965" s="119"/>
      <c r="AO965" s="119"/>
      <c r="AP965" s="119"/>
      <c r="AQ965" s="119"/>
      <c r="AR965" s="119"/>
      <c r="AS965" s="119"/>
      <c r="AT965" s="119"/>
      <c r="AU965" s="119"/>
      <c r="AV965" s="119"/>
      <c r="AW965" s="119"/>
      <c r="AX965" s="119"/>
      <c r="AY965" s="119"/>
      <c r="AZ965" s="119"/>
      <c r="BA965" s="119"/>
      <c r="BB965" s="119"/>
      <c r="BC965" s="119"/>
      <c r="BD965" s="119"/>
      <c r="BE965" s="119"/>
      <c r="BF965" s="119"/>
      <c r="BG965" s="119"/>
      <c r="BH965" s="119"/>
    </row>
    <row r="966" spans="1:60" ht="15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  <c r="AN966" s="119"/>
      <c r="AO966" s="119"/>
      <c r="AP966" s="119"/>
      <c r="AQ966" s="119"/>
      <c r="AR966" s="119"/>
      <c r="AS966" s="119"/>
      <c r="AT966" s="119"/>
      <c r="AU966" s="119"/>
      <c r="AV966" s="119"/>
      <c r="AW966" s="119"/>
      <c r="AX966" s="119"/>
      <c r="AY966" s="119"/>
      <c r="AZ966" s="119"/>
      <c r="BA966" s="119"/>
      <c r="BB966" s="119"/>
      <c r="BC966" s="119"/>
      <c r="BD966" s="119"/>
      <c r="BE966" s="119"/>
      <c r="BF966" s="119"/>
      <c r="BG966" s="119"/>
      <c r="BH966" s="119"/>
    </row>
    <row r="967" spans="1:60" ht="15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  <c r="AL967" s="119"/>
      <c r="AM967" s="119"/>
      <c r="AN967" s="119"/>
      <c r="AO967" s="119"/>
      <c r="AP967" s="119"/>
      <c r="AQ967" s="119"/>
      <c r="AR967" s="119"/>
      <c r="AS967" s="119"/>
      <c r="AT967" s="119"/>
      <c r="AU967" s="119"/>
      <c r="AV967" s="119"/>
      <c r="AW967" s="119"/>
      <c r="AX967" s="119"/>
      <c r="AY967" s="119"/>
      <c r="AZ967" s="119"/>
      <c r="BA967" s="119"/>
      <c r="BB967" s="119"/>
      <c r="BC967" s="119"/>
      <c r="BD967" s="119"/>
      <c r="BE967" s="119"/>
      <c r="BF967" s="119"/>
      <c r="BG967" s="119"/>
      <c r="BH967" s="119"/>
    </row>
    <row r="968" spans="1:60" ht="15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  <c r="AL968" s="119"/>
      <c r="AM968" s="119"/>
      <c r="AN968" s="119"/>
      <c r="AO968" s="119"/>
      <c r="AP968" s="119"/>
      <c r="AQ968" s="119"/>
      <c r="AR968" s="119"/>
      <c r="AS968" s="119"/>
      <c r="AT968" s="119"/>
      <c r="AU968" s="119"/>
      <c r="AV968" s="119"/>
      <c r="AW968" s="119"/>
      <c r="AX968" s="119"/>
      <c r="AY968" s="119"/>
      <c r="AZ968" s="119"/>
      <c r="BA968" s="119"/>
      <c r="BB968" s="119"/>
      <c r="BC968" s="119"/>
      <c r="BD968" s="119"/>
      <c r="BE968" s="119"/>
      <c r="BF968" s="119"/>
      <c r="BG968" s="119"/>
      <c r="BH968" s="119"/>
    </row>
    <row r="969" spans="1:60" ht="15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  <c r="AN969" s="119"/>
      <c r="AO969" s="119"/>
      <c r="AP969" s="119"/>
      <c r="AQ969" s="119"/>
      <c r="AR969" s="119"/>
      <c r="AS969" s="119"/>
      <c r="AT969" s="119"/>
      <c r="AU969" s="119"/>
      <c r="AV969" s="119"/>
      <c r="AW969" s="119"/>
      <c r="AX969" s="119"/>
      <c r="AY969" s="119"/>
      <c r="AZ969" s="119"/>
      <c r="BA969" s="119"/>
      <c r="BB969" s="119"/>
      <c r="BC969" s="119"/>
      <c r="BD969" s="119"/>
      <c r="BE969" s="119"/>
      <c r="BF969" s="119"/>
      <c r="BG969" s="119"/>
      <c r="BH969" s="119"/>
    </row>
    <row r="970" spans="1:60" ht="15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  <c r="AL970" s="119"/>
      <c r="AM970" s="119"/>
      <c r="AN970" s="119"/>
      <c r="AO970" s="119"/>
      <c r="AP970" s="119"/>
      <c r="AQ970" s="119"/>
      <c r="AR970" s="119"/>
      <c r="AS970" s="119"/>
      <c r="AT970" s="119"/>
      <c r="AU970" s="119"/>
      <c r="AV970" s="119"/>
      <c r="AW970" s="119"/>
      <c r="AX970" s="119"/>
      <c r="AY970" s="119"/>
      <c r="AZ970" s="119"/>
      <c r="BA970" s="119"/>
      <c r="BB970" s="119"/>
      <c r="BC970" s="119"/>
      <c r="BD970" s="119"/>
      <c r="BE970" s="119"/>
      <c r="BF970" s="119"/>
      <c r="BG970" s="119"/>
      <c r="BH970" s="119"/>
    </row>
    <row r="971" spans="1:60" ht="15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  <c r="AL971" s="119"/>
      <c r="AM971" s="119"/>
      <c r="AN971" s="119"/>
      <c r="AO971" s="119"/>
      <c r="AP971" s="119"/>
      <c r="AQ971" s="119"/>
      <c r="AR971" s="119"/>
      <c r="AS971" s="119"/>
      <c r="AT971" s="119"/>
      <c r="AU971" s="119"/>
      <c r="AV971" s="119"/>
      <c r="AW971" s="119"/>
      <c r="AX971" s="119"/>
      <c r="AY971" s="119"/>
      <c r="AZ971" s="119"/>
      <c r="BA971" s="119"/>
      <c r="BB971" s="119"/>
      <c r="BC971" s="119"/>
      <c r="BD971" s="119"/>
      <c r="BE971" s="119"/>
      <c r="BF971" s="119"/>
      <c r="BG971" s="119"/>
      <c r="BH971" s="119"/>
    </row>
    <row r="972" spans="1:60" ht="15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  <c r="AL972" s="119"/>
      <c r="AM972" s="119"/>
      <c r="AN972" s="119"/>
      <c r="AO972" s="119"/>
      <c r="AP972" s="119"/>
      <c r="AQ972" s="119"/>
      <c r="AR972" s="119"/>
      <c r="AS972" s="119"/>
      <c r="AT972" s="119"/>
      <c r="AU972" s="119"/>
      <c r="AV972" s="119"/>
      <c r="AW972" s="119"/>
      <c r="AX972" s="119"/>
      <c r="AY972" s="119"/>
      <c r="AZ972" s="119"/>
      <c r="BA972" s="119"/>
      <c r="BB972" s="119"/>
      <c r="BC972" s="119"/>
      <c r="BD972" s="119"/>
      <c r="BE972" s="119"/>
      <c r="BF972" s="119"/>
      <c r="BG972" s="119"/>
      <c r="BH972" s="119"/>
    </row>
    <row r="973" spans="1:60" ht="15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  <c r="AL973" s="119"/>
      <c r="AM973" s="119"/>
      <c r="AN973" s="119"/>
      <c r="AO973" s="119"/>
      <c r="AP973" s="119"/>
      <c r="AQ973" s="119"/>
      <c r="AR973" s="119"/>
      <c r="AS973" s="119"/>
      <c r="AT973" s="119"/>
      <c r="AU973" s="119"/>
      <c r="AV973" s="119"/>
      <c r="AW973" s="119"/>
      <c r="AX973" s="119"/>
      <c r="AY973" s="119"/>
      <c r="AZ973" s="119"/>
      <c r="BA973" s="119"/>
      <c r="BB973" s="119"/>
      <c r="BC973" s="119"/>
      <c r="BD973" s="119"/>
      <c r="BE973" s="119"/>
      <c r="BF973" s="119"/>
      <c r="BG973" s="119"/>
      <c r="BH973" s="119"/>
    </row>
    <row r="974" spans="1:60" ht="15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  <c r="AL974" s="119"/>
      <c r="AM974" s="119"/>
      <c r="AN974" s="119"/>
      <c r="AO974" s="119"/>
      <c r="AP974" s="119"/>
      <c r="AQ974" s="119"/>
      <c r="AR974" s="119"/>
      <c r="AS974" s="119"/>
      <c r="AT974" s="119"/>
      <c r="AU974" s="119"/>
      <c r="AV974" s="119"/>
      <c r="AW974" s="119"/>
      <c r="AX974" s="119"/>
      <c r="AY974" s="119"/>
      <c r="AZ974" s="119"/>
      <c r="BA974" s="119"/>
      <c r="BB974" s="119"/>
      <c r="BC974" s="119"/>
      <c r="BD974" s="119"/>
      <c r="BE974" s="119"/>
      <c r="BF974" s="119"/>
      <c r="BG974" s="119"/>
      <c r="BH974" s="119"/>
    </row>
    <row r="975" spans="1:60" ht="15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  <c r="AL975" s="119"/>
      <c r="AM975" s="119"/>
      <c r="AN975" s="119"/>
      <c r="AO975" s="119"/>
      <c r="AP975" s="119"/>
      <c r="AQ975" s="119"/>
      <c r="AR975" s="119"/>
      <c r="AS975" s="119"/>
      <c r="AT975" s="119"/>
      <c r="AU975" s="119"/>
      <c r="AV975" s="119"/>
      <c r="AW975" s="119"/>
      <c r="AX975" s="119"/>
      <c r="AY975" s="119"/>
      <c r="AZ975" s="119"/>
      <c r="BA975" s="119"/>
      <c r="BB975" s="119"/>
      <c r="BC975" s="119"/>
      <c r="BD975" s="119"/>
      <c r="BE975" s="119"/>
      <c r="BF975" s="119"/>
      <c r="BG975" s="119"/>
      <c r="BH975" s="119"/>
    </row>
    <row r="976" spans="1:60" ht="15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  <c r="AL976" s="119"/>
      <c r="AM976" s="119"/>
      <c r="AN976" s="119"/>
      <c r="AO976" s="119"/>
      <c r="AP976" s="119"/>
      <c r="AQ976" s="119"/>
      <c r="AR976" s="119"/>
      <c r="AS976" s="119"/>
      <c r="AT976" s="119"/>
      <c r="AU976" s="119"/>
      <c r="AV976" s="119"/>
      <c r="AW976" s="119"/>
      <c r="AX976" s="119"/>
      <c r="AY976" s="119"/>
      <c r="AZ976" s="119"/>
      <c r="BA976" s="119"/>
      <c r="BB976" s="119"/>
      <c r="BC976" s="119"/>
      <c r="BD976" s="119"/>
      <c r="BE976" s="119"/>
      <c r="BF976" s="119"/>
      <c r="BG976" s="119"/>
      <c r="BH976" s="119"/>
    </row>
    <row r="977" spans="1:60" ht="15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  <c r="AL977" s="119"/>
      <c r="AM977" s="119"/>
      <c r="AN977" s="119"/>
      <c r="AO977" s="119"/>
      <c r="AP977" s="119"/>
      <c r="AQ977" s="119"/>
      <c r="AR977" s="119"/>
      <c r="AS977" s="119"/>
      <c r="AT977" s="119"/>
      <c r="AU977" s="119"/>
      <c r="AV977" s="119"/>
      <c r="AW977" s="119"/>
      <c r="AX977" s="119"/>
      <c r="AY977" s="119"/>
      <c r="AZ977" s="119"/>
      <c r="BA977" s="119"/>
      <c r="BB977" s="119"/>
      <c r="BC977" s="119"/>
      <c r="BD977" s="119"/>
      <c r="BE977" s="119"/>
      <c r="BF977" s="119"/>
      <c r="BG977" s="119"/>
      <c r="BH977" s="119"/>
    </row>
    <row r="978" spans="1:60" ht="15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  <c r="AL978" s="119"/>
      <c r="AM978" s="119"/>
      <c r="AN978" s="119"/>
      <c r="AO978" s="119"/>
      <c r="AP978" s="119"/>
      <c r="AQ978" s="119"/>
      <c r="AR978" s="119"/>
      <c r="AS978" s="119"/>
      <c r="AT978" s="119"/>
      <c r="AU978" s="119"/>
      <c r="AV978" s="119"/>
      <c r="AW978" s="119"/>
      <c r="AX978" s="119"/>
      <c r="AY978" s="119"/>
      <c r="AZ978" s="119"/>
      <c r="BA978" s="119"/>
      <c r="BB978" s="119"/>
      <c r="BC978" s="119"/>
      <c r="BD978" s="119"/>
      <c r="BE978" s="119"/>
      <c r="BF978" s="119"/>
      <c r="BG978" s="119"/>
      <c r="BH978" s="119"/>
    </row>
    <row r="979" spans="1:60" ht="15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  <c r="AN979" s="119"/>
      <c r="AO979" s="119"/>
      <c r="AP979" s="119"/>
      <c r="AQ979" s="119"/>
      <c r="AR979" s="119"/>
      <c r="AS979" s="119"/>
      <c r="AT979" s="119"/>
      <c r="AU979" s="119"/>
      <c r="AV979" s="119"/>
      <c r="AW979" s="119"/>
      <c r="AX979" s="119"/>
      <c r="AY979" s="119"/>
      <c r="AZ979" s="119"/>
      <c r="BA979" s="119"/>
      <c r="BB979" s="119"/>
      <c r="BC979" s="119"/>
      <c r="BD979" s="119"/>
      <c r="BE979" s="119"/>
      <c r="BF979" s="119"/>
      <c r="BG979" s="119"/>
      <c r="BH979" s="119"/>
    </row>
    <row r="980" spans="1:60" ht="15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  <c r="AL980" s="119"/>
      <c r="AM980" s="119"/>
      <c r="AN980" s="119"/>
      <c r="AO980" s="119"/>
      <c r="AP980" s="119"/>
      <c r="AQ980" s="119"/>
      <c r="AR980" s="119"/>
      <c r="AS980" s="119"/>
      <c r="AT980" s="119"/>
      <c r="AU980" s="119"/>
      <c r="AV980" s="119"/>
      <c r="AW980" s="119"/>
      <c r="AX980" s="119"/>
      <c r="AY980" s="119"/>
      <c r="AZ980" s="119"/>
      <c r="BA980" s="119"/>
      <c r="BB980" s="119"/>
      <c r="BC980" s="119"/>
      <c r="BD980" s="119"/>
      <c r="BE980" s="119"/>
      <c r="BF980" s="119"/>
      <c r="BG980" s="119"/>
      <c r="BH980" s="119"/>
    </row>
    <row r="981" spans="1:60" ht="15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  <c r="AL981" s="119"/>
      <c r="AM981" s="119"/>
      <c r="AN981" s="119"/>
      <c r="AO981" s="119"/>
      <c r="AP981" s="119"/>
      <c r="AQ981" s="119"/>
      <c r="AR981" s="119"/>
      <c r="AS981" s="119"/>
      <c r="AT981" s="119"/>
      <c r="AU981" s="119"/>
      <c r="AV981" s="119"/>
      <c r="AW981" s="119"/>
      <c r="AX981" s="119"/>
      <c r="AY981" s="119"/>
      <c r="AZ981" s="119"/>
      <c r="BA981" s="119"/>
      <c r="BB981" s="119"/>
      <c r="BC981" s="119"/>
      <c r="BD981" s="119"/>
      <c r="BE981" s="119"/>
      <c r="BF981" s="119"/>
      <c r="BG981" s="119"/>
      <c r="BH981" s="119"/>
    </row>
    <row r="982" spans="1:60" ht="15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  <c r="AL982" s="119"/>
      <c r="AM982" s="119"/>
      <c r="AN982" s="119"/>
      <c r="AO982" s="119"/>
      <c r="AP982" s="119"/>
      <c r="AQ982" s="119"/>
      <c r="AR982" s="119"/>
      <c r="AS982" s="119"/>
      <c r="AT982" s="119"/>
      <c r="AU982" s="119"/>
      <c r="AV982" s="119"/>
      <c r="AW982" s="119"/>
      <c r="AX982" s="119"/>
      <c r="AY982" s="119"/>
      <c r="AZ982" s="119"/>
      <c r="BA982" s="119"/>
      <c r="BB982" s="119"/>
      <c r="BC982" s="119"/>
      <c r="BD982" s="119"/>
      <c r="BE982" s="119"/>
      <c r="BF982" s="119"/>
      <c r="BG982" s="119"/>
      <c r="BH982" s="119"/>
    </row>
    <row r="983" spans="1:60" ht="15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  <c r="AL983" s="119"/>
      <c r="AM983" s="119"/>
      <c r="AN983" s="119"/>
      <c r="AO983" s="119"/>
      <c r="AP983" s="119"/>
      <c r="AQ983" s="119"/>
      <c r="AR983" s="119"/>
      <c r="AS983" s="119"/>
      <c r="AT983" s="119"/>
      <c r="AU983" s="119"/>
      <c r="AV983" s="119"/>
      <c r="AW983" s="119"/>
      <c r="AX983" s="119"/>
      <c r="AY983" s="119"/>
      <c r="AZ983" s="119"/>
      <c r="BA983" s="119"/>
      <c r="BB983" s="119"/>
      <c r="BC983" s="119"/>
      <c r="BD983" s="119"/>
      <c r="BE983" s="119"/>
      <c r="BF983" s="119"/>
      <c r="BG983" s="119"/>
      <c r="BH983" s="119"/>
    </row>
    <row r="984" spans="1:60" ht="15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  <c r="AL984" s="119"/>
      <c r="AM984" s="119"/>
      <c r="AN984" s="119"/>
      <c r="AO984" s="119"/>
      <c r="AP984" s="119"/>
      <c r="AQ984" s="119"/>
      <c r="AR984" s="119"/>
      <c r="AS984" s="119"/>
      <c r="AT984" s="119"/>
      <c r="AU984" s="119"/>
      <c r="AV984" s="119"/>
      <c r="AW984" s="119"/>
      <c r="AX984" s="119"/>
      <c r="AY984" s="119"/>
      <c r="AZ984" s="119"/>
      <c r="BA984" s="119"/>
      <c r="BB984" s="119"/>
      <c r="BC984" s="119"/>
      <c r="BD984" s="119"/>
      <c r="BE984" s="119"/>
      <c r="BF984" s="119"/>
      <c r="BG984" s="119"/>
      <c r="BH984" s="119"/>
    </row>
    <row r="985" spans="1:60" ht="15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  <c r="AL985" s="119"/>
      <c r="AM985" s="119"/>
      <c r="AN985" s="119"/>
      <c r="AO985" s="119"/>
      <c r="AP985" s="119"/>
      <c r="AQ985" s="119"/>
      <c r="AR985" s="119"/>
      <c r="AS985" s="119"/>
      <c r="AT985" s="119"/>
      <c r="AU985" s="119"/>
      <c r="AV985" s="119"/>
      <c r="AW985" s="119"/>
      <c r="AX985" s="119"/>
      <c r="AY985" s="119"/>
      <c r="AZ985" s="119"/>
      <c r="BA985" s="119"/>
      <c r="BB985" s="119"/>
      <c r="BC985" s="119"/>
      <c r="BD985" s="119"/>
      <c r="BE985" s="119"/>
      <c r="BF985" s="119"/>
      <c r="BG985" s="119"/>
      <c r="BH985" s="119"/>
    </row>
    <row r="986" spans="1:60" ht="15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  <c r="AL986" s="119"/>
      <c r="AM986" s="119"/>
      <c r="AN986" s="119"/>
      <c r="AO986" s="119"/>
      <c r="AP986" s="119"/>
      <c r="AQ986" s="119"/>
      <c r="AR986" s="119"/>
      <c r="AS986" s="119"/>
      <c r="AT986" s="119"/>
      <c r="AU986" s="119"/>
      <c r="AV986" s="119"/>
      <c r="AW986" s="119"/>
      <c r="AX986" s="119"/>
      <c r="AY986" s="119"/>
      <c r="AZ986" s="119"/>
      <c r="BA986" s="119"/>
      <c r="BB986" s="119"/>
      <c r="BC986" s="119"/>
      <c r="BD986" s="119"/>
      <c r="BE986" s="119"/>
      <c r="BF986" s="119"/>
      <c r="BG986" s="119"/>
      <c r="BH986" s="119"/>
    </row>
    <row r="987" spans="1:60" ht="15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  <c r="AL987" s="119"/>
      <c r="AM987" s="119"/>
      <c r="AN987" s="119"/>
      <c r="AO987" s="119"/>
      <c r="AP987" s="119"/>
      <c r="AQ987" s="119"/>
      <c r="AR987" s="119"/>
      <c r="AS987" s="119"/>
      <c r="AT987" s="119"/>
      <c r="AU987" s="119"/>
      <c r="AV987" s="119"/>
      <c r="AW987" s="119"/>
      <c r="AX987" s="119"/>
      <c r="AY987" s="119"/>
      <c r="AZ987" s="119"/>
      <c r="BA987" s="119"/>
      <c r="BB987" s="119"/>
      <c r="BC987" s="119"/>
      <c r="BD987" s="119"/>
      <c r="BE987" s="119"/>
      <c r="BF987" s="119"/>
      <c r="BG987" s="119"/>
      <c r="BH987" s="119"/>
    </row>
    <row r="988" spans="1:60" ht="15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  <c r="AL988" s="119"/>
      <c r="AM988" s="119"/>
      <c r="AN988" s="119"/>
      <c r="AO988" s="119"/>
      <c r="AP988" s="119"/>
      <c r="AQ988" s="119"/>
      <c r="AR988" s="119"/>
      <c r="AS988" s="119"/>
      <c r="AT988" s="119"/>
      <c r="AU988" s="119"/>
      <c r="AV988" s="119"/>
      <c r="AW988" s="119"/>
      <c r="AX988" s="119"/>
      <c r="AY988" s="119"/>
      <c r="AZ988" s="119"/>
      <c r="BA988" s="119"/>
      <c r="BB988" s="119"/>
      <c r="BC988" s="119"/>
      <c r="BD988" s="119"/>
      <c r="BE988" s="119"/>
      <c r="BF988" s="119"/>
      <c r="BG988" s="119"/>
      <c r="BH988" s="11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workbookViewId="0"/>
  </sheetViews>
  <sheetFormatPr baseColWidth="10" defaultColWidth="14.5" defaultRowHeight="15" customHeight="1"/>
  <cols>
    <col min="1" max="1" width="30.6640625" customWidth="1"/>
    <col min="2" max="2" width="167.5" customWidth="1"/>
    <col min="3" max="26" width="10.6640625" customWidth="1"/>
  </cols>
  <sheetData>
    <row r="1" spans="1:3">
      <c r="A1" s="119"/>
    </row>
    <row r="2" spans="1:3">
      <c r="A2" s="119"/>
    </row>
    <row r="3" spans="1:3">
      <c r="A3" s="119"/>
    </row>
    <row r="4" spans="1:3">
      <c r="A4" s="119"/>
    </row>
    <row r="5" spans="1:3">
      <c r="A5" s="119"/>
    </row>
    <row r="6" spans="1:3">
      <c r="A6" s="119"/>
    </row>
    <row r="7" spans="1:3">
      <c r="A7" s="119"/>
    </row>
    <row r="8" spans="1:3">
      <c r="A8" s="119"/>
    </row>
    <row r="9" spans="1:3">
      <c r="A9" s="119"/>
    </row>
    <row r="10" spans="1:3">
      <c r="A10" s="119"/>
    </row>
    <row r="11" spans="1:3">
      <c r="A11" s="119"/>
    </row>
    <row r="12" spans="1:3">
      <c r="A12" s="119"/>
    </row>
    <row r="13" spans="1:3" ht="18" customHeight="1">
      <c r="A13" s="122" t="s">
        <v>246</v>
      </c>
      <c r="B13" s="122" t="s">
        <v>247</v>
      </c>
      <c r="C13" s="123" t="s">
        <v>248</v>
      </c>
    </row>
    <row r="14" spans="1:3" ht="18" customHeight="1">
      <c r="A14" s="124" t="s">
        <v>192</v>
      </c>
      <c r="B14" s="124" t="s">
        <v>249</v>
      </c>
      <c r="C14" s="124" t="s">
        <v>250</v>
      </c>
    </row>
    <row r="15" spans="1:3" ht="18" customHeight="1">
      <c r="A15" s="124" t="s">
        <v>190</v>
      </c>
      <c r="B15" s="124" t="s">
        <v>190</v>
      </c>
      <c r="C15" s="124" t="s">
        <v>250</v>
      </c>
    </row>
    <row r="16" spans="1:3" ht="18" customHeight="1">
      <c r="A16" s="124" t="s">
        <v>191</v>
      </c>
      <c r="B16" s="124" t="s">
        <v>251</v>
      </c>
      <c r="C16" s="124" t="s">
        <v>252</v>
      </c>
    </row>
    <row r="17" spans="1:3" ht="18" customHeight="1">
      <c r="A17" s="125" t="s">
        <v>193</v>
      </c>
      <c r="B17" s="125" t="s">
        <v>253</v>
      </c>
      <c r="C17" s="125" t="s">
        <v>252</v>
      </c>
    </row>
    <row r="18" spans="1:3" ht="18" customHeight="1">
      <c r="A18" s="126" t="s">
        <v>194</v>
      </c>
      <c r="B18" s="126" t="s">
        <v>254</v>
      </c>
      <c r="C18" s="126" t="s">
        <v>252</v>
      </c>
    </row>
    <row r="19" spans="1:3" ht="18" customHeight="1">
      <c r="A19" s="126" t="s">
        <v>195</v>
      </c>
      <c r="B19" s="126" t="s">
        <v>255</v>
      </c>
      <c r="C19" s="126" t="s">
        <v>252</v>
      </c>
    </row>
    <row r="20" spans="1:3" ht="18" customHeight="1">
      <c r="A20" s="126" t="s">
        <v>196</v>
      </c>
      <c r="B20" s="126" t="s">
        <v>256</v>
      </c>
      <c r="C20" s="126" t="s">
        <v>252</v>
      </c>
    </row>
    <row r="21" spans="1:3" ht="18" customHeight="1">
      <c r="A21" s="126" t="s">
        <v>197</v>
      </c>
      <c r="B21" s="126" t="s">
        <v>257</v>
      </c>
      <c r="C21" s="126" t="s">
        <v>252</v>
      </c>
    </row>
    <row r="22" spans="1:3" ht="18" customHeight="1">
      <c r="A22" s="127" t="s">
        <v>258</v>
      </c>
      <c r="B22" s="127" t="s">
        <v>259</v>
      </c>
      <c r="C22" s="127" t="s">
        <v>252</v>
      </c>
    </row>
    <row r="23" spans="1:3" ht="18" customHeight="1">
      <c r="A23" s="127" t="s">
        <v>260</v>
      </c>
      <c r="B23" s="127" t="s">
        <v>261</v>
      </c>
      <c r="C23" s="127" t="s">
        <v>252</v>
      </c>
    </row>
    <row r="24" spans="1:3" ht="18" customHeight="1">
      <c r="A24" s="127" t="s">
        <v>262</v>
      </c>
      <c r="B24" s="127" t="s">
        <v>263</v>
      </c>
      <c r="C24" s="127" t="s">
        <v>252</v>
      </c>
    </row>
    <row r="25" spans="1:3" ht="18" customHeight="1">
      <c r="A25" s="128" t="s">
        <v>264</v>
      </c>
      <c r="B25" s="127" t="s">
        <v>265</v>
      </c>
      <c r="C25" s="128" t="s">
        <v>252</v>
      </c>
    </row>
    <row r="26" spans="1:3" ht="18" customHeight="1">
      <c r="A26" s="129" t="s">
        <v>104</v>
      </c>
      <c r="B26" s="130" t="s">
        <v>266</v>
      </c>
      <c r="C26" s="129" t="s">
        <v>252</v>
      </c>
    </row>
    <row r="27" spans="1:3" ht="18" customHeight="1">
      <c r="A27" s="129" t="s">
        <v>88</v>
      </c>
      <c r="B27" s="130" t="s">
        <v>267</v>
      </c>
      <c r="C27" s="129" t="s">
        <v>252</v>
      </c>
    </row>
    <row r="28" spans="1:3" ht="18" customHeight="1">
      <c r="A28" s="129" t="s">
        <v>110</v>
      </c>
      <c r="B28" s="130" t="s">
        <v>268</v>
      </c>
      <c r="C28" s="129" t="s">
        <v>252</v>
      </c>
    </row>
    <row r="29" spans="1:3" ht="18" customHeight="1">
      <c r="A29" s="129" t="s">
        <v>199</v>
      </c>
      <c r="B29" s="129" t="s">
        <v>269</v>
      </c>
      <c r="C29" s="129" t="s">
        <v>252</v>
      </c>
    </row>
    <row r="30" spans="1:3" ht="18" customHeight="1">
      <c r="A30" s="131" t="s">
        <v>270</v>
      </c>
      <c r="B30" s="131" t="s">
        <v>271</v>
      </c>
      <c r="C30" s="131" t="s">
        <v>272</v>
      </c>
    </row>
    <row r="31" spans="1:3" ht="18" customHeight="1">
      <c r="A31" s="131" t="s">
        <v>201</v>
      </c>
      <c r="B31" s="131" t="s">
        <v>273</v>
      </c>
      <c r="C31" s="131" t="s">
        <v>272</v>
      </c>
    </row>
    <row r="32" spans="1:3" ht="18" customHeight="1">
      <c r="A32" s="131" t="s">
        <v>274</v>
      </c>
      <c r="B32" s="131" t="s">
        <v>275</v>
      </c>
      <c r="C32" s="131" t="s">
        <v>272</v>
      </c>
    </row>
    <row r="33" spans="1:3" ht="18" customHeight="1">
      <c r="A33" s="132" t="s">
        <v>203</v>
      </c>
      <c r="B33" s="132" t="s">
        <v>276</v>
      </c>
      <c r="C33" s="132" t="s">
        <v>252</v>
      </c>
    </row>
    <row r="34" spans="1:3" ht="18" customHeight="1">
      <c r="A34" s="132" t="s">
        <v>204</v>
      </c>
      <c r="B34" s="132" t="s">
        <v>277</v>
      </c>
      <c r="C34" s="132" t="s">
        <v>252</v>
      </c>
    </row>
    <row r="35" spans="1:3" ht="18" customHeight="1">
      <c r="A35" s="133" t="s">
        <v>208</v>
      </c>
      <c r="B35" s="133" t="s">
        <v>278</v>
      </c>
      <c r="C35" s="133" t="s">
        <v>279</v>
      </c>
    </row>
    <row r="36" spans="1:3" ht="18" customHeight="1">
      <c r="A36" s="134" t="s">
        <v>280</v>
      </c>
      <c r="B36" s="134" t="s">
        <v>281</v>
      </c>
      <c r="C36" s="134" t="s">
        <v>252</v>
      </c>
    </row>
    <row r="37" spans="1:3" ht="18" customHeight="1">
      <c r="A37" s="134" t="s">
        <v>282</v>
      </c>
      <c r="B37" s="134" t="s">
        <v>283</v>
      </c>
      <c r="C37" s="134" t="s">
        <v>252</v>
      </c>
    </row>
    <row r="38" spans="1:3" ht="18" customHeight="1">
      <c r="A38" s="135" t="s">
        <v>211</v>
      </c>
      <c r="B38" s="135" t="s">
        <v>284</v>
      </c>
      <c r="C38" s="135" t="s">
        <v>252</v>
      </c>
    </row>
    <row r="39" spans="1:3" ht="18" customHeight="1">
      <c r="A39" s="135" t="s">
        <v>212</v>
      </c>
      <c r="B39" s="135" t="s">
        <v>285</v>
      </c>
      <c r="C39" s="135" t="s">
        <v>252</v>
      </c>
    </row>
    <row r="40" spans="1:3" ht="18" customHeight="1">
      <c r="A40" s="135" t="s">
        <v>213</v>
      </c>
      <c r="B40" s="135" t="s">
        <v>286</v>
      </c>
      <c r="C40" s="135" t="s">
        <v>252</v>
      </c>
    </row>
    <row r="41" spans="1:3" ht="18" customHeight="1">
      <c r="A41" s="135" t="s">
        <v>287</v>
      </c>
      <c r="B41" s="135" t="s">
        <v>288</v>
      </c>
      <c r="C41" s="135" t="s">
        <v>252</v>
      </c>
    </row>
    <row r="42" spans="1:3" ht="18" customHeight="1">
      <c r="A42" s="135" t="s">
        <v>215</v>
      </c>
      <c r="B42" s="135" t="s">
        <v>289</v>
      </c>
      <c r="C42" s="135" t="s">
        <v>252</v>
      </c>
    </row>
    <row r="43" spans="1:3" ht="18" customHeight="1">
      <c r="A43" s="135" t="s">
        <v>216</v>
      </c>
      <c r="B43" s="135" t="s">
        <v>290</v>
      </c>
      <c r="C43" s="135" t="s">
        <v>252</v>
      </c>
    </row>
    <row r="44" spans="1:3" ht="18" customHeight="1">
      <c r="A44" s="135" t="s">
        <v>217</v>
      </c>
      <c r="B44" s="135" t="s">
        <v>291</v>
      </c>
      <c r="C44" s="135" t="s">
        <v>252</v>
      </c>
    </row>
    <row r="45" spans="1:3" ht="18" customHeight="1">
      <c r="A45" s="135" t="s">
        <v>218</v>
      </c>
      <c r="B45" s="135" t="s">
        <v>292</v>
      </c>
      <c r="C45" s="135" t="s">
        <v>252</v>
      </c>
    </row>
    <row r="46" spans="1:3" ht="18" customHeight="1">
      <c r="A46" s="135" t="s">
        <v>219</v>
      </c>
      <c r="B46" s="135" t="s">
        <v>293</v>
      </c>
      <c r="C46" s="135" t="s">
        <v>252</v>
      </c>
    </row>
    <row r="47" spans="1:3" ht="18" customHeight="1">
      <c r="A47" s="135" t="s">
        <v>220</v>
      </c>
      <c r="B47" s="135" t="s">
        <v>294</v>
      </c>
      <c r="C47" s="135" t="s">
        <v>252</v>
      </c>
    </row>
    <row r="48" spans="1:3" ht="18" customHeight="1">
      <c r="A48" s="135" t="s">
        <v>221</v>
      </c>
      <c r="B48" s="135" t="s">
        <v>295</v>
      </c>
      <c r="C48" s="135" t="s">
        <v>252</v>
      </c>
    </row>
    <row r="49" spans="1:3" ht="18" customHeight="1">
      <c r="A49" s="135" t="s">
        <v>222</v>
      </c>
      <c r="B49" s="135" t="s">
        <v>296</v>
      </c>
      <c r="C49" s="135" t="s">
        <v>252</v>
      </c>
    </row>
    <row r="50" spans="1:3" ht="18" customHeight="1">
      <c r="A50" s="135" t="s">
        <v>225</v>
      </c>
      <c r="B50" s="135" t="s">
        <v>297</v>
      </c>
      <c r="C50" s="135" t="s">
        <v>252</v>
      </c>
    </row>
    <row r="51" spans="1:3" ht="18" customHeight="1">
      <c r="A51" s="136" t="s">
        <v>226</v>
      </c>
      <c r="B51" s="136" t="s">
        <v>298</v>
      </c>
      <c r="C51" s="136" t="s">
        <v>252</v>
      </c>
    </row>
    <row r="52" spans="1:3" ht="18" customHeight="1">
      <c r="A52" s="136" t="s">
        <v>227</v>
      </c>
      <c r="B52" s="136" t="s">
        <v>299</v>
      </c>
      <c r="C52" s="136" t="s">
        <v>252</v>
      </c>
    </row>
    <row r="53" spans="1:3" ht="18" customHeight="1">
      <c r="A53" s="137" t="s">
        <v>300</v>
      </c>
      <c r="B53" s="137" t="s">
        <v>301</v>
      </c>
      <c r="C53" s="137" t="s">
        <v>272</v>
      </c>
    </row>
    <row r="54" spans="1:3" ht="18" customHeight="1">
      <c r="A54" s="137" t="s">
        <v>302</v>
      </c>
      <c r="B54" s="137" t="s">
        <v>303</v>
      </c>
      <c r="C54" s="137" t="s">
        <v>272</v>
      </c>
    </row>
    <row r="55" spans="1:3" ht="18" customHeight="1">
      <c r="A55" s="137" t="s">
        <v>304</v>
      </c>
      <c r="B55" s="137" t="s">
        <v>305</v>
      </c>
      <c r="C55" s="137" t="s">
        <v>272</v>
      </c>
    </row>
    <row r="56" spans="1:3" ht="18" customHeight="1">
      <c r="A56" s="137" t="s">
        <v>306</v>
      </c>
      <c r="B56" s="137" t="s">
        <v>307</v>
      </c>
      <c r="C56" s="137" t="s">
        <v>272</v>
      </c>
    </row>
    <row r="57" spans="1:3" ht="18" customHeight="1">
      <c r="A57" s="138" t="s">
        <v>308</v>
      </c>
      <c r="B57" s="138" t="s">
        <v>309</v>
      </c>
      <c r="C57" s="138" t="s">
        <v>272</v>
      </c>
    </row>
    <row r="58" spans="1:3" ht="18" customHeight="1">
      <c r="A58" s="138" t="s">
        <v>310</v>
      </c>
      <c r="B58" s="138" t="s">
        <v>311</v>
      </c>
      <c r="C58" s="138" t="s">
        <v>272</v>
      </c>
    </row>
    <row r="59" spans="1:3" ht="18" customHeight="1">
      <c r="A59" s="138" t="s">
        <v>312</v>
      </c>
      <c r="B59" s="138" t="s">
        <v>313</v>
      </c>
      <c r="C59" s="138" t="s">
        <v>272</v>
      </c>
    </row>
    <row r="60" spans="1:3" ht="18" customHeight="1">
      <c r="A60" s="126" t="s">
        <v>314</v>
      </c>
      <c r="B60" s="126" t="s">
        <v>313</v>
      </c>
      <c r="C60" s="126" t="s">
        <v>272</v>
      </c>
    </row>
    <row r="61" spans="1:3" ht="18" customHeight="1">
      <c r="A61" s="126" t="s">
        <v>315</v>
      </c>
      <c r="B61" s="126" t="s">
        <v>313</v>
      </c>
      <c r="C61" s="126" t="s">
        <v>272</v>
      </c>
    </row>
    <row r="62" spans="1:3" ht="18" customHeight="1">
      <c r="A62" s="126" t="s">
        <v>316</v>
      </c>
      <c r="B62" s="126" t="s">
        <v>313</v>
      </c>
      <c r="C62" s="126" t="s">
        <v>272</v>
      </c>
    </row>
    <row r="63" spans="1:3" ht="18" customHeight="1">
      <c r="A63" s="126" t="s">
        <v>317</v>
      </c>
      <c r="B63" s="126" t="s">
        <v>313</v>
      </c>
      <c r="C63" s="126" t="s">
        <v>272</v>
      </c>
    </row>
    <row r="64" spans="1:3" ht="18" customHeight="1">
      <c r="A64" s="126" t="s">
        <v>318</v>
      </c>
      <c r="B64" s="126" t="s">
        <v>313</v>
      </c>
      <c r="C64" s="126" t="s">
        <v>272</v>
      </c>
    </row>
    <row r="65" spans="1:3" ht="18" customHeight="1">
      <c r="A65" s="139" t="s">
        <v>240</v>
      </c>
      <c r="B65" s="139" t="s">
        <v>313</v>
      </c>
      <c r="C65" s="139" t="s">
        <v>272</v>
      </c>
    </row>
    <row r="66" spans="1:3" ht="18" customHeight="1">
      <c r="A66" s="139" t="s">
        <v>241</v>
      </c>
      <c r="B66" s="139" t="s">
        <v>313</v>
      </c>
      <c r="C66" s="139" t="s">
        <v>272</v>
      </c>
    </row>
    <row r="67" spans="1:3" ht="18" customHeight="1">
      <c r="A67" s="140" t="s">
        <v>319</v>
      </c>
      <c r="B67" s="140" t="s">
        <v>320</v>
      </c>
      <c r="C67" s="140" t="s">
        <v>279</v>
      </c>
    </row>
    <row r="68" spans="1:3" ht="18" customHeight="1">
      <c r="A68" s="140" t="s">
        <v>321</v>
      </c>
      <c r="B68" s="140" t="s">
        <v>320</v>
      </c>
      <c r="C68" s="140" t="s">
        <v>279</v>
      </c>
    </row>
    <row r="69" spans="1:3" ht="18" customHeight="1">
      <c r="A69" s="140" t="s">
        <v>322</v>
      </c>
      <c r="B69" s="140" t="s">
        <v>320</v>
      </c>
      <c r="C69" s="140" t="s">
        <v>279</v>
      </c>
    </row>
    <row r="70" spans="1:3" ht="18" customHeight="1">
      <c r="A70" s="140" t="s">
        <v>323</v>
      </c>
      <c r="B70" s="140" t="s">
        <v>320</v>
      </c>
      <c r="C70" s="140" t="s">
        <v>279</v>
      </c>
    </row>
    <row r="71" spans="1:3" ht="18" customHeight="1">
      <c r="A71" s="140" t="s">
        <v>324</v>
      </c>
      <c r="B71" s="140" t="s">
        <v>320</v>
      </c>
      <c r="C71" s="140" t="s">
        <v>279</v>
      </c>
    </row>
    <row r="72" spans="1:3" ht="18" customHeight="1">
      <c r="A72" s="140" t="s">
        <v>325</v>
      </c>
      <c r="B72" s="140" t="s">
        <v>320</v>
      </c>
      <c r="C72" s="140" t="s">
        <v>279</v>
      </c>
    </row>
    <row r="73" spans="1:3" ht="18" customHeight="1">
      <c r="A73" s="140" t="s">
        <v>326</v>
      </c>
      <c r="B73" s="140" t="s">
        <v>320</v>
      </c>
      <c r="C73" s="140" t="s">
        <v>279</v>
      </c>
    </row>
    <row r="74" spans="1:3" ht="18" customHeight="1">
      <c r="A74" s="140" t="s">
        <v>327</v>
      </c>
      <c r="B74" s="140" t="s">
        <v>320</v>
      </c>
      <c r="C74" s="140" t="s">
        <v>279</v>
      </c>
    </row>
    <row r="75" spans="1:3" ht="18" customHeight="1">
      <c r="A75" s="140" t="s">
        <v>328</v>
      </c>
      <c r="B75" s="140" t="s">
        <v>320</v>
      </c>
      <c r="C75" s="140" t="s">
        <v>279</v>
      </c>
    </row>
    <row r="76" spans="1:3" ht="18" customHeight="1">
      <c r="A76" s="140" t="s">
        <v>329</v>
      </c>
      <c r="B76" s="140" t="s">
        <v>320</v>
      </c>
      <c r="C76" s="140" t="s">
        <v>279</v>
      </c>
    </row>
    <row r="77" spans="1:3" ht="18" customHeight="1">
      <c r="A77" s="140" t="s">
        <v>245</v>
      </c>
      <c r="B77" s="140" t="s">
        <v>330</v>
      </c>
      <c r="C77" s="140" t="s">
        <v>252</v>
      </c>
    </row>
    <row r="78" spans="1:3" ht="15.75" customHeight="1">
      <c r="A78" s="119"/>
    </row>
    <row r="79" spans="1:3" ht="15.75" customHeight="1">
      <c r="A79" s="122" t="s">
        <v>331</v>
      </c>
    </row>
    <row r="80" spans="1:3" ht="15.75" customHeight="1">
      <c r="A80" s="119" t="s">
        <v>66</v>
      </c>
      <c r="B80" s="123" t="s">
        <v>332</v>
      </c>
    </row>
    <row r="81" spans="1:2" ht="15.75" customHeight="1">
      <c r="A81" s="119" t="s">
        <v>94</v>
      </c>
      <c r="B81" s="123" t="s">
        <v>333</v>
      </c>
    </row>
    <row r="82" spans="1:2" ht="15.75" customHeight="1">
      <c r="A82" s="119" t="s">
        <v>173</v>
      </c>
      <c r="B82" s="123" t="s">
        <v>334</v>
      </c>
    </row>
    <row r="83" spans="1:2" ht="15.75" customHeight="1">
      <c r="A83" s="119" t="s">
        <v>186</v>
      </c>
      <c r="B83" s="123" t="s">
        <v>335</v>
      </c>
    </row>
    <row r="84" spans="1:2" ht="15.75" customHeight="1">
      <c r="A84" s="119" t="s">
        <v>336</v>
      </c>
      <c r="B84" s="123" t="s">
        <v>337</v>
      </c>
    </row>
    <row r="85" spans="1:2" ht="15.75" customHeight="1">
      <c r="A85" s="119" t="s">
        <v>120</v>
      </c>
      <c r="B85" s="123" t="s">
        <v>338</v>
      </c>
    </row>
    <row r="86" spans="1:2" ht="15.75" customHeight="1">
      <c r="A86" s="119" t="s">
        <v>168</v>
      </c>
      <c r="B86" s="123" t="s">
        <v>339</v>
      </c>
    </row>
    <row r="87" spans="1:2" ht="15.75" customHeight="1">
      <c r="A87" s="119"/>
    </row>
    <row r="88" spans="1:2" ht="15.75" customHeight="1">
      <c r="A88" s="119"/>
    </row>
    <row r="89" spans="1:2" ht="15.75" customHeight="1">
      <c r="A89" s="119"/>
    </row>
    <row r="90" spans="1:2" ht="15.75" customHeight="1">
      <c r="A90" s="119"/>
    </row>
    <row r="91" spans="1:2" ht="15.75" customHeight="1">
      <c r="A91" s="119"/>
    </row>
    <row r="92" spans="1:2" ht="15.75" customHeight="1">
      <c r="A92" s="119"/>
    </row>
    <row r="93" spans="1:2" ht="15.75" customHeight="1">
      <c r="A93" s="119"/>
    </row>
    <row r="94" spans="1:2" ht="15.75" customHeight="1">
      <c r="A94" s="119"/>
    </row>
    <row r="95" spans="1:2" ht="15.75" customHeight="1">
      <c r="A95" s="119"/>
    </row>
    <row r="96" spans="1:2" ht="15.75" customHeight="1">
      <c r="A96" s="119"/>
    </row>
    <row r="97" spans="1:1" ht="15.75" customHeight="1">
      <c r="A97" s="119"/>
    </row>
    <row r="98" spans="1:1" ht="15.75" customHeight="1">
      <c r="A98" s="119"/>
    </row>
    <row r="99" spans="1:1" ht="15.75" customHeight="1">
      <c r="A99" s="119"/>
    </row>
    <row r="100" spans="1:1" ht="15.75" customHeight="1">
      <c r="A100" s="119"/>
    </row>
    <row r="101" spans="1:1" ht="15.75" customHeight="1">
      <c r="A101" s="119"/>
    </row>
    <row r="102" spans="1:1" ht="15.75" customHeight="1">
      <c r="A102" s="119"/>
    </row>
    <row r="103" spans="1:1" ht="15.75" customHeight="1">
      <c r="A103" s="119"/>
    </row>
    <row r="104" spans="1:1" ht="15.75" customHeight="1">
      <c r="A104" s="119"/>
    </row>
    <row r="105" spans="1:1" ht="15.75" customHeight="1">
      <c r="A105" s="119"/>
    </row>
    <row r="106" spans="1:1" ht="15.75" customHeight="1">
      <c r="A106" s="119"/>
    </row>
    <row r="107" spans="1:1" ht="15.75" customHeight="1">
      <c r="A107" s="119"/>
    </row>
    <row r="108" spans="1:1" ht="15.75" customHeight="1">
      <c r="A108" s="119"/>
    </row>
    <row r="109" spans="1:1" ht="15.75" customHeight="1">
      <c r="A109" s="119"/>
    </row>
    <row r="110" spans="1:1" ht="15.75" customHeight="1">
      <c r="A110" s="119"/>
    </row>
    <row r="111" spans="1:1" ht="15.75" customHeight="1">
      <c r="A111" s="119"/>
    </row>
    <row r="112" spans="1:1" ht="15.75" customHeight="1">
      <c r="A112" s="119"/>
    </row>
    <row r="113" spans="1:1" ht="15.75" customHeight="1">
      <c r="A113" s="119"/>
    </row>
    <row r="114" spans="1:1" ht="15.75" customHeight="1">
      <c r="A114" s="119"/>
    </row>
    <row r="115" spans="1:1" ht="15.75" customHeight="1">
      <c r="A115" s="119"/>
    </row>
    <row r="116" spans="1:1" ht="15.75" customHeight="1">
      <c r="A116" s="119"/>
    </row>
    <row r="117" spans="1:1" ht="15.75" customHeight="1">
      <c r="A117" s="119"/>
    </row>
    <row r="118" spans="1:1" ht="15.75" customHeight="1">
      <c r="A118" s="119"/>
    </row>
    <row r="119" spans="1:1" ht="15.75" customHeight="1">
      <c r="A119" s="119"/>
    </row>
    <row r="120" spans="1:1" ht="15.75" customHeight="1">
      <c r="A120" s="119"/>
    </row>
    <row r="121" spans="1:1" ht="15.75" customHeight="1">
      <c r="A121" s="119"/>
    </row>
    <row r="122" spans="1:1" ht="15.75" customHeight="1">
      <c r="A122" s="119"/>
    </row>
    <row r="123" spans="1:1" ht="15.75" customHeight="1">
      <c r="A123" s="119"/>
    </row>
    <row r="124" spans="1:1" ht="15.75" customHeight="1">
      <c r="A124" s="119"/>
    </row>
    <row r="125" spans="1:1" ht="15.75" customHeight="1">
      <c r="A125" s="119"/>
    </row>
    <row r="126" spans="1:1" ht="15.75" customHeight="1">
      <c r="A126" s="119"/>
    </row>
    <row r="127" spans="1:1" ht="15.75" customHeight="1">
      <c r="A127" s="119"/>
    </row>
    <row r="128" spans="1:1" ht="15.75" customHeight="1">
      <c r="A128" s="119"/>
    </row>
    <row r="129" spans="1:1" ht="15.75" customHeight="1">
      <c r="A129" s="119"/>
    </row>
    <row r="130" spans="1:1" ht="15.75" customHeight="1">
      <c r="A130" s="119"/>
    </row>
    <row r="131" spans="1:1" ht="15.75" customHeight="1">
      <c r="A131" s="119"/>
    </row>
    <row r="132" spans="1:1" ht="15.75" customHeight="1">
      <c r="A132" s="119"/>
    </row>
    <row r="133" spans="1:1" ht="15.75" customHeight="1">
      <c r="A133" s="119"/>
    </row>
    <row r="134" spans="1:1" ht="15.75" customHeight="1">
      <c r="A134" s="119"/>
    </row>
    <row r="135" spans="1:1" ht="15.75" customHeight="1">
      <c r="A135" s="119"/>
    </row>
    <row r="136" spans="1:1" ht="15.75" customHeight="1">
      <c r="A136" s="119"/>
    </row>
    <row r="137" spans="1:1" ht="15.75" customHeight="1">
      <c r="A137" s="119"/>
    </row>
    <row r="138" spans="1:1" ht="15.75" customHeight="1">
      <c r="A138" s="119"/>
    </row>
    <row r="139" spans="1:1" ht="15.75" customHeight="1">
      <c r="A139" s="119"/>
    </row>
    <row r="140" spans="1:1" ht="15.75" customHeight="1">
      <c r="A140" s="119"/>
    </row>
    <row r="141" spans="1:1" ht="15.75" customHeight="1">
      <c r="A141" s="119"/>
    </row>
    <row r="142" spans="1:1" ht="15.75" customHeight="1">
      <c r="A142" s="119"/>
    </row>
    <row r="143" spans="1:1" ht="15.75" customHeight="1">
      <c r="A143" s="119"/>
    </row>
    <row r="144" spans="1:1" ht="15.75" customHeight="1">
      <c r="A144" s="119"/>
    </row>
    <row r="145" spans="1:1" ht="15.75" customHeight="1">
      <c r="A145" s="119"/>
    </row>
    <row r="146" spans="1:1" ht="15.75" customHeight="1">
      <c r="A146" s="119"/>
    </row>
    <row r="147" spans="1:1" ht="15.75" customHeight="1">
      <c r="A147" s="119"/>
    </row>
    <row r="148" spans="1:1" ht="15.75" customHeight="1">
      <c r="A148" s="119"/>
    </row>
    <row r="149" spans="1:1" ht="15.75" customHeight="1">
      <c r="A149" s="119"/>
    </row>
    <row r="150" spans="1:1" ht="15.75" customHeight="1">
      <c r="A150" s="119"/>
    </row>
    <row r="151" spans="1:1" ht="15.75" customHeight="1">
      <c r="A151" s="119"/>
    </row>
    <row r="152" spans="1:1" ht="15.75" customHeight="1">
      <c r="A152" s="119"/>
    </row>
    <row r="153" spans="1:1" ht="15.75" customHeight="1">
      <c r="A153" s="119"/>
    </row>
    <row r="154" spans="1:1" ht="15.75" customHeight="1">
      <c r="A154" s="119"/>
    </row>
    <row r="155" spans="1:1" ht="15.75" customHeight="1">
      <c r="A155" s="119"/>
    </row>
    <row r="156" spans="1:1" ht="15.75" customHeight="1">
      <c r="A156" s="119"/>
    </row>
    <row r="157" spans="1:1" ht="15.75" customHeight="1">
      <c r="A157" s="119"/>
    </row>
    <row r="158" spans="1:1" ht="15.75" customHeight="1">
      <c r="A158" s="119"/>
    </row>
    <row r="159" spans="1:1" ht="15.75" customHeight="1">
      <c r="A159" s="119"/>
    </row>
    <row r="160" spans="1:1" ht="15.75" customHeight="1">
      <c r="A160" s="119"/>
    </row>
    <row r="161" spans="1:1" ht="15.75" customHeight="1">
      <c r="A161" s="119"/>
    </row>
    <row r="162" spans="1:1" ht="15.75" customHeight="1">
      <c r="A162" s="119"/>
    </row>
    <row r="163" spans="1:1" ht="15.75" customHeight="1">
      <c r="A163" s="119"/>
    </row>
    <row r="164" spans="1:1" ht="15.75" customHeight="1">
      <c r="A164" s="119"/>
    </row>
    <row r="165" spans="1:1" ht="15.75" customHeight="1">
      <c r="A165" s="119"/>
    </row>
    <row r="166" spans="1:1" ht="15.75" customHeight="1">
      <c r="A166" s="119"/>
    </row>
    <row r="167" spans="1:1" ht="15.75" customHeight="1">
      <c r="A167" s="119"/>
    </row>
    <row r="168" spans="1:1" ht="15.75" customHeight="1">
      <c r="A168" s="119"/>
    </row>
    <row r="169" spans="1:1" ht="15.75" customHeight="1">
      <c r="A169" s="119"/>
    </row>
    <row r="170" spans="1:1" ht="15.75" customHeight="1">
      <c r="A170" s="119"/>
    </row>
    <row r="171" spans="1:1" ht="15.75" customHeight="1">
      <c r="A171" s="119"/>
    </row>
    <row r="172" spans="1:1" ht="15.75" customHeight="1">
      <c r="A172" s="119"/>
    </row>
    <row r="173" spans="1:1" ht="15.75" customHeight="1">
      <c r="A173" s="119"/>
    </row>
    <row r="174" spans="1:1" ht="15.75" customHeight="1">
      <c r="A174" s="119"/>
    </row>
    <row r="175" spans="1:1" ht="15.75" customHeight="1">
      <c r="A175" s="119"/>
    </row>
    <row r="176" spans="1:1" ht="15.75" customHeight="1">
      <c r="A176" s="119"/>
    </row>
    <row r="177" spans="1:1" ht="15.75" customHeight="1">
      <c r="A177" s="119"/>
    </row>
    <row r="178" spans="1:1" ht="15.75" customHeight="1">
      <c r="A178" s="119"/>
    </row>
    <row r="179" spans="1:1" ht="15.75" customHeight="1">
      <c r="A179" s="119"/>
    </row>
    <row r="180" spans="1:1" ht="15.75" customHeight="1">
      <c r="A180" s="119"/>
    </row>
    <row r="181" spans="1:1" ht="15.75" customHeight="1">
      <c r="A181" s="119"/>
    </row>
    <row r="182" spans="1:1" ht="15.75" customHeight="1">
      <c r="A182" s="119"/>
    </row>
    <row r="183" spans="1:1" ht="15.75" customHeight="1">
      <c r="A183" s="119"/>
    </row>
    <row r="184" spans="1:1" ht="15.75" customHeight="1">
      <c r="A184" s="119"/>
    </row>
    <row r="185" spans="1:1" ht="15.75" customHeight="1">
      <c r="A185" s="119"/>
    </row>
    <row r="186" spans="1:1" ht="15.75" customHeight="1">
      <c r="A186" s="119"/>
    </row>
    <row r="187" spans="1:1" ht="15.75" customHeight="1">
      <c r="A187" s="119"/>
    </row>
    <row r="188" spans="1:1" ht="15.75" customHeight="1">
      <c r="A188" s="119"/>
    </row>
    <row r="189" spans="1:1" ht="15.75" customHeight="1">
      <c r="A189" s="119"/>
    </row>
    <row r="190" spans="1:1" ht="15.75" customHeight="1">
      <c r="A190" s="119"/>
    </row>
    <row r="191" spans="1:1" ht="15.75" customHeight="1">
      <c r="A191" s="119"/>
    </row>
    <row r="192" spans="1:1" ht="15.75" customHeight="1">
      <c r="A192" s="119"/>
    </row>
    <row r="193" spans="1:1" ht="15.75" customHeight="1">
      <c r="A193" s="119"/>
    </row>
    <row r="194" spans="1:1" ht="15.75" customHeight="1">
      <c r="A194" s="119"/>
    </row>
    <row r="195" spans="1:1" ht="15.75" customHeight="1">
      <c r="A195" s="119"/>
    </row>
    <row r="196" spans="1:1" ht="15.75" customHeight="1">
      <c r="A196" s="119"/>
    </row>
    <row r="197" spans="1:1" ht="15.75" customHeight="1">
      <c r="A197" s="119"/>
    </row>
    <row r="198" spans="1:1" ht="15.75" customHeight="1">
      <c r="A198" s="119"/>
    </row>
    <row r="199" spans="1:1" ht="15.75" customHeight="1">
      <c r="A199" s="119"/>
    </row>
    <row r="200" spans="1:1" ht="15.75" customHeight="1">
      <c r="A200" s="119"/>
    </row>
    <row r="201" spans="1:1" ht="15.75" customHeight="1">
      <c r="A201" s="119"/>
    </row>
    <row r="202" spans="1:1" ht="15.75" customHeight="1">
      <c r="A202" s="119"/>
    </row>
    <row r="203" spans="1:1" ht="15.75" customHeight="1">
      <c r="A203" s="119"/>
    </row>
    <row r="204" spans="1:1" ht="15.75" customHeight="1">
      <c r="A204" s="119"/>
    </row>
    <row r="205" spans="1:1" ht="15.75" customHeight="1">
      <c r="A205" s="119"/>
    </row>
    <row r="206" spans="1:1" ht="15.75" customHeight="1">
      <c r="A206" s="119"/>
    </row>
    <row r="207" spans="1:1" ht="15.75" customHeight="1">
      <c r="A207" s="119"/>
    </row>
    <row r="208" spans="1:1" ht="15.75" customHeight="1">
      <c r="A208" s="119"/>
    </row>
    <row r="209" spans="1:1" ht="15.75" customHeight="1">
      <c r="A209" s="119"/>
    </row>
    <row r="210" spans="1:1" ht="15.75" customHeight="1">
      <c r="A210" s="119"/>
    </row>
    <row r="211" spans="1:1" ht="15.75" customHeight="1">
      <c r="A211" s="119"/>
    </row>
    <row r="212" spans="1:1" ht="15.75" customHeight="1">
      <c r="A212" s="119"/>
    </row>
    <row r="213" spans="1:1" ht="15.75" customHeight="1">
      <c r="A213" s="119"/>
    </row>
    <row r="214" spans="1:1" ht="15.75" customHeight="1">
      <c r="A214" s="119"/>
    </row>
    <row r="215" spans="1:1" ht="15.75" customHeight="1">
      <c r="A215" s="119"/>
    </row>
    <row r="216" spans="1:1" ht="15.75" customHeight="1">
      <c r="A216" s="119"/>
    </row>
    <row r="217" spans="1:1" ht="15.75" customHeight="1">
      <c r="A217" s="119"/>
    </row>
    <row r="218" spans="1:1" ht="15.75" customHeight="1">
      <c r="A218" s="119"/>
    </row>
    <row r="219" spans="1:1" ht="15.75" customHeight="1">
      <c r="A219" s="119"/>
    </row>
    <row r="220" spans="1:1" ht="15.75" customHeight="1">
      <c r="A220" s="119"/>
    </row>
    <row r="221" spans="1:1" ht="15.75" customHeight="1">
      <c r="A221" s="119"/>
    </row>
    <row r="222" spans="1:1" ht="15.75" customHeight="1">
      <c r="A222" s="119"/>
    </row>
    <row r="223" spans="1:1" ht="15.75" customHeight="1">
      <c r="A223" s="119"/>
    </row>
    <row r="224" spans="1:1" ht="15.75" customHeight="1">
      <c r="A224" s="119"/>
    </row>
    <row r="225" spans="1:1" ht="15.75" customHeight="1">
      <c r="A225" s="119"/>
    </row>
    <row r="226" spans="1:1" ht="15.75" customHeight="1">
      <c r="A226" s="119"/>
    </row>
    <row r="227" spans="1:1" ht="15.75" customHeight="1">
      <c r="A227" s="119"/>
    </row>
    <row r="228" spans="1:1" ht="15.75" customHeight="1">
      <c r="A228" s="119"/>
    </row>
    <row r="229" spans="1:1" ht="15.75" customHeight="1">
      <c r="A229" s="119"/>
    </row>
    <row r="230" spans="1:1" ht="15.75" customHeight="1">
      <c r="A230" s="119"/>
    </row>
    <row r="231" spans="1:1" ht="15.75" customHeight="1">
      <c r="A231" s="119"/>
    </row>
    <row r="232" spans="1:1" ht="15.75" customHeight="1">
      <c r="A232" s="119"/>
    </row>
    <row r="233" spans="1:1" ht="15.75" customHeight="1">
      <c r="A233" s="119"/>
    </row>
    <row r="234" spans="1:1" ht="15.75" customHeight="1">
      <c r="A234" s="119"/>
    </row>
    <row r="235" spans="1:1" ht="15.75" customHeight="1">
      <c r="A235" s="119"/>
    </row>
    <row r="236" spans="1:1" ht="15.75" customHeight="1">
      <c r="A236" s="119"/>
    </row>
    <row r="237" spans="1:1" ht="15.75" customHeight="1">
      <c r="A237" s="119"/>
    </row>
    <row r="238" spans="1:1" ht="15.75" customHeight="1">
      <c r="A238" s="119"/>
    </row>
    <row r="239" spans="1:1" ht="15.75" customHeight="1">
      <c r="A239" s="119"/>
    </row>
    <row r="240" spans="1:1" ht="15.75" customHeight="1">
      <c r="A240" s="119"/>
    </row>
    <row r="241" spans="1:1" ht="15.75" customHeight="1">
      <c r="A241" s="119"/>
    </row>
    <row r="242" spans="1:1" ht="15.75" customHeight="1">
      <c r="A242" s="119"/>
    </row>
    <row r="243" spans="1:1" ht="15.75" customHeight="1">
      <c r="A243" s="119"/>
    </row>
    <row r="244" spans="1:1" ht="15.75" customHeight="1">
      <c r="A244" s="119"/>
    </row>
    <row r="245" spans="1:1" ht="15.75" customHeight="1">
      <c r="A245" s="119"/>
    </row>
    <row r="246" spans="1:1" ht="15.75" customHeight="1">
      <c r="A246" s="119"/>
    </row>
    <row r="247" spans="1:1" ht="15.75" customHeight="1">
      <c r="A247" s="119"/>
    </row>
    <row r="248" spans="1:1" ht="15.75" customHeight="1">
      <c r="A248" s="119"/>
    </row>
    <row r="249" spans="1:1" ht="15.75" customHeight="1">
      <c r="A249" s="119"/>
    </row>
    <row r="250" spans="1:1" ht="15.75" customHeight="1">
      <c r="A250" s="119"/>
    </row>
    <row r="251" spans="1:1" ht="15.75" customHeight="1">
      <c r="A251" s="119"/>
    </row>
    <row r="252" spans="1:1" ht="15.75" customHeight="1">
      <c r="A252" s="119"/>
    </row>
    <row r="253" spans="1:1" ht="15.75" customHeight="1">
      <c r="A253" s="119"/>
    </row>
    <row r="254" spans="1:1" ht="15.75" customHeight="1">
      <c r="A254" s="119"/>
    </row>
    <row r="255" spans="1:1" ht="15.75" customHeight="1">
      <c r="A255" s="119"/>
    </row>
    <row r="256" spans="1:1" ht="15.75" customHeight="1">
      <c r="A256" s="119"/>
    </row>
    <row r="257" spans="1:1" ht="15.75" customHeight="1">
      <c r="A257" s="119"/>
    </row>
    <row r="258" spans="1:1" ht="15.75" customHeight="1">
      <c r="A258" s="119"/>
    </row>
    <row r="259" spans="1:1" ht="15.75" customHeight="1">
      <c r="A259" s="119"/>
    </row>
    <row r="260" spans="1:1" ht="15.75" customHeight="1">
      <c r="A260" s="119"/>
    </row>
    <row r="261" spans="1:1" ht="15.75" customHeight="1">
      <c r="A261" s="119"/>
    </row>
    <row r="262" spans="1:1" ht="15.75" customHeight="1">
      <c r="A262" s="119"/>
    </row>
    <row r="263" spans="1:1" ht="15.75" customHeight="1">
      <c r="A263" s="119"/>
    </row>
    <row r="264" spans="1:1" ht="15.75" customHeight="1">
      <c r="A264" s="119"/>
    </row>
    <row r="265" spans="1:1" ht="15.75" customHeight="1">
      <c r="A265" s="119"/>
    </row>
    <row r="266" spans="1:1" ht="15.75" customHeight="1">
      <c r="A266" s="119"/>
    </row>
    <row r="267" spans="1:1" ht="15.75" customHeight="1">
      <c r="A267" s="119"/>
    </row>
    <row r="268" spans="1:1" ht="15.75" customHeight="1">
      <c r="A268" s="119"/>
    </row>
    <row r="269" spans="1:1" ht="15.75" customHeight="1">
      <c r="A269" s="119"/>
    </row>
    <row r="270" spans="1:1" ht="15.75" customHeight="1">
      <c r="A270" s="119"/>
    </row>
    <row r="271" spans="1:1" ht="15.75" customHeight="1">
      <c r="A271" s="119"/>
    </row>
    <row r="272" spans="1:1" ht="15.75" customHeight="1">
      <c r="A272" s="119"/>
    </row>
    <row r="273" spans="1:1" ht="15.75" customHeight="1">
      <c r="A273" s="119"/>
    </row>
    <row r="274" spans="1:1" ht="15.75" customHeight="1">
      <c r="A274" s="119"/>
    </row>
    <row r="275" spans="1:1" ht="15.75" customHeight="1">
      <c r="A275" s="119"/>
    </row>
    <row r="276" spans="1:1" ht="15.75" customHeight="1">
      <c r="A276" s="119"/>
    </row>
    <row r="277" spans="1:1" ht="15.75" customHeight="1">
      <c r="A277" s="119"/>
    </row>
    <row r="278" spans="1:1" ht="15.75" customHeight="1">
      <c r="A278" s="119"/>
    </row>
    <row r="279" spans="1:1" ht="15.75" customHeight="1">
      <c r="A279" s="119"/>
    </row>
    <row r="280" spans="1:1" ht="15.75" customHeight="1">
      <c r="A280" s="119"/>
    </row>
    <row r="281" spans="1:1" ht="15.75" customHeight="1">
      <c r="A281" s="119"/>
    </row>
    <row r="282" spans="1:1" ht="15.75" customHeight="1">
      <c r="A282" s="119"/>
    </row>
    <row r="283" spans="1:1" ht="15.75" customHeight="1">
      <c r="A283" s="119"/>
    </row>
    <row r="284" spans="1:1" ht="15.75" customHeight="1">
      <c r="A284" s="119"/>
    </row>
    <row r="285" spans="1:1" ht="15.75" customHeight="1">
      <c r="A285" s="119"/>
    </row>
    <row r="286" spans="1:1" ht="15.75" customHeight="1">
      <c r="A286" s="119"/>
    </row>
    <row r="287" spans="1:1" ht="15.75" customHeight="1">
      <c r="A287" s="119"/>
    </row>
    <row r="288" spans="1:1" ht="15.75" customHeight="1">
      <c r="A288" s="119"/>
    </row>
    <row r="289" spans="1:1" ht="15.75" customHeight="1">
      <c r="A289" s="119"/>
    </row>
    <row r="290" spans="1:1" ht="15.75" customHeight="1">
      <c r="A290" s="119"/>
    </row>
    <row r="291" spans="1:1" ht="15.75" customHeight="1">
      <c r="A291" s="119"/>
    </row>
    <row r="292" spans="1:1" ht="15.75" customHeight="1">
      <c r="A292" s="119"/>
    </row>
    <row r="293" spans="1:1" ht="15.75" customHeight="1">
      <c r="A293" s="119"/>
    </row>
    <row r="294" spans="1:1" ht="15.75" customHeight="1">
      <c r="A294" s="119"/>
    </row>
    <row r="295" spans="1:1" ht="15.75" customHeight="1">
      <c r="A295" s="119"/>
    </row>
    <row r="296" spans="1:1" ht="15.75" customHeight="1">
      <c r="A296" s="119"/>
    </row>
    <row r="297" spans="1:1" ht="15.75" customHeight="1">
      <c r="A297" s="119"/>
    </row>
    <row r="298" spans="1:1" ht="15.75" customHeight="1">
      <c r="A298" s="119"/>
    </row>
    <row r="299" spans="1:1" ht="15.75" customHeight="1">
      <c r="A299" s="119"/>
    </row>
    <row r="300" spans="1:1" ht="15.75" customHeight="1">
      <c r="A300" s="119"/>
    </row>
    <row r="301" spans="1:1" ht="15.75" customHeight="1">
      <c r="A301" s="119"/>
    </row>
    <row r="302" spans="1:1" ht="15.75" customHeight="1">
      <c r="A302" s="119"/>
    </row>
    <row r="303" spans="1:1" ht="15.75" customHeight="1">
      <c r="A303" s="119"/>
    </row>
    <row r="304" spans="1:1" ht="15.75" customHeight="1">
      <c r="A304" s="119"/>
    </row>
    <row r="305" spans="1:1" ht="15.75" customHeight="1">
      <c r="A305" s="119"/>
    </row>
    <row r="306" spans="1:1" ht="15.75" customHeight="1">
      <c r="A306" s="119"/>
    </row>
    <row r="307" spans="1:1" ht="15.75" customHeight="1">
      <c r="A307" s="119"/>
    </row>
    <row r="308" spans="1:1" ht="15.75" customHeight="1">
      <c r="A308" s="119"/>
    </row>
    <row r="309" spans="1:1" ht="15.75" customHeight="1">
      <c r="A309" s="119"/>
    </row>
    <row r="310" spans="1:1" ht="15.75" customHeight="1">
      <c r="A310" s="119"/>
    </row>
    <row r="311" spans="1:1" ht="15.75" customHeight="1">
      <c r="A311" s="119"/>
    </row>
    <row r="312" spans="1:1" ht="15.75" customHeight="1">
      <c r="A312" s="119"/>
    </row>
    <row r="313" spans="1:1" ht="15.75" customHeight="1">
      <c r="A313" s="119"/>
    </row>
    <row r="314" spans="1:1" ht="15.75" customHeight="1">
      <c r="A314" s="119"/>
    </row>
    <row r="315" spans="1:1" ht="15.75" customHeight="1">
      <c r="A315" s="119"/>
    </row>
    <row r="316" spans="1:1" ht="15.75" customHeight="1">
      <c r="A316" s="119"/>
    </row>
    <row r="317" spans="1:1" ht="15.75" customHeight="1">
      <c r="A317" s="119"/>
    </row>
    <row r="318" spans="1:1" ht="15.75" customHeight="1">
      <c r="A318" s="119"/>
    </row>
    <row r="319" spans="1:1" ht="15.75" customHeight="1">
      <c r="A319" s="119"/>
    </row>
    <row r="320" spans="1:1" ht="15.75" customHeight="1">
      <c r="A320" s="119"/>
    </row>
    <row r="321" spans="1:1" ht="15.75" customHeight="1">
      <c r="A321" s="119"/>
    </row>
    <row r="322" spans="1:1" ht="15.75" customHeight="1">
      <c r="A322" s="119"/>
    </row>
    <row r="323" spans="1:1" ht="15.75" customHeight="1">
      <c r="A323" s="119"/>
    </row>
    <row r="324" spans="1:1" ht="15.75" customHeight="1">
      <c r="A324" s="119"/>
    </row>
    <row r="325" spans="1:1" ht="15.75" customHeight="1">
      <c r="A325" s="119"/>
    </row>
    <row r="326" spans="1:1" ht="15.75" customHeight="1">
      <c r="A326" s="119"/>
    </row>
    <row r="327" spans="1:1" ht="15.75" customHeight="1">
      <c r="A327" s="119"/>
    </row>
    <row r="328" spans="1:1" ht="15.75" customHeight="1">
      <c r="A328" s="119"/>
    </row>
    <row r="329" spans="1:1" ht="15.75" customHeight="1">
      <c r="A329" s="119"/>
    </row>
    <row r="330" spans="1:1" ht="15.75" customHeight="1">
      <c r="A330" s="119"/>
    </row>
    <row r="331" spans="1:1" ht="15.75" customHeight="1">
      <c r="A331" s="119"/>
    </row>
    <row r="332" spans="1:1" ht="15.75" customHeight="1">
      <c r="A332" s="119"/>
    </row>
    <row r="333" spans="1:1" ht="15.75" customHeight="1">
      <c r="A333" s="119"/>
    </row>
    <row r="334" spans="1:1" ht="15.75" customHeight="1">
      <c r="A334" s="119"/>
    </row>
    <row r="335" spans="1:1" ht="15.75" customHeight="1">
      <c r="A335" s="119"/>
    </row>
    <row r="336" spans="1:1" ht="15.75" customHeight="1">
      <c r="A336" s="119"/>
    </row>
    <row r="337" spans="1:1" ht="15.75" customHeight="1">
      <c r="A337" s="119"/>
    </row>
    <row r="338" spans="1:1" ht="15.75" customHeight="1">
      <c r="A338" s="119"/>
    </row>
    <row r="339" spans="1:1" ht="15.75" customHeight="1">
      <c r="A339" s="119"/>
    </row>
    <row r="340" spans="1:1" ht="15.75" customHeight="1">
      <c r="A340" s="119"/>
    </row>
    <row r="341" spans="1:1" ht="15.75" customHeight="1">
      <c r="A341" s="119"/>
    </row>
    <row r="342" spans="1:1" ht="15.75" customHeight="1">
      <c r="A342" s="119"/>
    </row>
    <row r="343" spans="1:1" ht="15.75" customHeight="1">
      <c r="A343" s="119"/>
    </row>
    <row r="344" spans="1:1" ht="15.75" customHeight="1">
      <c r="A344" s="119"/>
    </row>
    <row r="345" spans="1:1" ht="15.75" customHeight="1">
      <c r="A345" s="119"/>
    </row>
    <row r="346" spans="1:1" ht="15.75" customHeight="1">
      <c r="A346" s="119"/>
    </row>
    <row r="347" spans="1:1" ht="15.75" customHeight="1">
      <c r="A347" s="119"/>
    </row>
    <row r="348" spans="1:1" ht="15.75" customHeight="1">
      <c r="A348" s="119"/>
    </row>
    <row r="349" spans="1:1" ht="15.75" customHeight="1">
      <c r="A349" s="119"/>
    </row>
    <row r="350" spans="1:1" ht="15.75" customHeight="1">
      <c r="A350" s="119"/>
    </row>
    <row r="351" spans="1:1" ht="15.75" customHeight="1">
      <c r="A351" s="119"/>
    </row>
    <row r="352" spans="1:1" ht="15.75" customHeight="1">
      <c r="A352" s="119"/>
    </row>
    <row r="353" spans="1:1" ht="15.75" customHeight="1">
      <c r="A353" s="119"/>
    </row>
    <row r="354" spans="1:1" ht="15.75" customHeight="1">
      <c r="A354" s="119"/>
    </row>
    <row r="355" spans="1:1" ht="15.75" customHeight="1">
      <c r="A355" s="119"/>
    </row>
    <row r="356" spans="1:1" ht="15.75" customHeight="1">
      <c r="A356" s="119"/>
    </row>
    <row r="357" spans="1:1" ht="15.75" customHeight="1">
      <c r="A357" s="119"/>
    </row>
    <row r="358" spans="1:1" ht="15.75" customHeight="1">
      <c r="A358" s="119"/>
    </row>
    <row r="359" spans="1:1" ht="15.75" customHeight="1">
      <c r="A359" s="119"/>
    </row>
    <row r="360" spans="1:1" ht="15.75" customHeight="1">
      <c r="A360" s="119"/>
    </row>
    <row r="361" spans="1:1" ht="15.75" customHeight="1">
      <c r="A361" s="119"/>
    </row>
    <row r="362" spans="1:1" ht="15.75" customHeight="1">
      <c r="A362" s="119"/>
    </row>
    <row r="363" spans="1:1" ht="15.75" customHeight="1">
      <c r="A363" s="119"/>
    </row>
    <row r="364" spans="1:1" ht="15.75" customHeight="1">
      <c r="A364" s="119"/>
    </row>
    <row r="365" spans="1:1" ht="15.75" customHeight="1">
      <c r="A365" s="119"/>
    </row>
    <row r="366" spans="1:1" ht="15.75" customHeight="1">
      <c r="A366" s="119"/>
    </row>
    <row r="367" spans="1:1" ht="15.75" customHeight="1">
      <c r="A367" s="119"/>
    </row>
    <row r="368" spans="1:1" ht="15.75" customHeight="1">
      <c r="A368" s="119"/>
    </row>
    <row r="369" spans="1:1" ht="15.75" customHeight="1">
      <c r="A369" s="119"/>
    </row>
    <row r="370" spans="1:1" ht="15.75" customHeight="1">
      <c r="A370" s="119"/>
    </row>
    <row r="371" spans="1:1" ht="15.75" customHeight="1">
      <c r="A371" s="119"/>
    </row>
    <row r="372" spans="1:1" ht="15.75" customHeight="1">
      <c r="A372" s="119"/>
    </row>
    <row r="373" spans="1:1" ht="15.75" customHeight="1">
      <c r="A373" s="119"/>
    </row>
    <row r="374" spans="1:1" ht="15.75" customHeight="1">
      <c r="A374" s="119"/>
    </row>
    <row r="375" spans="1:1" ht="15.75" customHeight="1">
      <c r="A375" s="119"/>
    </row>
    <row r="376" spans="1:1" ht="15.75" customHeight="1">
      <c r="A376" s="119"/>
    </row>
    <row r="377" spans="1:1" ht="15.75" customHeight="1">
      <c r="A377" s="119"/>
    </row>
    <row r="378" spans="1:1" ht="15.75" customHeight="1">
      <c r="A378" s="119"/>
    </row>
    <row r="379" spans="1:1" ht="15.75" customHeight="1">
      <c r="A379" s="119"/>
    </row>
    <row r="380" spans="1:1" ht="15.75" customHeight="1">
      <c r="A380" s="119"/>
    </row>
    <row r="381" spans="1:1" ht="15.75" customHeight="1">
      <c r="A381" s="119"/>
    </row>
    <row r="382" spans="1:1" ht="15.75" customHeight="1">
      <c r="A382" s="119"/>
    </row>
    <row r="383" spans="1:1" ht="15.75" customHeight="1">
      <c r="A383" s="119"/>
    </row>
    <row r="384" spans="1:1" ht="15.75" customHeight="1">
      <c r="A384" s="119"/>
    </row>
    <row r="385" spans="1:1" ht="15.75" customHeight="1">
      <c r="A385" s="119"/>
    </row>
    <row r="386" spans="1:1" ht="15.75" customHeight="1">
      <c r="A386" s="119"/>
    </row>
    <row r="387" spans="1:1" ht="15.75" customHeight="1">
      <c r="A387" s="119"/>
    </row>
    <row r="388" spans="1:1" ht="15.75" customHeight="1">
      <c r="A388" s="119"/>
    </row>
    <row r="389" spans="1:1" ht="15.75" customHeight="1">
      <c r="A389" s="119"/>
    </row>
    <row r="390" spans="1:1" ht="15.75" customHeight="1">
      <c r="A390" s="119"/>
    </row>
    <row r="391" spans="1:1" ht="15.75" customHeight="1">
      <c r="A391" s="119"/>
    </row>
    <row r="392" spans="1:1" ht="15.75" customHeight="1">
      <c r="A392" s="119"/>
    </row>
    <row r="393" spans="1:1" ht="15.75" customHeight="1">
      <c r="A393" s="119"/>
    </row>
    <row r="394" spans="1:1" ht="15.75" customHeight="1">
      <c r="A394" s="119"/>
    </row>
    <row r="395" spans="1:1" ht="15.75" customHeight="1">
      <c r="A395" s="119"/>
    </row>
    <row r="396" spans="1:1" ht="15.75" customHeight="1">
      <c r="A396" s="119"/>
    </row>
    <row r="397" spans="1:1" ht="15.75" customHeight="1">
      <c r="A397" s="119"/>
    </row>
    <row r="398" spans="1:1" ht="15.75" customHeight="1">
      <c r="A398" s="119"/>
    </row>
    <row r="399" spans="1:1" ht="15.75" customHeight="1">
      <c r="A399" s="119"/>
    </row>
    <row r="400" spans="1:1" ht="15.75" customHeight="1">
      <c r="A400" s="119"/>
    </row>
    <row r="401" spans="1:1" ht="15.75" customHeight="1">
      <c r="A401" s="119"/>
    </row>
    <row r="402" spans="1:1" ht="15.75" customHeight="1">
      <c r="A402" s="119"/>
    </row>
    <row r="403" spans="1:1" ht="15.75" customHeight="1">
      <c r="A403" s="119"/>
    </row>
    <row r="404" spans="1:1" ht="15.75" customHeight="1">
      <c r="A404" s="119"/>
    </row>
    <row r="405" spans="1:1" ht="15.75" customHeight="1">
      <c r="A405" s="119"/>
    </row>
    <row r="406" spans="1:1" ht="15.75" customHeight="1">
      <c r="A406" s="119"/>
    </row>
    <row r="407" spans="1:1" ht="15.75" customHeight="1">
      <c r="A407" s="119"/>
    </row>
    <row r="408" spans="1:1" ht="15.75" customHeight="1">
      <c r="A408" s="119"/>
    </row>
    <row r="409" spans="1:1" ht="15.75" customHeight="1">
      <c r="A409" s="119"/>
    </row>
    <row r="410" spans="1:1" ht="15.75" customHeight="1">
      <c r="A410" s="119"/>
    </row>
    <row r="411" spans="1:1" ht="15.75" customHeight="1">
      <c r="A411" s="119"/>
    </row>
    <row r="412" spans="1:1" ht="15.75" customHeight="1">
      <c r="A412" s="119"/>
    </row>
    <row r="413" spans="1:1" ht="15.75" customHeight="1">
      <c r="A413" s="119"/>
    </row>
    <row r="414" spans="1:1" ht="15.75" customHeight="1">
      <c r="A414" s="119"/>
    </row>
    <row r="415" spans="1:1" ht="15.75" customHeight="1">
      <c r="A415" s="119"/>
    </row>
    <row r="416" spans="1:1" ht="15.75" customHeight="1">
      <c r="A416" s="119"/>
    </row>
    <row r="417" spans="1:1" ht="15.75" customHeight="1">
      <c r="A417" s="119"/>
    </row>
    <row r="418" spans="1:1" ht="15.75" customHeight="1">
      <c r="A418" s="119"/>
    </row>
    <row r="419" spans="1:1" ht="15.75" customHeight="1">
      <c r="A419" s="119"/>
    </row>
    <row r="420" spans="1:1" ht="15.75" customHeight="1">
      <c r="A420" s="119"/>
    </row>
    <row r="421" spans="1:1" ht="15.75" customHeight="1">
      <c r="A421" s="119"/>
    </row>
    <row r="422" spans="1:1" ht="15.75" customHeight="1">
      <c r="A422" s="119"/>
    </row>
    <row r="423" spans="1:1" ht="15.75" customHeight="1">
      <c r="A423" s="119"/>
    </row>
    <row r="424" spans="1:1" ht="15.75" customHeight="1">
      <c r="A424" s="119"/>
    </row>
    <row r="425" spans="1:1" ht="15.75" customHeight="1">
      <c r="A425" s="119"/>
    </row>
    <row r="426" spans="1:1" ht="15.75" customHeight="1">
      <c r="A426" s="119"/>
    </row>
    <row r="427" spans="1:1" ht="15.75" customHeight="1">
      <c r="A427" s="119"/>
    </row>
    <row r="428" spans="1:1" ht="15.75" customHeight="1">
      <c r="A428" s="119"/>
    </row>
    <row r="429" spans="1:1" ht="15.75" customHeight="1">
      <c r="A429" s="119"/>
    </row>
    <row r="430" spans="1:1" ht="15.75" customHeight="1">
      <c r="A430" s="119"/>
    </row>
    <row r="431" spans="1:1" ht="15.75" customHeight="1">
      <c r="A431" s="119"/>
    </row>
    <row r="432" spans="1:1" ht="15.75" customHeight="1">
      <c r="A432" s="119"/>
    </row>
    <row r="433" spans="1:1" ht="15.75" customHeight="1">
      <c r="A433" s="119"/>
    </row>
    <row r="434" spans="1:1" ht="15.75" customHeight="1">
      <c r="A434" s="119"/>
    </row>
    <row r="435" spans="1:1" ht="15.75" customHeight="1">
      <c r="A435" s="119"/>
    </row>
    <row r="436" spans="1:1" ht="15.75" customHeight="1">
      <c r="A436" s="119"/>
    </row>
    <row r="437" spans="1:1" ht="15.75" customHeight="1">
      <c r="A437" s="119"/>
    </row>
    <row r="438" spans="1:1" ht="15.75" customHeight="1">
      <c r="A438" s="119"/>
    </row>
    <row r="439" spans="1:1" ht="15.75" customHeight="1">
      <c r="A439" s="119"/>
    </row>
    <row r="440" spans="1:1" ht="15.75" customHeight="1">
      <c r="A440" s="119"/>
    </row>
    <row r="441" spans="1:1" ht="15.75" customHeight="1">
      <c r="A441" s="119"/>
    </row>
    <row r="442" spans="1:1" ht="15.75" customHeight="1">
      <c r="A442" s="119"/>
    </row>
    <row r="443" spans="1:1" ht="15.75" customHeight="1">
      <c r="A443" s="119"/>
    </row>
    <row r="444" spans="1:1" ht="15.75" customHeight="1">
      <c r="A444" s="119"/>
    </row>
    <row r="445" spans="1:1" ht="15.75" customHeight="1">
      <c r="A445" s="119"/>
    </row>
    <row r="446" spans="1:1" ht="15.75" customHeight="1">
      <c r="A446" s="119"/>
    </row>
    <row r="447" spans="1:1" ht="15.75" customHeight="1">
      <c r="A447" s="119"/>
    </row>
    <row r="448" spans="1:1" ht="15.75" customHeight="1">
      <c r="A448" s="119"/>
    </row>
    <row r="449" spans="1:1" ht="15.75" customHeight="1">
      <c r="A449" s="119"/>
    </row>
    <row r="450" spans="1:1" ht="15.75" customHeight="1">
      <c r="A450" s="119"/>
    </row>
    <row r="451" spans="1:1" ht="15.75" customHeight="1">
      <c r="A451" s="119"/>
    </row>
    <row r="452" spans="1:1" ht="15.75" customHeight="1">
      <c r="A452" s="119"/>
    </row>
    <row r="453" spans="1:1" ht="15.75" customHeight="1">
      <c r="A453" s="119"/>
    </row>
    <row r="454" spans="1:1" ht="15.75" customHeight="1">
      <c r="A454" s="119"/>
    </row>
    <row r="455" spans="1:1" ht="15.75" customHeight="1">
      <c r="A455" s="119"/>
    </row>
    <row r="456" spans="1:1" ht="15.75" customHeight="1">
      <c r="A456" s="119"/>
    </row>
    <row r="457" spans="1:1" ht="15.75" customHeight="1">
      <c r="A457" s="119"/>
    </row>
    <row r="458" spans="1:1" ht="15.75" customHeight="1">
      <c r="A458" s="119"/>
    </row>
    <row r="459" spans="1:1" ht="15.75" customHeight="1">
      <c r="A459" s="119"/>
    </row>
    <row r="460" spans="1:1" ht="15.75" customHeight="1">
      <c r="A460" s="119"/>
    </row>
    <row r="461" spans="1:1" ht="15.75" customHeight="1">
      <c r="A461" s="119"/>
    </row>
    <row r="462" spans="1:1" ht="15.75" customHeight="1">
      <c r="A462" s="119"/>
    </row>
    <row r="463" spans="1:1" ht="15.75" customHeight="1">
      <c r="A463" s="119"/>
    </row>
    <row r="464" spans="1:1" ht="15.75" customHeight="1">
      <c r="A464" s="119"/>
    </row>
    <row r="465" spans="1:1" ht="15.75" customHeight="1">
      <c r="A465" s="119"/>
    </row>
    <row r="466" spans="1:1" ht="15.75" customHeight="1">
      <c r="A466" s="119"/>
    </row>
    <row r="467" spans="1:1" ht="15.75" customHeight="1">
      <c r="A467" s="119"/>
    </row>
    <row r="468" spans="1:1" ht="15.75" customHeight="1">
      <c r="A468" s="119"/>
    </row>
    <row r="469" spans="1:1" ht="15.75" customHeight="1">
      <c r="A469" s="119"/>
    </row>
    <row r="470" spans="1:1" ht="15.75" customHeight="1">
      <c r="A470" s="119"/>
    </row>
    <row r="471" spans="1:1" ht="15.75" customHeight="1">
      <c r="A471" s="119"/>
    </row>
    <row r="472" spans="1:1" ht="15.75" customHeight="1">
      <c r="A472" s="119"/>
    </row>
    <row r="473" spans="1:1" ht="15.75" customHeight="1">
      <c r="A473" s="119"/>
    </row>
    <row r="474" spans="1:1" ht="15.75" customHeight="1">
      <c r="A474" s="119"/>
    </row>
    <row r="475" spans="1:1" ht="15.75" customHeight="1">
      <c r="A475" s="119"/>
    </row>
    <row r="476" spans="1:1" ht="15.75" customHeight="1">
      <c r="A476" s="119"/>
    </row>
    <row r="477" spans="1:1" ht="15.75" customHeight="1">
      <c r="A477" s="119"/>
    </row>
    <row r="478" spans="1:1" ht="15.75" customHeight="1">
      <c r="A478" s="119"/>
    </row>
    <row r="479" spans="1:1" ht="15.75" customHeight="1">
      <c r="A479" s="119"/>
    </row>
    <row r="480" spans="1:1" ht="15.75" customHeight="1">
      <c r="A480" s="119"/>
    </row>
    <row r="481" spans="1:1" ht="15.75" customHeight="1">
      <c r="A481" s="119"/>
    </row>
    <row r="482" spans="1:1" ht="15.75" customHeight="1">
      <c r="A482" s="119"/>
    </row>
    <row r="483" spans="1:1" ht="15.75" customHeight="1">
      <c r="A483" s="119"/>
    </row>
    <row r="484" spans="1:1" ht="15.75" customHeight="1">
      <c r="A484" s="119"/>
    </row>
    <row r="485" spans="1:1" ht="15.75" customHeight="1">
      <c r="A485" s="119"/>
    </row>
    <row r="486" spans="1:1" ht="15.75" customHeight="1">
      <c r="A486" s="119"/>
    </row>
    <row r="487" spans="1:1" ht="15.75" customHeight="1">
      <c r="A487" s="119"/>
    </row>
    <row r="488" spans="1:1" ht="15.75" customHeight="1">
      <c r="A488" s="119"/>
    </row>
    <row r="489" spans="1:1" ht="15.75" customHeight="1">
      <c r="A489" s="119"/>
    </row>
    <row r="490" spans="1:1" ht="15.75" customHeight="1">
      <c r="A490" s="119"/>
    </row>
    <row r="491" spans="1:1" ht="15.75" customHeight="1">
      <c r="A491" s="119"/>
    </row>
    <row r="492" spans="1:1" ht="15.75" customHeight="1">
      <c r="A492" s="119"/>
    </row>
    <row r="493" spans="1:1" ht="15.75" customHeight="1">
      <c r="A493" s="119"/>
    </row>
    <row r="494" spans="1:1" ht="15.75" customHeight="1">
      <c r="A494" s="119"/>
    </row>
    <row r="495" spans="1:1" ht="15.75" customHeight="1">
      <c r="A495" s="119"/>
    </row>
    <row r="496" spans="1:1" ht="15.75" customHeight="1">
      <c r="A496" s="119"/>
    </row>
    <row r="497" spans="1:1" ht="15.75" customHeight="1">
      <c r="A497" s="119"/>
    </row>
    <row r="498" spans="1:1" ht="15.75" customHeight="1">
      <c r="A498" s="119"/>
    </row>
    <row r="499" spans="1:1" ht="15.75" customHeight="1">
      <c r="A499" s="119"/>
    </row>
    <row r="500" spans="1:1" ht="15.75" customHeight="1">
      <c r="A500" s="119"/>
    </row>
    <row r="501" spans="1:1" ht="15.75" customHeight="1">
      <c r="A501" s="119"/>
    </row>
    <row r="502" spans="1:1" ht="15.75" customHeight="1">
      <c r="A502" s="119"/>
    </row>
    <row r="503" spans="1:1" ht="15.75" customHeight="1">
      <c r="A503" s="119"/>
    </row>
    <row r="504" spans="1:1" ht="15.75" customHeight="1">
      <c r="A504" s="119"/>
    </row>
    <row r="505" spans="1:1" ht="15.75" customHeight="1">
      <c r="A505" s="119"/>
    </row>
    <row r="506" spans="1:1" ht="15.75" customHeight="1">
      <c r="A506" s="119"/>
    </row>
    <row r="507" spans="1:1" ht="15.75" customHeight="1">
      <c r="A507" s="119"/>
    </row>
    <row r="508" spans="1:1" ht="15.75" customHeight="1">
      <c r="A508" s="119"/>
    </row>
    <row r="509" spans="1:1" ht="15.75" customHeight="1">
      <c r="A509" s="119"/>
    </row>
    <row r="510" spans="1:1" ht="15.75" customHeight="1">
      <c r="A510" s="119"/>
    </row>
    <row r="511" spans="1:1" ht="15.75" customHeight="1">
      <c r="A511" s="119"/>
    </row>
    <row r="512" spans="1:1" ht="15.75" customHeight="1">
      <c r="A512" s="119"/>
    </row>
    <row r="513" spans="1:1" ht="15.75" customHeight="1">
      <c r="A513" s="119"/>
    </row>
    <row r="514" spans="1:1" ht="15.75" customHeight="1">
      <c r="A514" s="119"/>
    </row>
    <row r="515" spans="1:1" ht="15.75" customHeight="1">
      <c r="A515" s="119"/>
    </row>
    <row r="516" spans="1:1" ht="15.75" customHeight="1">
      <c r="A516" s="119"/>
    </row>
    <row r="517" spans="1:1" ht="15.75" customHeight="1">
      <c r="A517" s="119"/>
    </row>
    <row r="518" spans="1:1" ht="15.75" customHeight="1">
      <c r="A518" s="119"/>
    </row>
    <row r="519" spans="1:1" ht="15.75" customHeight="1">
      <c r="A519" s="119"/>
    </row>
    <row r="520" spans="1:1" ht="15.75" customHeight="1">
      <c r="A520" s="119"/>
    </row>
    <row r="521" spans="1:1" ht="15.75" customHeight="1">
      <c r="A521" s="119"/>
    </row>
    <row r="522" spans="1:1" ht="15.75" customHeight="1">
      <c r="A522" s="119"/>
    </row>
    <row r="523" spans="1:1" ht="15.75" customHeight="1">
      <c r="A523" s="119"/>
    </row>
    <row r="524" spans="1:1" ht="15.75" customHeight="1">
      <c r="A524" s="119"/>
    </row>
    <row r="525" spans="1:1" ht="15.75" customHeight="1">
      <c r="A525" s="119"/>
    </row>
    <row r="526" spans="1:1" ht="15.75" customHeight="1">
      <c r="A526" s="119"/>
    </row>
    <row r="527" spans="1:1" ht="15.75" customHeight="1">
      <c r="A527" s="119"/>
    </row>
    <row r="528" spans="1:1" ht="15.75" customHeight="1">
      <c r="A528" s="119"/>
    </row>
    <row r="529" spans="1:1" ht="15.75" customHeight="1">
      <c r="A529" s="119"/>
    </row>
    <row r="530" spans="1:1" ht="15.75" customHeight="1">
      <c r="A530" s="119"/>
    </row>
    <row r="531" spans="1:1" ht="15.75" customHeight="1">
      <c r="A531" s="119"/>
    </row>
    <row r="532" spans="1:1" ht="15.75" customHeight="1">
      <c r="A532" s="119"/>
    </row>
    <row r="533" spans="1:1" ht="15.75" customHeight="1">
      <c r="A533" s="119"/>
    </row>
    <row r="534" spans="1:1" ht="15.75" customHeight="1">
      <c r="A534" s="119"/>
    </row>
    <row r="535" spans="1:1" ht="15.75" customHeight="1">
      <c r="A535" s="119"/>
    </row>
    <row r="536" spans="1:1" ht="15.75" customHeight="1">
      <c r="A536" s="119"/>
    </row>
    <row r="537" spans="1:1" ht="15.75" customHeight="1">
      <c r="A537" s="119"/>
    </row>
    <row r="538" spans="1:1" ht="15.75" customHeight="1">
      <c r="A538" s="119"/>
    </row>
    <row r="539" spans="1:1" ht="15.75" customHeight="1">
      <c r="A539" s="119"/>
    </row>
    <row r="540" spans="1:1" ht="15.75" customHeight="1">
      <c r="A540" s="119"/>
    </row>
    <row r="541" spans="1:1" ht="15.75" customHeight="1">
      <c r="A541" s="119"/>
    </row>
    <row r="542" spans="1:1" ht="15.75" customHeight="1">
      <c r="A542" s="119"/>
    </row>
    <row r="543" spans="1:1" ht="15.75" customHeight="1">
      <c r="A543" s="119"/>
    </row>
    <row r="544" spans="1:1" ht="15.75" customHeight="1">
      <c r="A544" s="119"/>
    </row>
    <row r="545" spans="1:1" ht="15.75" customHeight="1">
      <c r="A545" s="119"/>
    </row>
    <row r="546" spans="1:1" ht="15.75" customHeight="1">
      <c r="A546" s="119"/>
    </row>
    <row r="547" spans="1:1" ht="15.75" customHeight="1">
      <c r="A547" s="119"/>
    </row>
    <row r="548" spans="1:1" ht="15.75" customHeight="1">
      <c r="A548" s="119"/>
    </row>
    <row r="549" spans="1:1" ht="15.75" customHeight="1">
      <c r="A549" s="119"/>
    </row>
    <row r="550" spans="1:1" ht="15.75" customHeight="1">
      <c r="A550" s="119"/>
    </row>
    <row r="551" spans="1:1" ht="15.75" customHeight="1">
      <c r="A551" s="119"/>
    </row>
    <row r="552" spans="1:1" ht="15.75" customHeight="1">
      <c r="A552" s="119"/>
    </row>
    <row r="553" spans="1:1" ht="15.75" customHeight="1">
      <c r="A553" s="119"/>
    </row>
    <row r="554" spans="1:1" ht="15.75" customHeight="1">
      <c r="A554" s="119"/>
    </row>
    <row r="555" spans="1:1" ht="15.75" customHeight="1">
      <c r="A555" s="119"/>
    </row>
    <row r="556" spans="1:1" ht="15.75" customHeight="1">
      <c r="A556" s="119"/>
    </row>
    <row r="557" spans="1:1" ht="15.75" customHeight="1">
      <c r="A557" s="119"/>
    </row>
    <row r="558" spans="1:1" ht="15.75" customHeight="1">
      <c r="A558" s="119"/>
    </row>
    <row r="559" spans="1:1" ht="15.75" customHeight="1">
      <c r="A559" s="119"/>
    </row>
    <row r="560" spans="1:1" ht="15.75" customHeight="1">
      <c r="A560" s="119"/>
    </row>
    <row r="561" spans="1:1" ht="15.75" customHeight="1">
      <c r="A561" s="119"/>
    </row>
    <row r="562" spans="1:1" ht="15.75" customHeight="1">
      <c r="A562" s="119"/>
    </row>
    <row r="563" spans="1:1" ht="15.75" customHeight="1">
      <c r="A563" s="119"/>
    </row>
    <row r="564" spans="1:1" ht="15.75" customHeight="1">
      <c r="A564" s="119"/>
    </row>
    <row r="565" spans="1:1" ht="15.75" customHeight="1">
      <c r="A565" s="119"/>
    </row>
    <row r="566" spans="1:1" ht="15.75" customHeight="1">
      <c r="A566" s="119"/>
    </row>
    <row r="567" spans="1:1" ht="15.75" customHeight="1">
      <c r="A567" s="119"/>
    </row>
    <row r="568" spans="1:1" ht="15.75" customHeight="1">
      <c r="A568" s="119"/>
    </row>
    <row r="569" spans="1:1" ht="15.75" customHeight="1">
      <c r="A569" s="119"/>
    </row>
    <row r="570" spans="1:1" ht="15.75" customHeight="1">
      <c r="A570" s="119"/>
    </row>
    <row r="571" spans="1:1" ht="15.75" customHeight="1">
      <c r="A571" s="119"/>
    </row>
    <row r="572" spans="1:1" ht="15.75" customHeight="1">
      <c r="A572" s="119"/>
    </row>
    <row r="573" spans="1:1" ht="15.75" customHeight="1">
      <c r="A573" s="119"/>
    </row>
    <row r="574" spans="1:1" ht="15.75" customHeight="1">
      <c r="A574" s="119"/>
    </row>
    <row r="575" spans="1:1" ht="15.75" customHeight="1">
      <c r="A575" s="119"/>
    </row>
    <row r="576" spans="1:1" ht="15.75" customHeight="1">
      <c r="A576" s="119"/>
    </row>
    <row r="577" spans="1:1" ht="15.75" customHeight="1">
      <c r="A577" s="119"/>
    </row>
    <row r="578" spans="1:1" ht="15.75" customHeight="1">
      <c r="A578" s="119"/>
    </row>
    <row r="579" spans="1:1" ht="15.75" customHeight="1">
      <c r="A579" s="119"/>
    </row>
    <row r="580" spans="1:1" ht="15.75" customHeight="1">
      <c r="A580" s="119"/>
    </row>
    <row r="581" spans="1:1" ht="15.75" customHeight="1">
      <c r="A581" s="119"/>
    </row>
    <row r="582" spans="1:1" ht="15.75" customHeight="1">
      <c r="A582" s="119"/>
    </row>
    <row r="583" spans="1:1" ht="15.75" customHeight="1">
      <c r="A583" s="119"/>
    </row>
    <row r="584" spans="1:1" ht="15.75" customHeight="1">
      <c r="A584" s="119"/>
    </row>
    <row r="585" spans="1:1" ht="15.75" customHeight="1">
      <c r="A585" s="119"/>
    </row>
    <row r="586" spans="1:1" ht="15.75" customHeight="1">
      <c r="A586" s="119"/>
    </row>
    <row r="587" spans="1:1" ht="15.75" customHeight="1">
      <c r="A587" s="119"/>
    </row>
    <row r="588" spans="1:1" ht="15.75" customHeight="1">
      <c r="A588" s="119"/>
    </row>
    <row r="589" spans="1:1" ht="15.75" customHeight="1">
      <c r="A589" s="119"/>
    </row>
    <row r="590" spans="1:1" ht="15.75" customHeight="1">
      <c r="A590" s="119"/>
    </row>
    <row r="591" spans="1:1" ht="15.75" customHeight="1">
      <c r="A591" s="119"/>
    </row>
    <row r="592" spans="1:1" ht="15.75" customHeight="1">
      <c r="A592" s="119"/>
    </row>
    <row r="593" spans="1:1" ht="15.75" customHeight="1">
      <c r="A593" s="119"/>
    </row>
    <row r="594" spans="1:1" ht="15.75" customHeight="1">
      <c r="A594" s="119"/>
    </row>
    <row r="595" spans="1:1" ht="15.75" customHeight="1">
      <c r="A595" s="119"/>
    </row>
    <row r="596" spans="1:1" ht="15.75" customHeight="1">
      <c r="A596" s="119"/>
    </row>
    <row r="597" spans="1:1" ht="15.75" customHeight="1">
      <c r="A597" s="119"/>
    </row>
    <row r="598" spans="1:1" ht="15.75" customHeight="1">
      <c r="A598" s="119"/>
    </row>
    <row r="599" spans="1:1" ht="15.75" customHeight="1">
      <c r="A599" s="119"/>
    </row>
    <row r="600" spans="1:1" ht="15.75" customHeight="1">
      <c r="A600" s="119"/>
    </row>
    <row r="601" spans="1:1" ht="15.75" customHeight="1">
      <c r="A601" s="119"/>
    </row>
    <row r="602" spans="1:1" ht="15.75" customHeight="1">
      <c r="A602" s="119"/>
    </row>
    <row r="603" spans="1:1" ht="15.75" customHeight="1">
      <c r="A603" s="119"/>
    </row>
    <row r="604" spans="1:1" ht="15.75" customHeight="1">
      <c r="A604" s="119"/>
    </row>
    <row r="605" spans="1:1" ht="15.75" customHeight="1">
      <c r="A605" s="119"/>
    </row>
    <row r="606" spans="1:1" ht="15.75" customHeight="1">
      <c r="A606" s="119"/>
    </row>
    <row r="607" spans="1:1" ht="15.75" customHeight="1">
      <c r="A607" s="119"/>
    </row>
    <row r="608" spans="1:1" ht="15.75" customHeight="1">
      <c r="A608" s="119"/>
    </row>
    <row r="609" spans="1:1" ht="15.75" customHeight="1">
      <c r="A609" s="119"/>
    </row>
    <row r="610" spans="1:1" ht="15.75" customHeight="1">
      <c r="A610" s="119"/>
    </row>
    <row r="611" spans="1:1" ht="15.75" customHeight="1">
      <c r="A611" s="119"/>
    </row>
    <row r="612" spans="1:1" ht="15.75" customHeight="1">
      <c r="A612" s="119"/>
    </row>
    <row r="613" spans="1:1" ht="15.75" customHeight="1">
      <c r="A613" s="119"/>
    </row>
    <row r="614" spans="1:1" ht="15.75" customHeight="1">
      <c r="A614" s="119"/>
    </row>
    <row r="615" spans="1:1" ht="15.75" customHeight="1">
      <c r="A615" s="119"/>
    </row>
    <row r="616" spans="1:1" ht="15.75" customHeight="1">
      <c r="A616" s="119"/>
    </row>
    <row r="617" spans="1:1" ht="15.75" customHeight="1">
      <c r="A617" s="119"/>
    </row>
    <row r="618" spans="1:1" ht="15.75" customHeight="1">
      <c r="A618" s="119"/>
    </row>
    <row r="619" spans="1:1" ht="15.75" customHeight="1">
      <c r="A619" s="119"/>
    </row>
    <row r="620" spans="1:1" ht="15.75" customHeight="1">
      <c r="A620" s="119"/>
    </row>
    <row r="621" spans="1:1" ht="15.75" customHeight="1">
      <c r="A621" s="119"/>
    </row>
    <row r="622" spans="1:1" ht="15.75" customHeight="1">
      <c r="A622" s="119"/>
    </row>
    <row r="623" spans="1:1" ht="15.75" customHeight="1">
      <c r="A623" s="119"/>
    </row>
    <row r="624" spans="1:1" ht="15.75" customHeight="1">
      <c r="A624" s="119"/>
    </row>
    <row r="625" spans="1:1" ht="15.75" customHeight="1">
      <c r="A625" s="119"/>
    </row>
    <row r="626" spans="1:1" ht="15.75" customHeight="1">
      <c r="A626" s="119"/>
    </row>
    <row r="627" spans="1:1" ht="15.75" customHeight="1">
      <c r="A627" s="119"/>
    </row>
    <row r="628" spans="1:1" ht="15.75" customHeight="1">
      <c r="A628" s="119"/>
    </row>
    <row r="629" spans="1:1" ht="15.75" customHeight="1">
      <c r="A629" s="119"/>
    </row>
    <row r="630" spans="1:1" ht="15.75" customHeight="1">
      <c r="A630" s="119"/>
    </row>
    <row r="631" spans="1:1" ht="15.75" customHeight="1">
      <c r="A631" s="119"/>
    </row>
    <row r="632" spans="1:1" ht="15.75" customHeight="1">
      <c r="A632" s="119"/>
    </row>
    <row r="633" spans="1:1" ht="15.75" customHeight="1">
      <c r="A633" s="119"/>
    </row>
    <row r="634" spans="1:1" ht="15.75" customHeight="1">
      <c r="A634" s="119"/>
    </row>
    <row r="635" spans="1:1" ht="15.75" customHeight="1">
      <c r="A635" s="119"/>
    </row>
    <row r="636" spans="1:1" ht="15.75" customHeight="1">
      <c r="A636" s="119"/>
    </row>
    <row r="637" spans="1:1" ht="15.75" customHeight="1">
      <c r="A637" s="119"/>
    </row>
    <row r="638" spans="1:1" ht="15.75" customHeight="1">
      <c r="A638" s="119"/>
    </row>
    <row r="639" spans="1:1" ht="15.75" customHeight="1">
      <c r="A639" s="119"/>
    </row>
    <row r="640" spans="1:1" ht="15.75" customHeight="1">
      <c r="A640" s="119"/>
    </row>
    <row r="641" spans="1:1" ht="15.75" customHeight="1">
      <c r="A641" s="119"/>
    </row>
    <row r="642" spans="1:1" ht="15.75" customHeight="1">
      <c r="A642" s="119"/>
    </row>
    <row r="643" spans="1:1" ht="15.75" customHeight="1">
      <c r="A643" s="119"/>
    </row>
    <row r="644" spans="1:1" ht="15.75" customHeight="1">
      <c r="A644" s="119"/>
    </row>
    <row r="645" spans="1:1" ht="15.75" customHeight="1">
      <c r="A645" s="119"/>
    </row>
    <row r="646" spans="1:1" ht="15.75" customHeight="1">
      <c r="A646" s="119"/>
    </row>
    <row r="647" spans="1:1" ht="15.75" customHeight="1">
      <c r="A647" s="119"/>
    </row>
    <row r="648" spans="1:1" ht="15.75" customHeight="1">
      <c r="A648" s="119"/>
    </row>
    <row r="649" spans="1:1" ht="15.75" customHeight="1">
      <c r="A649" s="119"/>
    </row>
    <row r="650" spans="1:1" ht="15.75" customHeight="1">
      <c r="A650" s="119"/>
    </row>
    <row r="651" spans="1:1" ht="15.75" customHeight="1">
      <c r="A651" s="119"/>
    </row>
    <row r="652" spans="1:1" ht="15.75" customHeight="1">
      <c r="A652" s="119"/>
    </row>
    <row r="653" spans="1:1" ht="15.75" customHeight="1">
      <c r="A653" s="119"/>
    </row>
    <row r="654" spans="1:1" ht="15.75" customHeight="1">
      <c r="A654" s="119"/>
    </row>
    <row r="655" spans="1:1" ht="15.75" customHeight="1">
      <c r="A655" s="119"/>
    </row>
    <row r="656" spans="1:1" ht="15.75" customHeight="1">
      <c r="A656" s="119"/>
    </row>
    <row r="657" spans="1:1" ht="15.75" customHeight="1">
      <c r="A657" s="119"/>
    </row>
    <row r="658" spans="1:1" ht="15.75" customHeight="1">
      <c r="A658" s="119"/>
    </row>
    <row r="659" spans="1:1" ht="15.75" customHeight="1">
      <c r="A659" s="119"/>
    </row>
    <row r="660" spans="1:1" ht="15.75" customHeight="1">
      <c r="A660" s="119"/>
    </row>
    <row r="661" spans="1:1" ht="15.75" customHeight="1">
      <c r="A661" s="119"/>
    </row>
    <row r="662" spans="1:1" ht="15.75" customHeight="1">
      <c r="A662" s="119"/>
    </row>
    <row r="663" spans="1:1" ht="15.75" customHeight="1">
      <c r="A663" s="119"/>
    </row>
    <row r="664" spans="1:1" ht="15.75" customHeight="1">
      <c r="A664" s="119"/>
    </row>
    <row r="665" spans="1:1" ht="15.75" customHeight="1">
      <c r="A665" s="119"/>
    </row>
    <row r="666" spans="1:1" ht="15.75" customHeight="1">
      <c r="A666" s="119"/>
    </row>
    <row r="667" spans="1:1" ht="15.75" customHeight="1">
      <c r="A667" s="119"/>
    </row>
    <row r="668" spans="1:1" ht="15.75" customHeight="1">
      <c r="A668" s="119"/>
    </row>
    <row r="669" spans="1:1" ht="15.75" customHeight="1">
      <c r="A669" s="119"/>
    </row>
    <row r="670" spans="1:1" ht="15.75" customHeight="1">
      <c r="A670" s="119"/>
    </row>
    <row r="671" spans="1:1" ht="15.75" customHeight="1">
      <c r="A671" s="119"/>
    </row>
    <row r="672" spans="1:1" ht="15.75" customHeight="1">
      <c r="A672" s="119"/>
    </row>
    <row r="673" spans="1:1" ht="15.75" customHeight="1">
      <c r="A673" s="119"/>
    </row>
    <row r="674" spans="1:1" ht="15.75" customHeight="1">
      <c r="A674" s="119"/>
    </row>
    <row r="675" spans="1:1" ht="15.75" customHeight="1">
      <c r="A675" s="119"/>
    </row>
    <row r="676" spans="1:1" ht="15.75" customHeight="1">
      <c r="A676" s="119"/>
    </row>
    <row r="677" spans="1:1" ht="15.75" customHeight="1">
      <c r="A677" s="119"/>
    </row>
    <row r="678" spans="1:1" ht="15.75" customHeight="1">
      <c r="A678" s="119"/>
    </row>
    <row r="679" spans="1:1" ht="15.75" customHeight="1">
      <c r="A679" s="119"/>
    </row>
    <row r="680" spans="1:1" ht="15.75" customHeight="1">
      <c r="A680" s="119"/>
    </row>
    <row r="681" spans="1:1" ht="15.75" customHeight="1">
      <c r="A681" s="119"/>
    </row>
    <row r="682" spans="1:1" ht="15.75" customHeight="1">
      <c r="A682" s="119"/>
    </row>
    <row r="683" spans="1:1" ht="15.75" customHeight="1">
      <c r="A683" s="119"/>
    </row>
    <row r="684" spans="1:1" ht="15.75" customHeight="1">
      <c r="A684" s="119"/>
    </row>
    <row r="685" spans="1:1" ht="15.75" customHeight="1">
      <c r="A685" s="119"/>
    </row>
    <row r="686" spans="1:1" ht="15.75" customHeight="1">
      <c r="A686" s="119"/>
    </row>
    <row r="687" spans="1:1" ht="15.75" customHeight="1">
      <c r="A687" s="119"/>
    </row>
    <row r="688" spans="1:1" ht="15.75" customHeight="1">
      <c r="A688" s="119"/>
    </row>
    <row r="689" spans="1:1" ht="15.75" customHeight="1">
      <c r="A689" s="119"/>
    </row>
    <row r="690" spans="1:1" ht="15.75" customHeight="1">
      <c r="A690" s="119"/>
    </row>
    <row r="691" spans="1:1" ht="15.75" customHeight="1">
      <c r="A691" s="119"/>
    </row>
    <row r="692" spans="1:1" ht="15.75" customHeight="1">
      <c r="A692" s="119"/>
    </row>
    <row r="693" spans="1:1" ht="15.75" customHeight="1">
      <c r="A693" s="119"/>
    </row>
    <row r="694" spans="1:1" ht="15.75" customHeight="1">
      <c r="A694" s="119"/>
    </row>
    <row r="695" spans="1:1" ht="15.75" customHeight="1">
      <c r="A695" s="119"/>
    </row>
    <row r="696" spans="1:1" ht="15.75" customHeight="1">
      <c r="A696" s="119"/>
    </row>
    <row r="697" spans="1:1" ht="15.75" customHeight="1">
      <c r="A697" s="119"/>
    </row>
    <row r="698" spans="1:1" ht="15.75" customHeight="1">
      <c r="A698" s="119"/>
    </row>
    <row r="699" spans="1:1" ht="15.75" customHeight="1">
      <c r="A699" s="119"/>
    </row>
    <row r="700" spans="1:1" ht="15.75" customHeight="1">
      <c r="A700" s="119"/>
    </row>
    <row r="701" spans="1:1" ht="15.75" customHeight="1">
      <c r="A701" s="119"/>
    </row>
    <row r="702" spans="1:1" ht="15.75" customHeight="1">
      <c r="A702" s="119"/>
    </row>
    <row r="703" spans="1:1" ht="15.75" customHeight="1">
      <c r="A703" s="119"/>
    </row>
    <row r="704" spans="1:1" ht="15.75" customHeight="1">
      <c r="A704" s="119"/>
    </row>
    <row r="705" spans="1:1" ht="15.75" customHeight="1">
      <c r="A705" s="119"/>
    </row>
    <row r="706" spans="1:1" ht="15.75" customHeight="1">
      <c r="A706" s="119"/>
    </row>
    <row r="707" spans="1:1" ht="15.75" customHeight="1">
      <c r="A707" s="119"/>
    </row>
    <row r="708" spans="1:1" ht="15.75" customHeight="1">
      <c r="A708" s="119"/>
    </row>
    <row r="709" spans="1:1" ht="15.75" customHeight="1">
      <c r="A709" s="119"/>
    </row>
    <row r="710" spans="1:1" ht="15.75" customHeight="1">
      <c r="A710" s="119"/>
    </row>
    <row r="711" spans="1:1" ht="15.75" customHeight="1">
      <c r="A711" s="119"/>
    </row>
    <row r="712" spans="1:1" ht="15.75" customHeight="1">
      <c r="A712" s="119"/>
    </row>
    <row r="713" spans="1:1" ht="15.75" customHeight="1">
      <c r="A713" s="119"/>
    </row>
    <row r="714" spans="1:1" ht="15.75" customHeight="1">
      <c r="A714" s="119"/>
    </row>
    <row r="715" spans="1:1" ht="15.75" customHeight="1">
      <c r="A715" s="119"/>
    </row>
    <row r="716" spans="1:1" ht="15.75" customHeight="1">
      <c r="A716" s="119"/>
    </row>
    <row r="717" spans="1:1" ht="15.75" customHeight="1">
      <c r="A717" s="119"/>
    </row>
    <row r="718" spans="1:1" ht="15.75" customHeight="1">
      <c r="A718" s="119"/>
    </row>
    <row r="719" spans="1:1" ht="15.75" customHeight="1">
      <c r="A719" s="119"/>
    </row>
    <row r="720" spans="1:1" ht="15.75" customHeight="1">
      <c r="A720" s="119"/>
    </row>
    <row r="721" spans="1:1" ht="15.75" customHeight="1">
      <c r="A721" s="119"/>
    </row>
    <row r="722" spans="1:1" ht="15.75" customHeight="1">
      <c r="A722" s="119"/>
    </row>
    <row r="723" spans="1:1" ht="15.75" customHeight="1">
      <c r="A723" s="119"/>
    </row>
    <row r="724" spans="1:1" ht="15.75" customHeight="1">
      <c r="A724" s="119"/>
    </row>
    <row r="725" spans="1:1" ht="15.75" customHeight="1">
      <c r="A725" s="119"/>
    </row>
    <row r="726" spans="1:1" ht="15.75" customHeight="1">
      <c r="A726" s="119"/>
    </row>
    <row r="727" spans="1:1" ht="15.75" customHeight="1">
      <c r="A727" s="119"/>
    </row>
    <row r="728" spans="1:1" ht="15.75" customHeight="1">
      <c r="A728" s="119"/>
    </row>
    <row r="729" spans="1:1" ht="15.75" customHeight="1">
      <c r="A729" s="119"/>
    </row>
    <row r="730" spans="1:1" ht="15.75" customHeight="1">
      <c r="A730" s="119"/>
    </row>
    <row r="731" spans="1:1" ht="15.75" customHeight="1">
      <c r="A731" s="119"/>
    </row>
    <row r="732" spans="1:1" ht="15.75" customHeight="1">
      <c r="A732" s="119"/>
    </row>
    <row r="733" spans="1:1" ht="15.75" customHeight="1">
      <c r="A733" s="119"/>
    </row>
    <row r="734" spans="1:1" ht="15.75" customHeight="1">
      <c r="A734" s="119"/>
    </row>
    <row r="735" spans="1:1" ht="15.75" customHeight="1">
      <c r="A735" s="119"/>
    </row>
    <row r="736" spans="1:1" ht="15.75" customHeight="1">
      <c r="A736" s="119"/>
    </row>
    <row r="737" spans="1:1" ht="15.75" customHeight="1">
      <c r="A737" s="119"/>
    </row>
    <row r="738" spans="1:1" ht="15.75" customHeight="1">
      <c r="A738" s="119"/>
    </row>
    <row r="739" spans="1:1" ht="15.75" customHeight="1">
      <c r="A739" s="119"/>
    </row>
    <row r="740" spans="1:1" ht="15.75" customHeight="1">
      <c r="A740" s="119"/>
    </row>
    <row r="741" spans="1:1" ht="15.75" customHeight="1">
      <c r="A741" s="119"/>
    </row>
    <row r="742" spans="1:1" ht="15.75" customHeight="1">
      <c r="A742" s="119"/>
    </row>
    <row r="743" spans="1:1" ht="15.75" customHeight="1">
      <c r="A743" s="119"/>
    </row>
    <row r="744" spans="1:1" ht="15.75" customHeight="1">
      <c r="A744" s="119"/>
    </row>
    <row r="745" spans="1:1" ht="15.75" customHeight="1">
      <c r="A745" s="119"/>
    </row>
    <row r="746" spans="1:1" ht="15.75" customHeight="1">
      <c r="A746" s="119"/>
    </row>
    <row r="747" spans="1:1" ht="15.75" customHeight="1">
      <c r="A747" s="119"/>
    </row>
    <row r="748" spans="1:1" ht="15.75" customHeight="1">
      <c r="A748" s="119"/>
    </row>
    <row r="749" spans="1:1" ht="15.75" customHeight="1">
      <c r="A749" s="119"/>
    </row>
    <row r="750" spans="1:1" ht="15.75" customHeight="1">
      <c r="A750" s="119"/>
    </row>
    <row r="751" spans="1:1" ht="15.75" customHeight="1">
      <c r="A751" s="119"/>
    </row>
    <row r="752" spans="1:1" ht="15.75" customHeight="1">
      <c r="A752" s="119"/>
    </row>
    <row r="753" spans="1:1" ht="15.75" customHeight="1">
      <c r="A753" s="119"/>
    </row>
    <row r="754" spans="1:1" ht="15.75" customHeight="1">
      <c r="A754" s="119"/>
    </row>
    <row r="755" spans="1:1" ht="15.75" customHeight="1">
      <c r="A755" s="119"/>
    </row>
    <row r="756" spans="1:1" ht="15.75" customHeight="1">
      <c r="A756" s="119"/>
    </row>
    <row r="757" spans="1:1" ht="15.75" customHeight="1">
      <c r="A757" s="119"/>
    </row>
    <row r="758" spans="1:1" ht="15.75" customHeight="1">
      <c r="A758" s="119"/>
    </row>
    <row r="759" spans="1:1" ht="15.75" customHeight="1">
      <c r="A759" s="119"/>
    </row>
    <row r="760" spans="1:1" ht="15.75" customHeight="1">
      <c r="A760" s="119"/>
    </row>
    <row r="761" spans="1:1" ht="15.75" customHeight="1">
      <c r="A761" s="119"/>
    </row>
    <row r="762" spans="1:1" ht="15.75" customHeight="1">
      <c r="A762" s="119"/>
    </row>
    <row r="763" spans="1:1" ht="15.75" customHeight="1">
      <c r="A763" s="119"/>
    </row>
    <row r="764" spans="1:1" ht="15.75" customHeight="1">
      <c r="A764" s="119"/>
    </row>
    <row r="765" spans="1:1" ht="15.75" customHeight="1">
      <c r="A765" s="119"/>
    </row>
    <row r="766" spans="1:1" ht="15.75" customHeight="1">
      <c r="A766" s="119"/>
    </row>
    <row r="767" spans="1:1" ht="15.75" customHeight="1">
      <c r="A767" s="119"/>
    </row>
    <row r="768" spans="1:1" ht="15.75" customHeight="1">
      <c r="A768" s="119"/>
    </row>
    <row r="769" spans="1:1" ht="15.75" customHeight="1">
      <c r="A769" s="119"/>
    </row>
    <row r="770" spans="1:1" ht="15.75" customHeight="1">
      <c r="A770" s="119"/>
    </row>
    <row r="771" spans="1:1" ht="15.75" customHeight="1">
      <c r="A771" s="119"/>
    </row>
    <row r="772" spans="1:1" ht="15.75" customHeight="1">
      <c r="A772" s="119"/>
    </row>
    <row r="773" spans="1:1" ht="15.75" customHeight="1">
      <c r="A773" s="119"/>
    </row>
    <row r="774" spans="1:1" ht="15.75" customHeight="1">
      <c r="A774" s="119"/>
    </row>
    <row r="775" spans="1:1" ht="15.75" customHeight="1">
      <c r="A775" s="119"/>
    </row>
    <row r="776" spans="1:1" ht="15.75" customHeight="1">
      <c r="A776" s="119"/>
    </row>
    <row r="777" spans="1:1" ht="15.75" customHeight="1">
      <c r="A777" s="119"/>
    </row>
    <row r="778" spans="1:1" ht="15.75" customHeight="1">
      <c r="A778" s="119"/>
    </row>
    <row r="779" spans="1:1" ht="15.75" customHeight="1">
      <c r="A779" s="119"/>
    </row>
    <row r="780" spans="1:1" ht="15.75" customHeight="1">
      <c r="A780" s="119"/>
    </row>
    <row r="781" spans="1:1" ht="15.75" customHeight="1">
      <c r="A781" s="119"/>
    </row>
    <row r="782" spans="1:1" ht="15.75" customHeight="1">
      <c r="A782" s="119"/>
    </row>
    <row r="783" spans="1:1" ht="15.75" customHeight="1">
      <c r="A783" s="119"/>
    </row>
    <row r="784" spans="1:1" ht="15.75" customHeight="1">
      <c r="A784" s="119"/>
    </row>
    <row r="785" spans="1:1" ht="15.75" customHeight="1">
      <c r="A785" s="119"/>
    </row>
    <row r="786" spans="1:1" ht="15.75" customHeight="1">
      <c r="A786" s="119"/>
    </row>
    <row r="787" spans="1:1" ht="15.75" customHeight="1">
      <c r="A787" s="119"/>
    </row>
    <row r="788" spans="1:1" ht="15.75" customHeight="1">
      <c r="A788" s="119"/>
    </row>
    <row r="789" spans="1:1" ht="15.75" customHeight="1">
      <c r="A789" s="119"/>
    </row>
    <row r="790" spans="1:1" ht="15.75" customHeight="1">
      <c r="A790" s="119"/>
    </row>
    <row r="791" spans="1:1" ht="15.75" customHeight="1">
      <c r="A791" s="119"/>
    </row>
    <row r="792" spans="1:1" ht="15.75" customHeight="1">
      <c r="A792" s="119"/>
    </row>
    <row r="793" spans="1:1" ht="15.75" customHeight="1">
      <c r="A793" s="119"/>
    </row>
    <row r="794" spans="1:1" ht="15.75" customHeight="1">
      <c r="A794" s="119"/>
    </row>
    <row r="795" spans="1:1" ht="15.75" customHeight="1">
      <c r="A795" s="119"/>
    </row>
    <row r="796" spans="1:1" ht="15.75" customHeight="1">
      <c r="A796" s="119"/>
    </row>
    <row r="797" spans="1:1" ht="15.75" customHeight="1">
      <c r="A797" s="119"/>
    </row>
    <row r="798" spans="1:1" ht="15.75" customHeight="1">
      <c r="A798" s="119"/>
    </row>
    <row r="799" spans="1:1" ht="15.75" customHeight="1">
      <c r="A799" s="119"/>
    </row>
    <row r="800" spans="1:1" ht="15.75" customHeight="1">
      <c r="A800" s="119"/>
    </row>
    <row r="801" spans="1:1" ht="15.75" customHeight="1">
      <c r="A801" s="119"/>
    </row>
    <row r="802" spans="1:1" ht="15.75" customHeight="1">
      <c r="A802" s="119"/>
    </row>
    <row r="803" spans="1:1" ht="15.75" customHeight="1">
      <c r="A803" s="119"/>
    </row>
    <row r="804" spans="1:1" ht="15.75" customHeight="1">
      <c r="A804" s="119"/>
    </row>
    <row r="805" spans="1:1" ht="15.75" customHeight="1">
      <c r="A805" s="119"/>
    </row>
    <row r="806" spans="1:1" ht="15.75" customHeight="1">
      <c r="A806" s="119"/>
    </row>
    <row r="807" spans="1:1" ht="15.75" customHeight="1">
      <c r="A807" s="119"/>
    </row>
    <row r="808" spans="1:1" ht="15.75" customHeight="1">
      <c r="A808" s="119"/>
    </row>
    <row r="809" spans="1:1" ht="15.75" customHeight="1">
      <c r="A809" s="119"/>
    </row>
    <row r="810" spans="1:1" ht="15.75" customHeight="1">
      <c r="A810" s="119"/>
    </row>
    <row r="811" spans="1:1" ht="15.75" customHeight="1">
      <c r="A811" s="119"/>
    </row>
    <row r="812" spans="1:1" ht="15.75" customHeight="1">
      <c r="A812" s="119"/>
    </row>
    <row r="813" spans="1:1" ht="15.75" customHeight="1">
      <c r="A813" s="119"/>
    </row>
    <row r="814" spans="1:1" ht="15.75" customHeight="1">
      <c r="A814" s="119"/>
    </row>
    <row r="815" spans="1:1" ht="15.75" customHeight="1">
      <c r="A815" s="119"/>
    </row>
    <row r="816" spans="1:1" ht="15.75" customHeight="1">
      <c r="A816" s="119"/>
    </row>
    <row r="817" spans="1:1" ht="15.75" customHeight="1">
      <c r="A817" s="119"/>
    </row>
    <row r="818" spans="1:1" ht="15.75" customHeight="1">
      <c r="A818" s="119"/>
    </row>
    <row r="819" spans="1:1" ht="15.75" customHeight="1">
      <c r="A819" s="119"/>
    </row>
    <row r="820" spans="1:1" ht="15.75" customHeight="1">
      <c r="A820" s="119"/>
    </row>
    <row r="821" spans="1:1" ht="15.75" customHeight="1">
      <c r="A821" s="119"/>
    </row>
    <row r="822" spans="1:1" ht="15.75" customHeight="1">
      <c r="A822" s="119"/>
    </row>
    <row r="823" spans="1:1" ht="15.75" customHeight="1">
      <c r="A823" s="119"/>
    </row>
    <row r="824" spans="1:1" ht="15.75" customHeight="1">
      <c r="A824" s="119"/>
    </row>
    <row r="825" spans="1:1" ht="15.75" customHeight="1">
      <c r="A825" s="119"/>
    </row>
    <row r="826" spans="1:1" ht="15.75" customHeight="1">
      <c r="A826" s="119"/>
    </row>
    <row r="827" spans="1:1" ht="15.75" customHeight="1">
      <c r="A827" s="119"/>
    </row>
    <row r="828" spans="1:1" ht="15.75" customHeight="1">
      <c r="A828" s="119"/>
    </row>
    <row r="829" spans="1:1" ht="15.75" customHeight="1">
      <c r="A829" s="119"/>
    </row>
    <row r="830" spans="1:1" ht="15.75" customHeight="1">
      <c r="A830" s="119"/>
    </row>
    <row r="831" spans="1:1" ht="15.75" customHeight="1">
      <c r="A831" s="119"/>
    </row>
    <row r="832" spans="1:1" ht="15.75" customHeight="1">
      <c r="A832" s="119"/>
    </row>
    <row r="833" spans="1:1" ht="15.75" customHeight="1">
      <c r="A833" s="119"/>
    </row>
    <row r="834" spans="1:1" ht="15.75" customHeight="1">
      <c r="A834" s="119"/>
    </row>
    <row r="835" spans="1:1" ht="15.75" customHeight="1">
      <c r="A835" s="119"/>
    </row>
    <row r="836" spans="1:1" ht="15.75" customHeight="1">
      <c r="A836" s="119"/>
    </row>
    <row r="837" spans="1:1" ht="15.75" customHeight="1">
      <c r="A837" s="119"/>
    </row>
    <row r="838" spans="1:1" ht="15.75" customHeight="1">
      <c r="A838" s="119"/>
    </row>
    <row r="839" spans="1:1" ht="15.75" customHeight="1">
      <c r="A839" s="119"/>
    </row>
    <row r="840" spans="1:1" ht="15.75" customHeight="1">
      <c r="A840" s="119"/>
    </row>
    <row r="841" spans="1:1" ht="15.75" customHeight="1">
      <c r="A841" s="119"/>
    </row>
    <row r="842" spans="1:1" ht="15.75" customHeight="1">
      <c r="A842" s="119"/>
    </row>
    <row r="843" spans="1:1" ht="15.75" customHeight="1">
      <c r="A843" s="119"/>
    </row>
    <row r="844" spans="1:1" ht="15.75" customHeight="1">
      <c r="A844" s="119"/>
    </row>
    <row r="845" spans="1:1" ht="15.75" customHeight="1">
      <c r="A845" s="119"/>
    </row>
    <row r="846" spans="1:1" ht="15.75" customHeight="1">
      <c r="A846" s="119"/>
    </row>
    <row r="847" spans="1:1" ht="15.75" customHeight="1">
      <c r="A847" s="119"/>
    </row>
    <row r="848" spans="1:1" ht="15.75" customHeight="1">
      <c r="A848" s="119"/>
    </row>
    <row r="849" spans="1:1" ht="15.75" customHeight="1">
      <c r="A849" s="119"/>
    </row>
    <row r="850" spans="1:1" ht="15.75" customHeight="1">
      <c r="A850" s="119"/>
    </row>
    <row r="851" spans="1:1" ht="15.75" customHeight="1">
      <c r="A851" s="119"/>
    </row>
    <row r="852" spans="1:1" ht="15.75" customHeight="1">
      <c r="A852" s="119"/>
    </row>
    <row r="853" spans="1:1" ht="15.75" customHeight="1">
      <c r="A853" s="119"/>
    </row>
    <row r="854" spans="1:1" ht="15.75" customHeight="1">
      <c r="A854" s="119"/>
    </row>
    <row r="855" spans="1:1" ht="15.75" customHeight="1">
      <c r="A855" s="119"/>
    </row>
    <row r="856" spans="1:1" ht="15.75" customHeight="1">
      <c r="A856" s="119"/>
    </row>
    <row r="857" spans="1:1" ht="15.75" customHeight="1">
      <c r="A857" s="119"/>
    </row>
    <row r="858" spans="1:1" ht="15.75" customHeight="1">
      <c r="A858" s="119"/>
    </row>
    <row r="859" spans="1:1" ht="15.75" customHeight="1">
      <c r="A859" s="119"/>
    </row>
    <row r="860" spans="1:1" ht="15.75" customHeight="1">
      <c r="A860" s="119"/>
    </row>
    <row r="861" spans="1:1" ht="15.75" customHeight="1">
      <c r="A861" s="119"/>
    </row>
    <row r="862" spans="1:1" ht="15.75" customHeight="1">
      <c r="A862" s="119"/>
    </row>
    <row r="863" spans="1:1" ht="15.75" customHeight="1">
      <c r="A863" s="119"/>
    </row>
    <row r="864" spans="1:1" ht="15.75" customHeight="1">
      <c r="A864" s="119"/>
    </row>
    <row r="865" spans="1:1" ht="15.75" customHeight="1">
      <c r="A865" s="119"/>
    </row>
    <row r="866" spans="1:1" ht="15.75" customHeight="1">
      <c r="A866" s="119"/>
    </row>
    <row r="867" spans="1:1" ht="15.75" customHeight="1">
      <c r="A867" s="119"/>
    </row>
    <row r="868" spans="1:1" ht="15.75" customHeight="1">
      <c r="A868" s="119"/>
    </row>
    <row r="869" spans="1:1" ht="15.75" customHeight="1">
      <c r="A869" s="119"/>
    </row>
    <row r="870" spans="1:1" ht="15.75" customHeight="1">
      <c r="A870" s="119"/>
    </row>
    <row r="871" spans="1:1" ht="15.75" customHeight="1">
      <c r="A871" s="119"/>
    </row>
    <row r="872" spans="1:1" ht="15.75" customHeight="1">
      <c r="A872" s="119"/>
    </row>
    <row r="873" spans="1:1" ht="15.75" customHeight="1">
      <c r="A873" s="119"/>
    </row>
    <row r="874" spans="1:1" ht="15.75" customHeight="1">
      <c r="A874" s="119"/>
    </row>
    <row r="875" spans="1:1" ht="15.75" customHeight="1">
      <c r="A875" s="119"/>
    </row>
    <row r="876" spans="1:1" ht="15.75" customHeight="1">
      <c r="A876" s="119"/>
    </row>
    <row r="877" spans="1:1" ht="15.75" customHeight="1">
      <c r="A877" s="119"/>
    </row>
    <row r="878" spans="1:1" ht="15.75" customHeight="1">
      <c r="A878" s="119"/>
    </row>
    <row r="879" spans="1:1" ht="15.75" customHeight="1">
      <c r="A879" s="119"/>
    </row>
    <row r="880" spans="1:1" ht="15.75" customHeight="1">
      <c r="A880" s="119"/>
    </row>
    <row r="881" spans="1:1" ht="15.75" customHeight="1">
      <c r="A881" s="119"/>
    </row>
    <row r="882" spans="1:1" ht="15.75" customHeight="1">
      <c r="A882" s="119"/>
    </row>
    <row r="883" spans="1:1" ht="15.75" customHeight="1">
      <c r="A883" s="119"/>
    </row>
    <row r="884" spans="1:1" ht="15.75" customHeight="1">
      <c r="A884" s="119"/>
    </row>
    <row r="885" spans="1:1" ht="15.75" customHeight="1">
      <c r="A885" s="119"/>
    </row>
    <row r="886" spans="1:1" ht="15.75" customHeight="1">
      <c r="A886" s="119"/>
    </row>
    <row r="887" spans="1:1" ht="15.75" customHeight="1">
      <c r="A887" s="119"/>
    </row>
    <row r="888" spans="1:1" ht="15.75" customHeight="1">
      <c r="A888" s="119"/>
    </row>
    <row r="889" spans="1:1" ht="15.75" customHeight="1">
      <c r="A889" s="119"/>
    </row>
    <row r="890" spans="1:1" ht="15.75" customHeight="1">
      <c r="A890" s="119"/>
    </row>
    <row r="891" spans="1:1" ht="15.75" customHeight="1">
      <c r="A891" s="119"/>
    </row>
    <row r="892" spans="1:1" ht="15.75" customHeight="1">
      <c r="A892" s="119"/>
    </row>
    <row r="893" spans="1:1" ht="15.75" customHeight="1">
      <c r="A893" s="119"/>
    </row>
    <row r="894" spans="1:1" ht="15.75" customHeight="1">
      <c r="A894" s="119"/>
    </row>
    <row r="895" spans="1:1" ht="15.75" customHeight="1">
      <c r="A895" s="119"/>
    </row>
    <row r="896" spans="1:1" ht="15.75" customHeight="1">
      <c r="A896" s="119"/>
    </row>
    <row r="897" spans="1:1" ht="15.75" customHeight="1">
      <c r="A897" s="119"/>
    </row>
    <row r="898" spans="1:1" ht="15.75" customHeight="1">
      <c r="A898" s="119"/>
    </row>
    <row r="899" spans="1:1" ht="15.75" customHeight="1">
      <c r="A899" s="119"/>
    </row>
    <row r="900" spans="1:1" ht="15.75" customHeight="1">
      <c r="A900" s="119"/>
    </row>
    <row r="901" spans="1:1" ht="15.75" customHeight="1">
      <c r="A901" s="119"/>
    </row>
    <row r="902" spans="1:1" ht="15.75" customHeight="1">
      <c r="A902" s="119"/>
    </row>
    <row r="903" spans="1:1" ht="15.75" customHeight="1">
      <c r="A903" s="119"/>
    </row>
    <row r="904" spans="1:1" ht="15.75" customHeight="1">
      <c r="A904" s="119"/>
    </row>
    <row r="905" spans="1:1" ht="15.75" customHeight="1">
      <c r="A905" s="119"/>
    </row>
    <row r="906" spans="1:1" ht="15.75" customHeight="1">
      <c r="A906" s="119"/>
    </row>
    <row r="907" spans="1:1" ht="15.75" customHeight="1">
      <c r="A907" s="119"/>
    </row>
    <row r="908" spans="1:1" ht="15.75" customHeight="1">
      <c r="A908" s="119"/>
    </row>
    <row r="909" spans="1:1" ht="15.75" customHeight="1">
      <c r="A909" s="119"/>
    </row>
    <row r="910" spans="1:1" ht="15.75" customHeight="1">
      <c r="A910" s="119"/>
    </row>
    <row r="911" spans="1:1" ht="15.75" customHeight="1">
      <c r="A911" s="119"/>
    </row>
    <row r="912" spans="1:1" ht="15.75" customHeight="1">
      <c r="A912" s="119"/>
    </row>
    <row r="913" spans="1:1" ht="15.75" customHeight="1">
      <c r="A913" s="119"/>
    </row>
    <row r="914" spans="1:1" ht="15.75" customHeight="1">
      <c r="A914" s="119"/>
    </row>
    <row r="915" spans="1:1" ht="15.75" customHeight="1">
      <c r="A915" s="119"/>
    </row>
    <row r="916" spans="1:1" ht="15.75" customHeight="1">
      <c r="A916" s="119"/>
    </row>
    <row r="917" spans="1:1" ht="15.75" customHeight="1">
      <c r="A917" s="119"/>
    </row>
    <row r="918" spans="1:1" ht="15.75" customHeight="1">
      <c r="A918" s="119"/>
    </row>
    <row r="919" spans="1:1" ht="15.75" customHeight="1">
      <c r="A919" s="119"/>
    </row>
    <row r="920" spans="1:1" ht="15.75" customHeight="1">
      <c r="A920" s="119"/>
    </row>
    <row r="921" spans="1:1" ht="15.75" customHeight="1">
      <c r="A921" s="119"/>
    </row>
    <row r="922" spans="1:1" ht="15.75" customHeight="1">
      <c r="A922" s="119"/>
    </row>
    <row r="923" spans="1:1" ht="15.75" customHeight="1">
      <c r="A923" s="119"/>
    </row>
    <row r="924" spans="1:1" ht="15.75" customHeight="1">
      <c r="A924" s="119"/>
    </row>
    <row r="925" spans="1:1" ht="15.75" customHeight="1">
      <c r="A925" s="119"/>
    </row>
    <row r="926" spans="1:1" ht="15.75" customHeight="1">
      <c r="A926" s="119"/>
    </row>
    <row r="927" spans="1:1" ht="15.75" customHeight="1">
      <c r="A927" s="119"/>
    </row>
    <row r="928" spans="1:1" ht="15.75" customHeight="1">
      <c r="A928" s="119"/>
    </row>
    <row r="929" spans="1:1" ht="15.75" customHeight="1">
      <c r="A929" s="119"/>
    </row>
    <row r="930" spans="1:1" ht="15.75" customHeight="1">
      <c r="A930" s="119"/>
    </row>
    <row r="931" spans="1:1" ht="15.75" customHeight="1">
      <c r="A931" s="119"/>
    </row>
    <row r="932" spans="1:1" ht="15.75" customHeight="1">
      <c r="A932" s="119"/>
    </row>
    <row r="933" spans="1:1" ht="15.75" customHeight="1">
      <c r="A933" s="119"/>
    </row>
    <row r="934" spans="1:1" ht="15.75" customHeight="1">
      <c r="A934" s="119"/>
    </row>
    <row r="935" spans="1:1" ht="15.75" customHeight="1">
      <c r="A935" s="119"/>
    </row>
    <row r="936" spans="1:1" ht="15.75" customHeight="1">
      <c r="A936" s="119"/>
    </row>
    <row r="937" spans="1:1" ht="15.75" customHeight="1">
      <c r="A937" s="119"/>
    </row>
    <row r="938" spans="1:1" ht="15.75" customHeight="1">
      <c r="A938" s="119"/>
    </row>
    <row r="939" spans="1:1" ht="15.75" customHeight="1">
      <c r="A939" s="119"/>
    </row>
    <row r="940" spans="1:1" ht="15.75" customHeight="1">
      <c r="A940" s="119"/>
    </row>
    <row r="941" spans="1:1" ht="15.75" customHeight="1">
      <c r="A941" s="119"/>
    </row>
    <row r="942" spans="1:1" ht="15.75" customHeight="1">
      <c r="A942" s="119"/>
    </row>
    <row r="943" spans="1:1" ht="15.75" customHeight="1">
      <c r="A943" s="119"/>
    </row>
    <row r="944" spans="1:1" ht="15.75" customHeight="1">
      <c r="A944" s="119"/>
    </row>
    <row r="945" spans="1:1" ht="15.75" customHeight="1">
      <c r="A945" s="119"/>
    </row>
    <row r="946" spans="1:1" ht="15.75" customHeight="1">
      <c r="A946" s="119"/>
    </row>
    <row r="947" spans="1:1" ht="15.75" customHeight="1">
      <c r="A947" s="119"/>
    </row>
    <row r="948" spans="1:1" ht="15.75" customHeight="1">
      <c r="A948" s="119"/>
    </row>
    <row r="949" spans="1:1" ht="15.75" customHeight="1">
      <c r="A949" s="119"/>
    </row>
    <row r="950" spans="1:1" ht="15.75" customHeight="1">
      <c r="A950" s="119"/>
    </row>
    <row r="951" spans="1:1" ht="15.75" customHeight="1">
      <c r="A951" s="119"/>
    </row>
    <row r="952" spans="1:1" ht="15.75" customHeight="1">
      <c r="A952" s="119"/>
    </row>
    <row r="953" spans="1:1" ht="15.75" customHeight="1">
      <c r="A953" s="119"/>
    </row>
    <row r="954" spans="1:1" ht="15.75" customHeight="1">
      <c r="A954" s="119"/>
    </row>
    <row r="955" spans="1:1" ht="15.75" customHeight="1">
      <c r="A955" s="119"/>
    </row>
    <row r="956" spans="1:1" ht="15.75" customHeight="1">
      <c r="A956" s="119"/>
    </row>
    <row r="957" spans="1:1" ht="15.75" customHeight="1">
      <c r="A957" s="119"/>
    </row>
    <row r="958" spans="1:1" ht="15.75" customHeight="1">
      <c r="A958" s="119"/>
    </row>
    <row r="959" spans="1:1" ht="15.75" customHeight="1">
      <c r="A959" s="119"/>
    </row>
    <row r="960" spans="1:1" ht="15.75" customHeight="1">
      <c r="A960" s="119"/>
    </row>
    <row r="961" spans="1:1" ht="15.75" customHeight="1">
      <c r="A961" s="119"/>
    </row>
    <row r="962" spans="1:1" ht="15.75" customHeight="1">
      <c r="A962" s="119"/>
    </row>
    <row r="963" spans="1:1" ht="15.75" customHeight="1">
      <c r="A963" s="119"/>
    </row>
    <row r="964" spans="1:1" ht="15.75" customHeight="1">
      <c r="A964" s="119"/>
    </row>
    <row r="965" spans="1:1" ht="15.75" customHeight="1">
      <c r="A965" s="119"/>
    </row>
    <row r="966" spans="1:1" ht="15.75" customHeight="1">
      <c r="A966" s="119"/>
    </row>
    <row r="967" spans="1:1" ht="15.75" customHeight="1">
      <c r="A967" s="119"/>
    </row>
    <row r="968" spans="1:1" ht="15.75" customHeight="1">
      <c r="A968" s="119"/>
    </row>
    <row r="969" spans="1:1" ht="15.75" customHeight="1">
      <c r="A969" s="119"/>
    </row>
    <row r="970" spans="1:1" ht="15.75" customHeight="1">
      <c r="A970" s="119"/>
    </row>
    <row r="971" spans="1:1" ht="15.75" customHeight="1">
      <c r="A971" s="119"/>
    </row>
    <row r="972" spans="1:1" ht="15.75" customHeight="1">
      <c r="A972" s="119"/>
    </row>
    <row r="973" spans="1:1" ht="15.75" customHeight="1">
      <c r="A973" s="119"/>
    </row>
    <row r="974" spans="1:1" ht="15.75" customHeight="1">
      <c r="A974" s="119"/>
    </row>
    <row r="975" spans="1:1" ht="15.75" customHeight="1">
      <c r="A975" s="119"/>
    </row>
    <row r="976" spans="1:1" ht="15.75" customHeight="1">
      <c r="A976" s="119"/>
    </row>
    <row r="977" spans="1:1" ht="15.75" customHeight="1">
      <c r="A977" s="119"/>
    </row>
    <row r="978" spans="1:1" ht="15.75" customHeight="1">
      <c r="A978" s="119"/>
    </row>
    <row r="979" spans="1:1" ht="15.75" customHeight="1">
      <c r="A979" s="119"/>
    </row>
    <row r="980" spans="1:1" ht="15.75" customHeight="1">
      <c r="A980" s="119"/>
    </row>
    <row r="981" spans="1:1" ht="15.75" customHeight="1">
      <c r="A981" s="119"/>
    </row>
    <row r="982" spans="1:1" ht="15.75" customHeight="1">
      <c r="A982" s="119"/>
    </row>
    <row r="983" spans="1:1" ht="15.75" customHeight="1">
      <c r="A983" s="119"/>
    </row>
    <row r="984" spans="1:1" ht="15.75" customHeight="1">
      <c r="A984" s="119"/>
    </row>
    <row r="985" spans="1:1" ht="15.75" customHeight="1">
      <c r="A985" s="119"/>
    </row>
    <row r="986" spans="1:1" ht="15.75" customHeight="1">
      <c r="A986" s="119"/>
    </row>
    <row r="987" spans="1:1" ht="15.75" customHeight="1">
      <c r="A987" s="119"/>
    </row>
    <row r="988" spans="1:1" ht="15.75" customHeight="1">
      <c r="A988" s="119"/>
    </row>
    <row r="989" spans="1:1" ht="15.75" customHeight="1">
      <c r="A989" s="119"/>
    </row>
    <row r="990" spans="1:1" ht="15.75" customHeight="1">
      <c r="A990" s="119"/>
    </row>
    <row r="991" spans="1:1" ht="15.75" customHeight="1">
      <c r="A991" s="119"/>
    </row>
    <row r="992" spans="1:1" ht="15.75" customHeight="1">
      <c r="A992" s="119"/>
    </row>
    <row r="993" spans="1:1" ht="15.75" customHeight="1">
      <c r="A993" s="119"/>
    </row>
    <row r="994" spans="1:1" ht="15.75" customHeight="1">
      <c r="A994" s="119"/>
    </row>
    <row r="995" spans="1:1" ht="15.75" customHeight="1">
      <c r="A995" s="119"/>
    </row>
    <row r="996" spans="1:1" ht="15.75" customHeight="1">
      <c r="A996" s="119"/>
    </row>
    <row r="997" spans="1:1" ht="15.75" customHeight="1">
      <c r="A997" s="119"/>
    </row>
    <row r="998" spans="1:1" ht="15.75" customHeight="1">
      <c r="A998" s="119"/>
    </row>
    <row r="999" spans="1:1" ht="15.75" customHeight="1">
      <c r="A999" s="119"/>
    </row>
    <row r="1000" spans="1:1" ht="15.75" customHeight="1">
      <c r="A1000" s="1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B</dc:creator>
  <cp:lastModifiedBy>Graham Blackman</cp:lastModifiedBy>
  <dcterms:created xsi:type="dcterms:W3CDTF">2022-12-05T18:37:32Z</dcterms:created>
  <dcterms:modified xsi:type="dcterms:W3CDTF">2023-11-06T20:08:00Z</dcterms:modified>
</cp:coreProperties>
</file>